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2\‏‏9.22\קובץ יעודי לפיקוח ולאתר\"/>
    </mc:Choice>
  </mc:AlternateContent>
  <xr:revisionPtr revIDLastSave="0" documentId="13_ncr:1_{ABA9A2D3-F751-448C-B71B-EAC5E57F1731}" xr6:coauthVersionLast="36" xr6:coauthVersionMax="36" xr10:uidLastSave="{00000000-0000-0000-0000-000000000000}"/>
  <workbookProtection workbookPassword="E19A" lockStructure="1"/>
  <bookViews>
    <workbookView xWindow="0" yWindow="0" windowWidth="28800" windowHeight="1197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L2" i="13"/>
  <c r="K2" i="13"/>
  <c r="B23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57" i="1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57" i="11"/>
  <c r="U58" i="11"/>
  <c r="S29" i="11"/>
  <c r="S57" i="11"/>
  <c r="S59" i="11"/>
  <c r="S30" i="11"/>
  <c r="S58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M29" i="11"/>
  <c r="M57" i="11"/>
  <c r="M30" i="11"/>
  <c r="M58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G29" i="11"/>
  <c r="G57" i="11"/>
  <c r="G30" i="11"/>
  <c r="G58" i="11"/>
  <c r="E29" i="11"/>
  <c r="E57" i="11"/>
  <c r="E30" i="11"/>
  <c r="E58" i="11"/>
  <c r="C29" i="11"/>
  <c r="C57" i="11"/>
  <c r="C30" i="11"/>
  <c r="C58" i="11"/>
  <c r="Z58" i="11"/>
  <c r="Z57" i="11"/>
  <c r="Y25" i="11"/>
  <c r="Y53" i="11"/>
  <c r="Y26" i="11"/>
  <c r="Y54" i="11"/>
  <c r="Y55" i="11"/>
  <c r="Z55" i="11"/>
  <c r="W53" i="11"/>
  <c r="W54" i="11"/>
  <c r="U53" i="11"/>
  <c r="U54" i="11"/>
  <c r="S25" i="11"/>
  <c r="S27" i="11"/>
  <c r="S26" i="11"/>
  <c r="S54" i="11"/>
  <c r="M25" i="11"/>
  <c r="M27" i="11"/>
  <c r="M26" i="11"/>
  <c r="M54" i="11"/>
  <c r="G25" i="11"/>
  <c r="G53" i="11"/>
  <c r="G26" i="11"/>
  <c r="G54" i="11"/>
  <c r="E25" i="11"/>
  <c r="E53" i="11"/>
  <c r="E26" i="11"/>
  <c r="E54" i="11"/>
  <c r="C25" i="11"/>
  <c r="C53" i="11"/>
  <c r="C26" i="11"/>
  <c r="C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E8" i="11"/>
  <c r="E36" i="11"/>
  <c r="E9" i="11"/>
  <c r="E37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36" i="11"/>
  <c r="C9" i="11"/>
  <c r="C37" i="11"/>
  <c r="C10" i="11"/>
  <c r="C38" i="11"/>
  <c r="C11" i="11"/>
  <c r="C39" i="11"/>
  <c r="C12" i="11"/>
  <c r="C40" i="11"/>
  <c r="C13" i="11"/>
  <c r="C41" i="11"/>
  <c r="C14" i="11"/>
  <c r="C42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29" i="11"/>
  <c r="W30" i="11"/>
  <c r="W31" i="11"/>
  <c r="X31" i="11"/>
  <c r="U29" i="11"/>
  <c r="U30" i="11"/>
  <c r="U31" i="11"/>
  <c r="V31" i="11"/>
  <c r="S31" i="11"/>
  <c r="T31" i="11"/>
  <c r="Q29" i="11"/>
  <c r="Q30" i="11"/>
  <c r="O29" i="11"/>
  <c r="O30" i="11"/>
  <c r="O31" i="11"/>
  <c r="P31" i="11"/>
  <c r="M31" i="11"/>
  <c r="N31" i="11"/>
  <c r="K29" i="11"/>
  <c r="K31" i="11"/>
  <c r="L31" i="11"/>
  <c r="K30" i="11"/>
  <c r="I29" i="11"/>
  <c r="I31" i="11"/>
  <c r="J31" i="11"/>
  <c r="I30" i="11"/>
  <c r="E31" i="11"/>
  <c r="F31" i="11"/>
  <c r="Z30" i="11"/>
  <c r="X30" i="11"/>
  <c r="V30" i="11"/>
  <c r="N30" i="11"/>
  <c r="Z29" i="11"/>
  <c r="X29" i="11"/>
  <c r="V29" i="11"/>
  <c r="N29" i="11"/>
  <c r="Y27" i="11"/>
  <c r="Z27" i="11"/>
  <c r="W25" i="11"/>
  <c r="W26" i="11"/>
  <c r="W27" i="11"/>
  <c r="X27" i="11"/>
  <c r="U25" i="11"/>
  <c r="U26" i="11"/>
  <c r="U27" i="11"/>
  <c r="V27" i="11"/>
  <c r="Q25" i="11"/>
  <c r="Q27" i="11"/>
  <c r="Q26" i="11"/>
  <c r="O25" i="11"/>
  <c r="O26" i="11"/>
  <c r="K25" i="11"/>
  <c r="K27" i="11"/>
  <c r="L27" i="11"/>
  <c r="K26" i="11"/>
  <c r="I25" i="11"/>
  <c r="I27" i="11"/>
  <c r="I26" i="1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W57" i="10"/>
  <c r="W58" i="10"/>
  <c r="U23" i="10"/>
  <c r="U57" i="10"/>
  <c r="U58" i="10"/>
  <c r="S57" i="10"/>
  <c r="S59" i="10"/>
  <c r="S58" i="10"/>
  <c r="T58" i="10"/>
  <c r="Q23" i="10"/>
  <c r="O23" i="10"/>
  <c r="M57" i="10"/>
  <c r="M58" i="10"/>
  <c r="M59" i="10"/>
  <c r="N59" i="10"/>
  <c r="K23" i="10"/>
  <c r="K58" i="10"/>
  <c r="I23" i="10"/>
  <c r="I58" i="10"/>
  <c r="G57" i="10"/>
  <c r="G58" i="10"/>
  <c r="G59" i="10"/>
  <c r="H59" i="10"/>
  <c r="E57" i="10"/>
  <c r="E59" i="10"/>
  <c r="E58" i="10"/>
  <c r="C57" i="10"/>
  <c r="C58" i="10"/>
  <c r="C59" i="10"/>
  <c r="D57" i="10"/>
  <c r="D59" i="10"/>
  <c r="Z58" i="10"/>
  <c r="H58" i="10"/>
  <c r="D58" i="10"/>
  <c r="Z57" i="10"/>
  <c r="N57" i="10"/>
  <c r="H57" i="10"/>
  <c r="Y53" i="10"/>
  <c r="Y54" i="10"/>
  <c r="Y55" i="10"/>
  <c r="Z55" i="10"/>
  <c r="W53" i="10"/>
  <c r="W54" i="10"/>
  <c r="U53" i="10"/>
  <c r="U54" i="10"/>
  <c r="S53" i="10"/>
  <c r="S55" i="10"/>
  <c r="S54" i="10"/>
  <c r="M53" i="10"/>
  <c r="M55" i="10"/>
  <c r="M54" i="10"/>
  <c r="G53" i="10"/>
  <c r="G55" i="10"/>
  <c r="G54" i="10"/>
  <c r="E53" i="10"/>
  <c r="E55" i="10"/>
  <c r="F55" i="10"/>
  <c r="E54" i="10"/>
  <c r="C53" i="10"/>
  <c r="C54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36" i="10"/>
  <c r="E37" i="10"/>
  <c r="E38" i="10"/>
  <c r="E51" i="10"/>
  <c r="E39" i="10"/>
  <c r="K39" i="10"/>
  <c r="E40" i="10"/>
  <c r="E41" i="10"/>
  <c r="E42" i="10"/>
  <c r="E43" i="10"/>
  <c r="K43" i="10"/>
  <c r="E44" i="10"/>
  <c r="E45" i="10"/>
  <c r="E46" i="10"/>
  <c r="E47" i="10"/>
  <c r="K47" i="10"/>
  <c r="E48" i="10"/>
  <c r="E49" i="10"/>
  <c r="E50" i="10"/>
  <c r="C36" i="10"/>
  <c r="C37" i="10"/>
  <c r="I37" i="10"/>
  <c r="O37" i="10"/>
  <c r="C38" i="10"/>
  <c r="C39" i="10"/>
  <c r="C40" i="10"/>
  <c r="C41" i="10"/>
  <c r="I41" i="10"/>
  <c r="O41" i="10"/>
  <c r="C42" i="10"/>
  <c r="C43" i="10"/>
  <c r="C44" i="10"/>
  <c r="C45" i="10"/>
  <c r="I45" i="10"/>
  <c r="O45" i="10"/>
  <c r="C46" i="10"/>
  <c r="C47" i="10"/>
  <c r="C48" i="10"/>
  <c r="C49" i="10"/>
  <c r="I49" i="10"/>
  <c r="O49" i="10"/>
  <c r="C50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1" i="10"/>
  <c r="Q31" i="10"/>
  <c r="R29" i="10"/>
  <c r="R31" i="10"/>
  <c r="O31" i="10"/>
  <c r="P31" i="10"/>
  <c r="M31" i="10"/>
  <c r="N31" i="10"/>
  <c r="K31" i="10"/>
  <c r="L31" i="10"/>
  <c r="I31" i="10"/>
  <c r="J31" i="10"/>
  <c r="G31" i="10"/>
  <c r="H30" i="10"/>
  <c r="H31" i="10"/>
  <c r="E31" i="10"/>
  <c r="F31" i="10"/>
  <c r="C31" i="10"/>
  <c r="D31" i="10"/>
  <c r="Z30" i="10"/>
  <c r="X30" i="10"/>
  <c r="V30" i="10"/>
  <c r="T30" i="10"/>
  <c r="R30" i="10"/>
  <c r="N30" i="10"/>
  <c r="J30" i="10"/>
  <c r="Z29" i="10"/>
  <c r="X29" i="10"/>
  <c r="V29" i="10"/>
  <c r="T29" i="10"/>
  <c r="P29" i="10"/>
  <c r="N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W57" i="1"/>
  <c r="W58" i="1"/>
  <c r="U23" i="1"/>
  <c r="U57" i="1"/>
  <c r="U58" i="1"/>
  <c r="S57" i="1"/>
  <c r="S59" i="1"/>
  <c r="S58" i="1"/>
  <c r="Q23" i="1"/>
  <c r="R19" i="1"/>
  <c r="O23" i="1"/>
  <c r="P21" i="1"/>
  <c r="M57" i="1"/>
  <c r="M59" i="1"/>
  <c r="M58" i="1"/>
  <c r="K23" i="1"/>
  <c r="K57" i="1"/>
  <c r="I23" i="1"/>
  <c r="I57" i="1"/>
  <c r="G57" i="1"/>
  <c r="G58" i="1"/>
  <c r="H58" i="1"/>
  <c r="G59" i="1"/>
  <c r="H59" i="1"/>
  <c r="E57" i="1"/>
  <c r="E58" i="1"/>
  <c r="E59" i="1"/>
  <c r="F59" i="1"/>
  <c r="C57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W53" i="1"/>
  <c r="W54" i="1"/>
  <c r="U53" i="1"/>
  <c r="U54" i="1"/>
  <c r="S53" i="1"/>
  <c r="S55" i="1"/>
  <c r="S54" i="1"/>
  <c r="M53" i="1"/>
  <c r="M55" i="1"/>
  <c r="M54" i="1"/>
  <c r="K54" i="1"/>
  <c r="G53" i="1"/>
  <c r="G54" i="1"/>
  <c r="G55" i="1"/>
  <c r="H53" i="1"/>
  <c r="H55" i="1"/>
  <c r="E53" i="1"/>
  <c r="K53" i="1"/>
  <c r="E54" i="1"/>
  <c r="C53" i="1"/>
  <c r="D53" i="1"/>
  <c r="C54" i="1"/>
  <c r="D54" i="1"/>
  <c r="C55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E36" i="1"/>
  <c r="E37" i="1"/>
  <c r="K37" i="1"/>
  <c r="E38" i="1"/>
  <c r="K38" i="1"/>
  <c r="Q38" i="1"/>
  <c r="E39" i="1"/>
  <c r="K39" i="1"/>
  <c r="E40" i="1"/>
  <c r="K40" i="1"/>
  <c r="E41" i="1"/>
  <c r="K41" i="1"/>
  <c r="E42" i="1"/>
  <c r="K42" i="1"/>
  <c r="Q42" i="1"/>
  <c r="E43" i="1"/>
  <c r="K43" i="1"/>
  <c r="E44" i="1"/>
  <c r="K44" i="1"/>
  <c r="E45" i="1"/>
  <c r="K45" i="1"/>
  <c r="E46" i="1"/>
  <c r="K46" i="1"/>
  <c r="Q46" i="1"/>
  <c r="E47" i="1"/>
  <c r="K47" i="1"/>
  <c r="E48" i="1"/>
  <c r="K48" i="1"/>
  <c r="E49" i="1"/>
  <c r="K49" i="1"/>
  <c r="E50" i="1"/>
  <c r="K50" i="1"/>
  <c r="Q50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/>
  <c r="O31" i="1"/>
  <c r="P31" i="1"/>
  <c r="M31" i="1"/>
  <c r="N31" i="1"/>
  <c r="K31" i="1"/>
  <c r="L31" i="1"/>
  <c r="I31" i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J30" i="1"/>
  <c r="H30" i="1"/>
  <c r="D30" i="1"/>
  <c r="Z29" i="1"/>
  <c r="X29" i="1"/>
  <c r="V29" i="1"/>
  <c r="R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/>
  <c r="Q27" i="1"/>
  <c r="R27" i="1"/>
  <c r="O27" i="1"/>
  <c r="P27" i="1"/>
  <c r="M27" i="1"/>
  <c r="N27" i="1"/>
  <c r="K27" i="1"/>
  <c r="L27" i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L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2" i="1"/>
  <c r="N23" i="1"/>
  <c r="L23" i="1"/>
  <c r="G23" i="1"/>
  <c r="H21" i="1"/>
  <c r="E23" i="1"/>
  <c r="F19" i="1"/>
  <c r="C23" i="1"/>
  <c r="D17" i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H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H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H9" i="1"/>
  <c r="Z8" i="1"/>
  <c r="X8" i="1"/>
  <c r="V8" i="1"/>
  <c r="L8" i="1"/>
  <c r="J8" i="1"/>
  <c r="H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J7" i="13"/>
  <c r="N2" i="13"/>
  <c r="M2" i="13"/>
  <c r="S51" i="1"/>
  <c r="Q53" i="1"/>
  <c r="R10" i="1"/>
  <c r="R23" i="1"/>
  <c r="Q54" i="1"/>
  <c r="Q47" i="1"/>
  <c r="Q43" i="1"/>
  <c r="Q39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14" i="1"/>
  <c r="F13" i="1"/>
  <c r="F14" i="1"/>
  <c r="F17" i="1"/>
  <c r="F16" i="1"/>
  <c r="D13" i="1"/>
  <c r="D11" i="1"/>
  <c r="D15" i="1"/>
  <c r="D9" i="1"/>
  <c r="D20" i="1"/>
  <c r="D18" i="1"/>
  <c r="D23" i="1"/>
  <c r="H57" i="1"/>
  <c r="F29" i="1"/>
  <c r="K58" i="1"/>
  <c r="Q58" i="1"/>
  <c r="K59" i="1"/>
  <c r="L59" i="1"/>
  <c r="F30" i="1"/>
  <c r="O57" i="1"/>
  <c r="O59" i="1"/>
  <c r="P57" i="1"/>
  <c r="H54" i="1"/>
  <c r="H25" i="1"/>
  <c r="E55" i="1"/>
  <c r="E27" i="11"/>
  <c r="C55" i="11"/>
  <c r="D54" i="11"/>
  <c r="D26" i="1"/>
  <c r="D25" i="1"/>
  <c r="H20" i="1"/>
  <c r="H23" i="1"/>
  <c r="G51" i="1"/>
  <c r="H47" i="1"/>
  <c r="H41" i="1"/>
  <c r="H46" i="1"/>
  <c r="H36" i="1"/>
  <c r="H16" i="1"/>
  <c r="H17" i="1"/>
  <c r="H18" i="1"/>
  <c r="H19" i="1"/>
  <c r="F20" i="1"/>
  <c r="F15" i="1"/>
  <c r="F23" i="1"/>
  <c r="E51" i="1"/>
  <c r="F50" i="1"/>
  <c r="F39" i="1"/>
  <c r="F41" i="1"/>
  <c r="K36" i="1"/>
  <c r="F8" i="1"/>
  <c r="F11" i="1"/>
  <c r="F18" i="1"/>
  <c r="F21" i="1"/>
  <c r="F22" i="1"/>
  <c r="F9" i="1"/>
  <c r="F12" i="1"/>
  <c r="D14" i="1"/>
  <c r="D21" i="1"/>
  <c r="D10" i="1"/>
  <c r="D12" i="1"/>
  <c r="D16" i="1"/>
  <c r="D19" i="1"/>
  <c r="D22" i="1"/>
  <c r="C51" i="1"/>
  <c r="D48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Q58" i="10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3" i="10"/>
  <c r="F18" i="10"/>
  <c r="F8" i="10"/>
  <c r="F10" i="10"/>
  <c r="F12" i="10"/>
  <c r="F13" i="10"/>
  <c r="F14" i="10"/>
  <c r="F19" i="10"/>
  <c r="F21" i="10"/>
  <c r="F22" i="10"/>
  <c r="F9" i="10"/>
  <c r="F23" i="10"/>
  <c r="G51" i="11"/>
  <c r="H39" i="10"/>
  <c r="H46" i="10"/>
  <c r="H42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E51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0" i="1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T29" i="11"/>
  <c r="Q31" i="11"/>
  <c r="P30" i="10"/>
  <c r="P30" i="11"/>
  <c r="P29" i="11"/>
  <c r="T55" i="10"/>
  <c r="T54" i="10"/>
  <c r="T53" i="10"/>
  <c r="O27" i="11"/>
  <c r="P27" i="11"/>
  <c r="S51" i="10"/>
  <c r="T50" i="10"/>
  <c r="T51" i="10"/>
  <c r="T48" i="10"/>
  <c r="T47" i="10"/>
  <c r="T44" i="10"/>
  <c r="T43" i="10"/>
  <c r="T40" i="10"/>
  <c r="T39" i="10"/>
  <c r="T36" i="10"/>
  <c r="R10" i="10"/>
  <c r="R11" i="10"/>
  <c r="R12" i="10"/>
  <c r="R13" i="10"/>
  <c r="R17" i="10"/>
  <c r="R18" i="10"/>
  <c r="R19" i="10"/>
  <c r="R20" i="10"/>
  <c r="R21" i="10"/>
  <c r="Q23" i="11"/>
  <c r="R13" i="11"/>
  <c r="Q57" i="10"/>
  <c r="Q59" i="10"/>
  <c r="R8" i="10"/>
  <c r="R22" i="10"/>
  <c r="R23" i="10"/>
  <c r="Q47" i="10"/>
  <c r="Q43" i="10"/>
  <c r="Q39" i="10"/>
  <c r="R9" i="10"/>
  <c r="R14" i="10"/>
  <c r="R15" i="10"/>
  <c r="R16" i="10"/>
  <c r="O58" i="10"/>
  <c r="T58" i="1"/>
  <c r="T59" i="1"/>
  <c r="T59" i="11"/>
  <c r="T57" i="11"/>
  <c r="T58" i="11"/>
  <c r="T29" i="1"/>
  <c r="T30" i="1"/>
  <c r="T57" i="1"/>
  <c r="T30" i="11"/>
  <c r="R31" i="11"/>
  <c r="R29" i="11"/>
  <c r="R30" i="11"/>
  <c r="R27" i="11"/>
  <c r="R26" i="11"/>
  <c r="R26" i="1"/>
  <c r="R25" i="11"/>
  <c r="R25" i="1"/>
  <c r="P26" i="11"/>
  <c r="P25" i="11"/>
  <c r="T27" i="11"/>
  <c r="T26" i="11"/>
  <c r="T55" i="1"/>
  <c r="T54" i="1"/>
  <c r="T53" i="1"/>
  <c r="T25" i="1"/>
  <c r="S53" i="11"/>
  <c r="T25" i="11"/>
  <c r="T51" i="1"/>
  <c r="T36" i="1"/>
  <c r="T48" i="1"/>
  <c r="T40" i="1"/>
  <c r="T44" i="1"/>
  <c r="T11" i="1"/>
  <c r="T17" i="1"/>
  <c r="T20" i="1"/>
  <c r="T22" i="1"/>
  <c r="T8" i="1"/>
  <c r="T10" i="1"/>
  <c r="T15" i="1"/>
  <c r="T23" i="1"/>
  <c r="S23" i="11"/>
  <c r="T11" i="11"/>
  <c r="S51" i="11"/>
  <c r="T36" i="11"/>
  <c r="T37" i="1"/>
  <c r="T41" i="1"/>
  <c r="T45" i="1"/>
  <c r="T49" i="1"/>
  <c r="T13" i="1"/>
  <c r="T16" i="1"/>
  <c r="T19" i="1"/>
  <c r="T21" i="1"/>
  <c r="T38" i="1"/>
  <c r="T42" i="1"/>
  <c r="T46" i="1"/>
  <c r="T50" i="1"/>
  <c r="T39" i="1"/>
  <c r="T43" i="1"/>
  <c r="T47" i="1"/>
  <c r="Q57" i="1"/>
  <c r="R9" i="1"/>
  <c r="R13" i="1"/>
  <c r="R17" i="1"/>
  <c r="R21" i="1"/>
  <c r="Q49" i="1"/>
  <c r="Q45" i="1"/>
  <c r="Q41" i="1"/>
  <c r="Q37" i="1"/>
  <c r="R19" i="11"/>
  <c r="R8" i="1"/>
  <c r="R12" i="1"/>
  <c r="R16" i="1"/>
  <c r="R20" i="1"/>
  <c r="Q48" i="1"/>
  <c r="Q44" i="1"/>
  <c r="Q40" i="1"/>
  <c r="Q36" i="1"/>
  <c r="O23" i="11"/>
  <c r="P17" i="11"/>
  <c r="P11" i="1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/>
  <c r="N59" i="1"/>
  <c r="N57" i="1"/>
  <c r="N58" i="1"/>
  <c r="L30" i="11"/>
  <c r="U59" i="1"/>
  <c r="V59" i="1"/>
  <c r="J29" i="1"/>
  <c r="J30" i="11"/>
  <c r="N53" i="1"/>
  <c r="N55" i="1"/>
  <c r="N54" i="1"/>
  <c r="N26" i="1"/>
  <c r="K55" i="1"/>
  <c r="M51" i="1"/>
  <c r="K51" i="1"/>
  <c r="L48" i="1"/>
  <c r="W55" i="1"/>
  <c r="X53" i="1"/>
  <c r="W51" i="1"/>
  <c r="X50" i="1"/>
  <c r="X59" i="1"/>
  <c r="L58" i="1"/>
  <c r="L55" i="1"/>
  <c r="L54" i="1"/>
  <c r="L57" i="1"/>
  <c r="L53" i="1"/>
  <c r="U51" i="1"/>
  <c r="V49" i="1"/>
  <c r="I47" i="1"/>
  <c r="O47" i="1"/>
  <c r="U55" i="1"/>
  <c r="V54" i="1"/>
  <c r="I43" i="1"/>
  <c r="O43" i="1"/>
  <c r="V41" i="1"/>
  <c r="I39" i="1"/>
  <c r="O39" i="1"/>
  <c r="V40" i="1"/>
  <c r="I50" i="1"/>
  <c r="O50" i="1"/>
  <c r="I46" i="1"/>
  <c r="O46" i="1"/>
  <c r="I42" i="1"/>
  <c r="O42" i="1"/>
  <c r="I38" i="1"/>
  <c r="O38" i="1"/>
  <c r="I49" i="1"/>
  <c r="O49" i="1"/>
  <c r="I45" i="1"/>
  <c r="O45" i="1"/>
  <c r="I41" i="1"/>
  <c r="O41" i="1"/>
  <c r="I37" i="1"/>
  <c r="O37" i="1"/>
  <c r="I54" i="1"/>
  <c r="O54" i="1"/>
  <c r="I58" i="1"/>
  <c r="O58" i="1"/>
  <c r="J23" i="1"/>
  <c r="I48" i="1"/>
  <c r="O48" i="1"/>
  <c r="I44" i="1"/>
  <c r="O44" i="1"/>
  <c r="I40" i="1"/>
  <c r="O40" i="1"/>
  <c r="I36" i="1"/>
  <c r="O36" i="1"/>
  <c r="I53" i="1"/>
  <c r="O53" i="1"/>
  <c r="J26" i="11"/>
  <c r="J27" i="11"/>
  <c r="J25" i="11"/>
  <c r="J27" i="10"/>
  <c r="L18" i="10"/>
  <c r="N10" i="10"/>
  <c r="M59" i="11"/>
  <c r="N59" i="11"/>
  <c r="N58" i="10"/>
  <c r="L29" i="11"/>
  <c r="L29" i="10"/>
  <c r="L30" i="10"/>
  <c r="J29" i="11"/>
  <c r="M53" i="11"/>
  <c r="M55" i="11"/>
  <c r="N27" i="11"/>
  <c r="N26" i="11"/>
  <c r="N25" i="11"/>
  <c r="N55" i="10"/>
  <c r="N54" i="10"/>
  <c r="L26" i="10"/>
  <c r="L25" i="10"/>
  <c r="L25" i="11"/>
  <c r="L26" i="11"/>
  <c r="J26" i="10"/>
  <c r="N25" i="10"/>
  <c r="N26" i="10"/>
  <c r="N53" i="10"/>
  <c r="M23" i="11"/>
  <c r="N23" i="11"/>
  <c r="N12" i="10"/>
  <c r="W59" i="10"/>
  <c r="X59" i="10"/>
  <c r="W59" i="11"/>
  <c r="X57" i="11"/>
  <c r="J15" i="10"/>
  <c r="J22" i="10"/>
  <c r="I47" i="10"/>
  <c r="O47" i="10"/>
  <c r="I43" i="10"/>
  <c r="O43" i="10"/>
  <c r="I39" i="10"/>
  <c r="O39" i="10"/>
  <c r="I54" i="10"/>
  <c r="O54" i="10"/>
  <c r="J8" i="10"/>
  <c r="J13" i="10"/>
  <c r="J16" i="10"/>
  <c r="J19" i="10"/>
  <c r="J23" i="10"/>
  <c r="I50" i="10"/>
  <c r="O50" i="10"/>
  <c r="I46" i="10"/>
  <c r="O46" i="10"/>
  <c r="I42" i="10"/>
  <c r="O42" i="10"/>
  <c r="I38" i="10"/>
  <c r="O38" i="10"/>
  <c r="I53" i="10"/>
  <c r="O53" i="10"/>
  <c r="J10" i="10"/>
  <c r="J12" i="10"/>
  <c r="J18" i="10"/>
  <c r="J21" i="10"/>
  <c r="I48" i="10"/>
  <c r="O48" i="10"/>
  <c r="I44" i="10"/>
  <c r="O44" i="10"/>
  <c r="I40" i="10"/>
  <c r="O40" i="10"/>
  <c r="I36" i="10"/>
  <c r="O36" i="10"/>
  <c r="U59" i="10"/>
  <c r="V59" i="10"/>
  <c r="M51" i="10"/>
  <c r="N41" i="10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9" i="10"/>
  <c r="N40" i="10"/>
  <c r="N46" i="10"/>
  <c r="M51" i="11"/>
  <c r="N38" i="11"/>
  <c r="L9" i="10"/>
  <c r="L13" i="10"/>
  <c r="L17" i="10"/>
  <c r="L21" i="10"/>
  <c r="K50" i="10"/>
  <c r="Q50" i="10"/>
  <c r="K46" i="10"/>
  <c r="Q46" i="10"/>
  <c r="K42" i="10"/>
  <c r="Q42" i="10"/>
  <c r="K38" i="10"/>
  <c r="Q38" i="10"/>
  <c r="W51" i="10"/>
  <c r="X48" i="10"/>
  <c r="K54" i="10"/>
  <c r="Q54" i="10"/>
  <c r="L8" i="10"/>
  <c r="L12" i="10"/>
  <c r="L16" i="10"/>
  <c r="L20" i="10"/>
  <c r="L23" i="10"/>
  <c r="K49" i="10"/>
  <c r="Q49" i="10"/>
  <c r="K45" i="10"/>
  <c r="Q45" i="10"/>
  <c r="K41" i="10"/>
  <c r="Q41" i="10"/>
  <c r="K37" i="10"/>
  <c r="Q37" i="10"/>
  <c r="K53" i="10"/>
  <c r="Q53" i="10"/>
  <c r="L11" i="10"/>
  <c r="L15" i="10"/>
  <c r="L19" i="10"/>
  <c r="K48" i="10"/>
  <c r="Q48" i="10"/>
  <c r="K44" i="10"/>
  <c r="Q44" i="10"/>
  <c r="K40" i="10"/>
  <c r="Q40" i="10"/>
  <c r="K36" i="10"/>
  <c r="Q36" i="10"/>
  <c r="W51" i="11"/>
  <c r="X49" i="11"/>
  <c r="W55" i="11"/>
  <c r="X53" i="11"/>
  <c r="W55" i="10"/>
  <c r="X54" i="10"/>
  <c r="K23" i="11"/>
  <c r="K42" i="11"/>
  <c r="Q42" i="11"/>
  <c r="K57" i="10"/>
  <c r="K59" i="10"/>
  <c r="L59" i="10"/>
  <c r="U55" i="11"/>
  <c r="V55" i="11"/>
  <c r="U55" i="10"/>
  <c r="V54" i="10"/>
  <c r="I23" i="11"/>
  <c r="I43" i="11"/>
  <c r="U51" i="10"/>
  <c r="V51" i="10"/>
  <c r="U59" i="11"/>
  <c r="V57" i="11"/>
  <c r="I57" i="10"/>
  <c r="O57" i="10"/>
  <c r="O59" i="10"/>
  <c r="P59" i="10"/>
  <c r="U51" i="11"/>
  <c r="V48" i="11"/>
  <c r="V44" i="10"/>
  <c r="C46" i="11"/>
  <c r="C51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C23" i="11"/>
  <c r="R18" i="11"/>
  <c r="R15" i="11"/>
  <c r="Q55" i="1"/>
  <c r="R9" i="11"/>
  <c r="R12" i="11"/>
  <c r="R14" i="11"/>
  <c r="R20" i="11"/>
  <c r="R23" i="11"/>
  <c r="R21" i="11"/>
  <c r="R10" i="11"/>
  <c r="R16" i="11"/>
  <c r="O55" i="1"/>
  <c r="P55" i="1"/>
  <c r="H38" i="1"/>
  <c r="H50" i="1"/>
  <c r="H43" i="1"/>
  <c r="H51" i="1"/>
  <c r="H42" i="1"/>
  <c r="H45" i="1"/>
  <c r="H44" i="1"/>
  <c r="H37" i="1"/>
  <c r="H49" i="1"/>
  <c r="F45" i="1"/>
  <c r="F43" i="1"/>
  <c r="F40" i="1"/>
  <c r="F38" i="1"/>
  <c r="X41" i="1"/>
  <c r="F44" i="1"/>
  <c r="F42" i="1"/>
  <c r="H29" i="11"/>
  <c r="H57" i="11"/>
  <c r="H30" i="11"/>
  <c r="Q59" i="1"/>
  <c r="P59" i="1"/>
  <c r="H54" i="11"/>
  <c r="F53" i="11"/>
  <c r="F26" i="11"/>
  <c r="F27" i="11"/>
  <c r="F25" i="11"/>
  <c r="F54" i="1"/>
  <c r="F55" i="1"/>
  <c r="F53" i="1"/>
  <c r="H40" i="1"/>
  <c r="H48" i="1"/>
  <c r="H39" i="1"/>
  <c r="L49" i="1"/>
  <c r="F49" i="1"/>
  <c r="F48" i="1"/>
  <c r="F47" i="1"/>
  <c r="F46" i="1"/>
  <c r="F36" i="1"/>
  <c r="F51" i="1"/>
  <c r="F37" i="1"/>
  <c r="D37" i="1"/>
  <c r="D41" i="1"/>
  <c r="D45" i="1"/>
  <c r="D49" i="1"/>
  <c r="D38" i="1"/>
  <c r="D42" i="1"/>
  <c r="D46" i="1"/>
  <c r="D50" i="1"/>
  <c r="V37" i="1"/>
  <c r="D39" i="1"/>
  <c r="D43" i="1"/>
  <c r="D47" i="1"/>
  <c r="D51" i="1"/>
  <c r="V46" i="1"/>
  <c r="O51" i="1"/>
  <c r="P37" i="1"/>
  <c r="V51" i="1"/>
  <c r="D36" i="1"/>
  <c r="D40" i="1"/>
  <c r="D44" i="1"/>
  <c r="P46" i="1"/>
  <c r="V43" i="1"/>
  <c r="V36" i="1"/>
  <c r="V38" i="1"/>
  <c r="V47" i="1"/>
  <c r="V45" i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O55" i="10"/>
  <c r="P54" i="10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H50" i="11"/>
  <c r="H48" i="11"/>
  <c r="H46" i="11"/>
  <c r="H44" i="11"/>
  <c r="H42" i="11"/>
  <c r="H40" i="11"/>
  <c r="H36" i="11"/>
  <c r="H51" i="11"/>
  <c r="H49" i="11"/>
  <c r="H47" i="11"/>
  <c r="H45" i="11"/>
  <c r="H43" i="11"/>
  <c r="H41" i="11"/>
  <c r="H39" i="11"/>
  <c r="H37" i="11"/>
  <c r="H38" i="11"/>
  <c r="F20" i="11"/>
  <c r="F16" i="11"/>
  <c r="F12" i="11"/>
  <c r="F8" i="11"/>
  <c r="F17" i="11"/>
  <c r="F9" i="11"/>
  <c r="F23" i="11"/>
  <c r="F19" i="11"/>
  <c r="F15" i="11"/>
  <c r="F11" i="11"/>
  <c r="F22" i="11"/>
  <c r="F18" i="11"/>
  <c r="F14" i="11"/>
  <c r="F21" i="11"/>
  <c r="F13" i="11"/>
  <c r="F50" i="11"/>
  <c r="F46" i="11"/>
  <c r="F42" i="11"/>
  <c r="F49" i="11"/>
  <c r="F41" i="11"/>
  <c r="F47" i="11"/>
  <c r="F43" i="11"/>
  <c r="F39" i="11"/>
  <c r="F51" i="11"/>
  <c r="F48" i="11"/>
  <c r="F44" i="11"/>
  <c r="F40" i="11"/>
  <c r="F36" i="11"/>
  <c r="F45" i="11"/>
  <c r="F37" i="11"/>
  <c r="F38" i="11"/>
  <c r="V45" i="10"/>
  <c r="I51" i="10"/>
  <c r="J51" i="10"/>
  <c r="O51" i="10"/>
  <c r="P43" i="10"/>
  <c r="T37" i="10"/>
  <c r="T41" i="10"/>
  <c r="T45" i="10"/>
  <c r="T49" i="10"/>
  <c r="T38" i="10"/>
  <c r="T42" i="10"/>
  <c r="T46" i="10"/>
  <c r="P21" i="11"/>
  <c r="T18" i="11"/>
  <c r="T10" i="11"/>
  <c r="T15" i="11"/>
  <c r="T12" i="11"/>
  <c r="T22" i="11"/>
  <c r="T19" i="11"/>
  <c r="T16" i="11"/>
  <c r="T8" i="11"/>
  <c r="T20" i="11"/>
  <c r="T17" i="11"/>
  <c r="T14" i="11"/>
  <c r="Q55" i="10"/>
  <c r="R53" i="10"/>
  <c r="R22" i="11"/>
  <c r="R11" i="11"/>
  <c r="R8" i="11"/>
  <c r="R17" i="11"/>
  <c r="Q51" i="10"/>
  <c r="R51" i="10"/>
  <c r="V57" i="10"/>
  <c r="V42" i="10"/>
  <c r="P12" i="11"/>
  <c r="P18" i="11"/>
  <c r="P22" i="11"/>
  <c r="P9" i="11"/>
  <c r="O57" i="11"/>
  <c r="P8" i="11"/>
  <c r="P14" i="11"/>
  <c r="P19" i="11"/>
  <c r="O43" i="11"/>
  <c r="P13" i="11"/>
  <c r="P23" i="11"/>
  <c r="P10" i="11"/>
  <c r="P15" i="11"/>
  <c r="P20" i="11"/>
  <c r="P16" i="11"/>
  <c r="X58" i="1"/>
  <c r="V57" i="1"/>
  <c r="P58" i="1"/>
  <c r="S55" i="11"/>
  <c r="T53" i="11"/>
  <c r="T21" i="11"/>
  <c r="T23" i="11"/>
  <c r="T13" i="11"/>
  <c r="T9" i="11"/>
  <c r="T49" i="11"/>
  <c r="T45" i="11"/>
  <c r="T40" i="11"/>
  <c r="T37" i="11"/>
  <c r="T42" i="11"/>
  <c r="T51" i="11"/>
  <c r="T50" i="11"/>
  <c r="T48" i="11"/>
  <c r="T47" i="11"/>
  <c r="T46" i="11"/>
  <c r="T44" i="11"/>
  <c r="T43" i="11"/>
  <c r="T41" i="11"/>
  <c r="T39" i="11"/>
  <c r="T38" i="11"/>
  <c r="Q51" i="1"/>
  <c r="R41" i="1"/>
  <c r="X54" i="1"/>
  <c r="X55" i="1"/>
  <c r="P44" i="1"/>
  <c r="P51" i="1"/>
  <c r="V58" i="1"/>
  <c r="P54" i="1"/>
  <c r="P39" i="1"/>
  <c r="P45" i="1"/>
  <c r="P42" i="1"/>
  <c r="P38" i="1"/>
  <c r="P40" i="1"/>
  <c r="P48" i="1"/>
  <c r="V42" i="1"/>
  <c r="V48" i="1"/>
  <c r="P50" i="1"/>
  <c r="P43" i="1"/>
  <c r="P49" i="1"/>
  <c r="L46" i="1"/>
  <c r="X39" i="1"/>
  <c r="X44" i="1"/>
  <c r="L39" i="1"/>
  <c r="I48" i="11"/>
  <c r="O48" i="11"/>
  <c r="P36" i="1"/>
  <c r="P41" i="1"/>
  <c r="P47" i="1"/>
  <c r="V39" i="1"/>
  <c r="V44" i="1"/>
  <c r="V50" i="1"/>
  <c r="N57" i="11"/>
  <c r="N18" i="1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38" i="1"/>
  <c r="X36" i="11"/>
  <c r="X47" i="1"/>
  <c r="X48" i="1"/>
  <c r="X45" i="1"/>
  <c r="L37" i="1"/>
  <c r="L43" i="1"/>
  <c r="L50" i="1"/>
  <c r="X42" i="1"/>
  <c r="L40" i="1"/>
  <c r="X36" i="1"/>
  <c r="X43" i="1"/>
  <c r="X49" i="1"/>
  <c r="L47" i="1"/>
  <c r="L41" i="1"/>
  <c r="L38" i="1"/>
  <c r="X46" i="1"/>
  <c r="L44" i="1"/>
  <c r="X59" i="11"/>
  <c r="L36" i="1"/>
  <c r="X40" i="1"/>
  <c r="X37" i="1"/>
  <c r="X51" i="1"/>
  <c r="L51" i="1"/>
  <c r="L45" i="1"/>
  <c r="L42" i="1"/>
  <c r="L21" i="11"/>
  <c r="X54" i="11"/>
  <c r="R58" i="1"/>
  <c r="R59" i="1"/>
  <c r="R57" i="1"/>
  <c r="V53" i="1"/>
  <c r="V55" i="1"/>
  <c r="V36" i="11"/>
  <c r="V45" i="11"/>
  <c r="V46" i="11"/>
  <c r="I55" i="1"/>
  <c r="J55" i="1"/>
  <c r="I59" i="1"/>
  <c r="J9" i="11"/>
  <c r="I51" i="1"/>
  <c r="J41" i="1"/>
  <c r="X55" i="11"/>
  <c r="L16" i="11"/>
  <c r="K40" i="11"/>
  <c r="Q40" i="11"/>
  <c r="X43" i="10"/>
  <c r="K57" i="11"/>
  <c r="Q57" i="11"/>
  <c r="V53" i="11"/>
  <c r="V38" i="11"/>
  <c r="V50" i="11"/>
  <c r="V43" i="10"/>
  <c r="V48" i="10"/>
  <c r="P57" i="10"/>
  <c r="V37" i="10"/>
  <c r="V43" i="11"/>
  <c r="V36" i="10"/>
  <c r="V49" i="10"/>
  <c r="I49" i="11"/>
  <c r="O49" i="11"/>
  <c r="J23" i="11"/>
  <c r="J22" i="11"/>
  <c r="L9" i="11"/>
  <c r="K45" i="11"/>
  <c r="Q45" i="11"/>
  <c r="K53" i="11"/>
  <c r="Q53" i="11"/>
  <c r="Q55" i="11"/>
  <c r="L20" i="11"/>
  <c r="K46" i="11"/>
  <c r="Q46" i="11"/>
  <c r="X51" i="10"/>
  <c r="J45" i="10"/>
  <c r="J43" i="10"/>
  <c r="I54" i="11"/>
  <c r="O54" i="11"/>
  <c r="L13" i="11"/>
  <c r="K37" i="11"/>
  <c r="Q37" i="11"/>
  <c r="L8" i="11"/>
  <c r="L23" i="11"/>
  <c r="K38" i="11"/>
  <c r="Q38" i="11"/>
  <c r="J49" i="10"/>
  <c r="P53" i="10"/>
  <c r="L17" i="11"/>
  <c r="K48" i="11"/>
  <c r="Q48" i="11"/>
  <c r="L12" i="11"/>
  <c r="K43" i="11"/>
  <c r="Q43" i="11"/>
  <c r="X47" i="10"/>
  <c r="X58" i="10"/>
  <c r="X37" i="10"/>
  <c r="X45" i="10"/>
  <c r="X39" i="10"/>
  <c r="X46" i="11"/>
  <c r="X41" i="10"/>
  <c r="X49" i="10"/>
  <c r="N13" i="11"/>
  <c r="X38" i="11"/>
  <c r="X48" i="11"/>
  <c r="N20" i="11"/>
  <c r="N9" i="11"/>
  <c r="N8" i="11"/>
  <c r="X58" i="11"/>
  <c r="X40" i="11"/>
  <c r="X50" i="11"/>
  <c r="N19" i="11"/>
  <c r="N22" i="11"/>
  <c r="N14" i="11"/>
  <c r="X42" i="11"/>
  <c r="L58" i="10"/>
  <c r="N17" i="11"/>
  <c r="N16" i="11"/>
  <c r="N21" i="11"/>
  <c r="N15" i="11"/>
  <c r="N10" i="11"/>
  <c r="N58" i="11"/>
  <c r="X57" i="10"/>
  <c r="V58" i="10"/>
  <c r="P58" i="10"/>
  <c r="V59" i="11"/>
  <c r="V53" i="10"/>
  <c r="P55" i="10"/>
  <c r="V55" i="10"/>
  <c r="I55" i="10"/>
  <c r="N55" i="11"/>
  <c r="N53" i="11"/>
  <c r="N54" i="11"/>
  <c r="N50" i="10"/>
  <c r="N48" i="10"/>
  <c r="N40" i="11"/>
  <c r="N39" i="10"/>
  <c r="N37" i="10"/>
  <c r="N38" i="10"/>
  <c r="N36" i="10"/>
  <c r="N45" i="10"/>
  <c r="N43" i="11"/>
  <c r="N44" i="11"/>
  <c r="N47" i="11"/>
  <c r="N47" i="10"/>
  <c r="N51" i="10"/>
  <c r="R44" i="10"/>
  <c r="X53" i="10"/>
  <c r="K55" i="10"/>
  <c r="R38" i="10"/>
  <c r="R40" i="10"/>
  <c r="J17" i="11"/>
  <c r="I38" i="11"/>
  <c r="O38" i="11"/>
  <c r="J20" i="11"/>
  <c r="J15" i="11"/>
  <c r="J18" i="11"/>
  <c r="I50" i="11"/>
  <c r="O50" i="11"/>
  <c r="J8" i="11"/>
  <c r="I37" i="11"/>
  <c r="O37" i="11"/>
  <c r="I40" i="11"/>
  <c r="O40" i="11"/>
  <c r="I47" i="11"/>
  <c r="O47" i="11"/>
  <c r="V38" i="10"/>
  <c r="V46" i="10"/>
  <c r="V50" i="10"/>
  <c r="V41" i="10"/>
  <c r="V39" i="10"/>
  <c r="V40" i="10"/>
  <c r="V47" i="10"/>
  <c r="I58" i="11"/>
  <c r="O58" i="11"/>
  <c r="J13" i="11"/>
  <c r="I46" i="11"/>
  <c r="O46" i="11"/>
  <c r="J16" i="11"/>
  <c r="I53" i="11"/>
  <c r="I55" i="11"/>
  <c r="I36" i="11"/>
  <c r="O36" i="11"/>
  <c r="I57" i="11"/>
  <c r="V58" i="11"/>
  <c r="V54" i="11"/>
  <c r="J36" i="10"/>
  <c r="J37" i="10"/>
  <c r="V41" i="11"/>
  <c r="V49" i="11"/>
  <c r="J48" i="10"/>
  <c r="I41" i="11"/>
  <c r="O41" i="11"/>
  <c r="J19" i="11"/>
  <c r="J10" i="11"/>
  <c r="I39" i="11"/>
  <c r="O39" i="11"/>
  <c r="N42" i="10"/>
  <c r="N43" i="10"/>
  <c r="N44" i="10"/>
  <c r="N45" i="11"/>
  <c r="N39" i="11"/>
  <c r="N36" i="11"/>
  <c r="N41" i="11"/>
  <c r="N51" i="11"/>
  <c r="N48" i="11"/>
  <c r="N50" i="11"/>
  <c r="N49" i="11"/>
  <c r="N37" i="11"/>
  <c r="N42" i="11"/>
  <c r="N46" i="11"/>
  <c r="X44" i="11"/>
  <c r="K51" i="10"/>
  <c r="L43" i="10"/>
  <c r="L57" i="10"/>
  <c r="L15" i="11"/>
  <c r="K49" i="11"/>
  <c r="Q49" i="11"/>
  <c r="K54" i="11"/>
  <c r="Q54" i="11"/>
  <c r="K36" i="11"/>
  <c r="Q36" i="11"/>
  <c r="L10" i="11"/>
  <c r="L18" i="11"/>
  <c r="K47" i="11"/>
  <c r="Q47" i="11"/>
  <c r="K50" i="11"/>
  <c r="Q50" i="11"/>
  <c r="X39" i="11"/>
  <c r="X43" i="11"/>
  <c r="X47" i="11"/>
  <c r="X51" i="11"/>
  <c r="X38" i="10"/>
  <c r="X42" i="10"/>
  <c r="X46" i="10"/>
  <c r="X50" i="10"/>
  <c r="L11" i="11"/>
  <c r="L19" i="11"/>
  <c r="K41" i="11"/>
  <c r="Q41" i="11"/>
  <c r="K44" i="11"/>
  <c r="Q44" i="11"/>
  <c r="K58" i="11"/>
  <c r="Q58" i="11"/>
  <c r="L14" i="11"/>
  <c r="L22" i="11"/>
  <c r="K39" i="11"/>
  <c r="Q39" i="11"/>
  <c r="X37" i="11"/>
  <c r="X41" i="11"/>
  <c r="X45" i="11"/>
  <c r="X36" i="10"/>
  <c r="X40" i="10"/>
  <c r="X44" i="10"/>
  <c r="X55" i="10"/>
  <c r="R59" i="10"/>
  <c r="R58" i="10"/>
  <c r="R57" i="10"/>
  <c r="J44" i="10"/>
  <c r="J42" i="10"/>
  <c r="J21" i="11"/>
  <c r="I42" i="11"/>
  <c r="O42" i="11"/>
  <c r="J12" i="11"/>
  <c r="I45" i="11"/>
  <c r="O45" i="11"/>
  <c r="J11" i="11"/>
  <c r="I44" i="11"/>
  <c r="O44" i="11"/>
  <c r="J14" i="11"/>
  <c r="V37" i="11"/>
  <c r="V42" i="11"/>
  <c r="V47" i="11"/>
  <c r="I59" i="10"/>
  <c r="J57" i="10"/>
  <c r="V51" i="11"/>
  <c r="J38" i="10"/>
  <c r="J46" i="10"/>
  <c r="J50" i="10"/>
  <c r="V39" i="11"/>
  <c r="J41" i="10"/>
  <c r="V40" i="11"/>
  <c r="V44" i="11"/>
  <c r="J39" i="10"/>
  <c r="J40" i="10"/>
  <c r="J47" i="10"/>
  <c r="D23" i="11"/>
  <c r="D22" i="11"/>
  <c r="D21" i="11"/>
  <c r="D20" i="11"/>
  <c r="D19" i="11"/>
  <c r="D17" i="11"/>
  <c r="D15" i="11"/>
  <c r="D14" i="11"/>
  <c r="D13" i="11"/>
  <c r="D12" i="11"/>
  <c r="D11" i="11"/>
  <c r="D10" i="11"/>
  <c r="D9" i="11"/>
  <c r="D8" i="11"/>
  <c r="P49" i="10"/>
  <c r="P41" i="10"/>
  <c r="P39" i="10"/>
  <c r="P48" i="10"/>
  <c r="P46" i="10"/>
  <c r="P38" i="10"/>
  <c r="D51" i="10"/>
  <c r="D49" i="10"/>
  <c r="D47" i="10"/>
  <c r="D45" i="10"/>
  <c r="D43" i="10"/>
  <c r="D41" i="10"/>
  <c r="D39" i="10"/>
  <c r="D37" i="10"/>
  <c r="D50" i="10"/>
  <c r="D48" i="10"/>
  <c r="D46" i="10"/>
  <c r="D44" i="10"/>
  <c r="D42" i="10"/>
  <c r="D40" i="10"/>
  <c r="D38" i="10"/>
  <c r="D36" i="10"/>
  <c r="D16" i="11"/>
  <c r="C51" i="11"/>
  <c r="D46" i="11"/>
  <c r="D18" i="11"/>
  <c r="R55" i="1"/>
  <c r="R53" i="1"/>
  <c r="Q59" i="11"/>
  <c r="R54" i="1"/>
  <c r="P53" i="1"/>
  <c r="R47" i="1"/>
  <c r="R49" i="1"/>
  <c r="R40" i="1"/>
  <c r="P40" i="10"/>
  <c r="P50" i="10"/>
  <c r="P45" i="10"/>
  <c r="P42" i="10"/>
  <c r="P37" i="10"/>
  <c r="P47" i="10"/>
  <c r="R54" i="11"/>
  <c r="R53" i="11"/>
  <c r="O53" i="11"/>
  <c r="R42" i="10"/>
  <c r="P36" i="10"/>
  <c r="P44" i="10"/>
  <c r="P51" i="10"/>
  <c r="R49" i="10"/>
  <c r="R47" i="10"/>
  <c r="R36" i="10"/>
  <c r="R43" i="10"/>
  <c r="R41" i="10"/>
  <c r="R39" i="10"/>
  <c r="R50" i="10"/>
  <c r="R48" i="10"/>
  <c r="R46" i="10"/>
  <c r="R37" i="10"/>
  <c r="R45" i="10"/>
  <c r="O55" i="11"/>
  <c r="R55" i="10"/>
  <c r="R54" i="10"/>
  <c r="Q51" i="11"/>
  <c r="R42" i="11"/>
  <c r="R55" i="11"/>
  <c r="R59" i="11"/>
  <c r="R58" i="11"/>
  <c r="R57" i="11"/>
  <c r="O59" i="11"/>
  <c r="P59" i="11"/>
  <c r="O51" i="11"/>
  <c r="P42" i="11"/>
  <c r="T54" i="11"/>
  <c r="T55" i="11"/>
  <c r="R48" i="1"/>
  <c r="R36" i="1"/>
  <c r="R50" i="1"/>
  <c r="R38" i="1"/>
  <c r="R37" i="1"/>
  <c r="R46" i="1"/>
  <c r="R43" i="1"/>
  <c r="R45" i="1"/>
  <c r="R51" i="1"/>
  <c r="R42" i="1"/>
  <c r="R39" i="1"/>
  <c r="R44" i="1"/>
  <c r="J54" i="1"/>
  <c r="J36" i="1"/>
  <c r="J59" i="1"/>
  <c r="J57" i="1"/>
  <c r="J48" i="1"/>
  <c r="J38" i="1"/>
  <c r="J51" i="1"/>
  <c r="J39" i="1"/>
  <c r="J43" i="1"/>
  <c r="J47" i="1"/>
  <c r="J50" i="1"/>
  <c r="J46" i="1"/>
  <c r="J42" i="1"/>
  <c r="J45" i="1"/>
  <c r="J58" i="1"/>
  <c r="J37" i="1"/>
  <c r="J49" i="1"/>
  <c r="J53" i="1"/>
  <c r="J44" i="1"/>
  <c r="J40" i="1"/>
  <c r="K55" i="11"/>
  <c r="L55" i="11"/>
  <c r="K59" i="11"/>
  <c r="L59" i="11"/>
  <c r="L37" i="10"/>
  <c r="L50" i="10"/>
  <c r="L41" i="10"/>
  <c r="I59" i="11"/>
  <c r="J59" i="11"/>
  <c r="L44" i="10"/>
  <c r="J55" i="10"/>
  <c r="J54" i="10"/>
  <c r="J53" i="10"/>
  <c r="L45" i="10"/>
  <c r="L40" i="10"/>
  <c r="L46" i="10"/>
  <c r="L51" i="10"/>
  <c r="L49" i="10"/>
  <c r="L48" i="10"/>
  <c r="L39" i="10"/>
  <c r="L36" i="10"/>
  <c r="L38" i="10"/>
  <c r="L47" i="10"/>
  <c r="L55" i="10"/>
  <c r="L54" i="10"/>
  <c r="K51" i="11"/>
  <c r="L51" i="11"/>
  <c r="L42" i="10"/>
  <c r="L53" i="10"/>
  <c r="L57" i="11"/>
  <c r="I51" i="11"/>
  <c r="J55" i="11"/>
  <c r="J54" i="11"/>
  <c r="J53" i="11"/>
  <c r="J59" i="10"/>
  <c r="J58" i="10"/>
  <c r="D51" i="11"/>
  <c r="D50" i="11"/>
  <c r="D49" i="11"/>
  <c r="D48" i="11"/>
  <c r="D47" i="11"/>
  <c r="D42" i="11"/>
  <c r="D45" i="11"/>
  <c r="D36" i="11"/>
  <c r="D38" i="11"/>
  <c r="D41" i="11"/>
  <c r="D37" i="11"/>
  <c r="D44" i="11"/>
  <c r="D43" i="11"/>
  <c r="D40" i="11"/>
  <c r="D39" i="11"/>
  <c r="L58" i="11"/>
  <c r="P58" i="11"/>
  <c r="P57" i="11"/>
  <c r="L50" i="11"/>
  <c r="P41" i="11"/>
  <c r="P46" i="11"/>
  <c r="P49" i="11"/>
  <c r="R43" i="11"/>
  <c r="P47" i="11"/>
  <c r="P54" i="11"/>
  <c r="P55" i="11"/>
  <c r="P53" i="11"/>
  <c r="R49" i="11"/>
  <c r="R38" i="11"/>
  <c r="R40" i="11"/>
  <c r="R41" i="11"/>
  <c r="R50" i="11"/>
  <c r="R47" i="11"/>
  <c r="R36" i="11"/>
  <c r="R37" i="11"/>
  <c r="R51" i="11"/>
  <c r="R44" i="11"/>
  <c r="R45" i="11"/>
  <c r="R39" i="11"/>
  <c r="R48" i="11"/>
  <c r="R46" i="11"/>
  <c r="P40" i="11"/>
  <c r="P45" i="11"/>
  <c r="P37" i="11"/>
  <c r="P48" i="11"/>
  <c r="P43" i="11"/>
  <c r="P50" i="11"/>
  <c r="P36" i="11"/>
  <c r="P44" i="11"/>
  <c r="P39" i="11"/>
  <c r="P38" i="11"/>
  <c r="P51" i="11"/>
  <c r="L43" i="11"/>
  <c r="L53" i="11"/>
  <c r="L46" i="11"/>
  <c r="L54" i="11"/>
  <c r="L37" i="11"/>
  <c r="J58" i="11"/>
  <c r="J57" i="11"/>
  <c r="L36" i="11"/>
  <c r="L40" i="11"/>
  <c r="L41" i="11"/>
  <c r="L42" i="11"/>
  <c r="L45" i="11"/>
  <c r="L39" i="11"/>
  <c r="L47" i="11"/>
  <c r="L48" i="11"/>
  <c r="L38" i="11"/>
  <c r="L49" i="11"/>
  <c r="L44" i="11"/>
  <c r="J39" i="11"/>
  <c r="J40" i="11"/>
  <c r="J47" i="11"/>
  <c r="J46" i="11"/>
  <c r="J50" i="11"/>
  <c r="J48" i="11"/>
  <c r="J37" i="11"/>
  <c r="J38" i="11"/>
  <c r="J36" i="11"/>
  <c r="J43" i="11"/>
  <c r="J49" i="11"/>
  <c r="J41" i="11"/>
  <c r="J51" i="11"/>
  <c r="J42" i="11"/>
  <c r="J44" i="11"/>
  <c r="J45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<sst xmlns="http://schemas.openxmlformats.org/spreadsheetml/2006/main" count="480" uniqueCount="131">
  <si>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</si>
  <si>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</si>
  <si>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</si>
  <si>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</si>
  <si>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</si>
  <si>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</si>
  <si>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</si>
  <si>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</si>
  <si>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</si>
  <si>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</si>
  <si>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</si>
  <si>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</si>
  <si>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</si>
  <si>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</si>
  <si>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</si>
  <si>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</si>
  <si>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</si>
  <si>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</si>
  <si>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</si>
  <si>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</si>
  <si>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</si>
  <si>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</si>
  <si>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</si>
  <si>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</si>
  <si>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</si>
  <si>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</si>
  <si>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</si>
  <si>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</si>
  <si>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</si>
  <si>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</si>
  <si>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</si>
  <si>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</si>
  <si>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</si>
  <si>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</si>
  <si>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</si>
  <si>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</si>
  <si>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</si>
  <si>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</si>
  <si>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</si>
  <si>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</si>
  <si>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</si>
  <si>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</si>
  <si>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</si>
  <si>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</si>
  <si>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</si>
  <si>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</si>
  <si>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</si>
  <si>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</si>
  <si>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</si>
  <si>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</si>
  <si>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</si>
  <si>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</si>
  <si>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</si>
  <si>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</si>
  <si>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</si>
  <si>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</si>
  <si>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</si>
  <si>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</si>
  <si>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</si>
  <si>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</si>
  <si>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</si>
  <si>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</si>
  <si>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</si>
  <si>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</si>
  <si>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</si>
  <si>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</si>
  <si>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</si>
  <si>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</si>
  <si>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</si>
  <si>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</si>
  <si>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</si>
  <si>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</si>
  <si>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</si>
  <si>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</si>
  <si>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</si>
  <si>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</si>
  <si>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</si>
  <si>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</si>
  <si>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</si>
  <si>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</si>
  <si>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</si>
  <si>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</si>
  <si>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</si>
  <si>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</si>
  <si>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</si>
  <si>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</si>
  <si>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</si>
  <si>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</si>
  <si>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</si>
  <si>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</si>
  <si>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</si>
  <si>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</si>
  <si>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</si>
  <si>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</si>
  <si>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</si>
  <si>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</si>
  <si>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</si>
  <si>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</si>
  <si>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</si>
  <si>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</si>
  <si>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</si>
  <si>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</si>
  <si>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</si>
  <si>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</si>
  <si>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</si>
  <si>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</si>
  <si>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</si>
  <si>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</si>
  <si>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</si>
  <si>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</si>
  <si>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</si>
  <si>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</si>
  <si>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</si>
  <si>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</si>
  <si>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</si>
  <si>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</si>
  <si>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</si>
  <si>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</si>
  <si>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</si>
  <si>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</si>
  <si>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</si>
  <si>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</si>
  <si>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</si>
  <si>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</si>
  <si>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</si>
  <si>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</si>
  <si>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</si>
  <si>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</si>
  <si>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</si>
  <si>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30.09.22</t>
  </si>
  <si>
    <t>במקביל למועדי פרסום רשימת נכסים ברמת הנכס הבודד באתר החברה.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</si>
</sst>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78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2639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09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0" fontId="67" fillId="98" borderId="29" xfId="0" applyFont="1" applyFill="1" applyBorder="1" applyAlignment="1" applyProtection="1">
      <alignment horizontal="right"/>
    </xf>
    <xf numFmtId="189" fontId="68" fillId="17" borderId="30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0" fontId="67" fillId="98" borderId="31" xfId="0" applyFont="1" applyFill="1" applyBorder="1" applyAlignment="1" applyProtection="1">
      <alignment horizontal="right"/>
    </xf>
    <xf numFmtId="190" fontId="68" fillId="97" borderId="28" xfId="0" applyNumberFormat="1" applyFont="1" applyFill="1" applyBorder="1" applyProtection="1"/>
    <xf numFmtId="0" fontId="67" fillId="98" borderId="32" xfId="0" applyFont="1" applyFill="1" applyBorder="1" applyAlignment="1" applyProtection="1">
      <alignment horizontal="right"/>
    </xf>
    <xf numFmtId="189" fontId="67" fillId="97" borderId="33" xfId="0" applyNumberFormat="1" applyFont="1" applyFill="1" applyBorder="1" applyProtection="1"/>
    <xf numFmtId="190" fontId="67" fillId="97" borderId="34" xfId="0" applyNumberFormat="1" applyFont="1" applyFill="1" applyBorder="1" applyProtection="1"/>
    <xf numFmtId="189" fontId="67" fillId="17" borderId="35" xfId="0" applyNumberFormat="1" applyFont="1" applyFill="1" applyBorder="1" applyProtection="1"/>
    <xf numFmtId="190" fontId="67" fillId="17" borderId="34" xfId="0" applyNumberFormat="1" applyFont="1" applyFill="1" applyBorder="1" applyProtection="1"/>
    <xf numFmtId="189" fontId="67" fillId="17" borderId="34" xfId="0" applyNumberFormat="1" applyFont="1" applyFill="1" applyBorder="1" applyProtection="1"/>
    <xf numFmtId="189" fontId="67" fillId="97" borderId="34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6" xfId="0" applyNumberFormat="1" applyFont="1" applyFill="1" applyBorder="1" applyProtection="1"/>
    <xf numFmtId="189" fontId="68" fillId="97" borderId="30" xfId="0" applyNumberFormat="1" applyFont="1" applyFill="1" applyBorder="1" applyProtection="1"/>
    <xf numFmtId="189" fontId="67" fillId="97" borderId="35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7" xfId="0" applyNumberFormat="1" applyFont="1" applyFill="1" applyBorder="1" applyProtection="1"/>
    <xf numFmtId="190" fontId="68" fillId="17" borderId="38" xfId="0" applyNumberFormat="1" applyFont="1" applyFill="1" applyBorder="1" applyProtection="1"/>
    <xf numFmtId="190" fontId="68" fillId="97" borderId="38" xfId="0" applyNumberFormat="1" applyFont="1" applyFill="1" applyBorder="1" applyProtection="1"/>
    <xf numFmtId="190" fontId="67" fillId="97" borderId="39" xfId="0" applyNumberFormat="1" applyFont="1" applyFill="1" applyBorder="1" applyProtection="1"/>
    <xf numFmtId="190" fontId="67" fillId="17" borderId="39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36" xfId="0" applyNumberFormat="1" applyFont="1" applyFill="1" applyBorder="1" applyProtection="1">
      <protection locked="0"/>
    </xf>
    <xf numFmtId="189" fontId="68" fillId="97" borderId="30" xfId="0" applyNumberFormat="1" applyFont="1" applyFill="1" applyBorder="1" applyProtection="1">
      <protection locked="0"/>
    </xf>
    <xf numFmtId="189" fontId="68" fillId="17" borderId="30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190" fontId="68" fillId="0" borderId="40" xfId="0" applyNumberFormat="1" applyFont="1" applyFill="1" applyBorder="1" applyProtection="1"/>
    <xf numFmtId="190" fontId="68" fillId="0" borderId="41" xfId="0" applyNumberFormat="1" applyFont="1" applyFill="1" applyBorder="1" applyProtection="1"/>
    <xf numFmtId="190" fontId="68" fillId="0" borderId="42" xfId="0" applyNumberFormat="1" applyFont="1" applyFill="1" applyBorder="1" applyProtection="1"/>
    <xf numFmtId="0" fontId="68" fillId="0" borderId="41" xfId="0" applyFont="1" applyFill="1" applyBorder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90" fontId="68" fillId="97" borderId="34" xfId="0" applyNumberFormat="1" applyFont="1" applyFill="1" applyBorder="1" applyProtection="1"/>
    <xf numFmtId="189" fontId="68" fillId="17" borderId="36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7" xfId="0" applyNumberFormat="1" applyFont="1" applyFill="1" applyBorder="1" applyProtection="1"/>
    <xf numFmtId="189" fontId="67" fillId="97" borderId="36" xfId="0" applyNumberFormat="1" applyFont="1" applyFill="1" applyBorder="1" applyProtection="1"/>
    <xf numFmtId="189" fontId="67" fillId="97" borderId="30" xfId="0" applyNumberFormat="1" applyFont="1" applyFill="1" applyBorder="1" applyProtection="1"/>
    <xf numFmtId="189" fontId="68" fillId="17" borderId="36" xfId="0" applyNumberFormat="1" applyFont="1" applyFill="1" applyBorder="1" applyProtection="1">
      <protection locked="0"/>
    </xf>
    <xf numFmtId="189" fontId="68" fillId="17" borderId="27" xfId="0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43" xfId="6528" applyFont="1" applyFill="1" applyBorder="1"/>
    <xf numFmtId="0" fontId="74" fillId="6" borderId="28" xfId="6528" applyFont="1" applyFill="1" applyBorder="1" applyProtection="1"/>
    <xf numFmtId="0" fontId="74" fillId="6" borderId="43" xfId="6528" applyFont="1" applyFill="1" applyBorder="1" applyAlignment="1">
      <alignment horizontal="center"/>
    </xf>
    <xf numFmtId="0" fontId="16" fillId="6" borderId="43" xfId="6528" applyFont="1" applyFill="1" applyBorder="1" applyAlignment="1">
      <alignment horizontal="right"/>
    </xf>
    <xf numFmtId="0" fontId="0" fillId="100" borderId="0" xfId="0" applyFill="1"/>
    <xf numFmtId="0" fontId="0" fillId="101" borderId="36" xfId="0" applyFill="1" applyBorder="1"/>
    <xf numFmtId="0" fontId="0" fillId="101" borderId="30" xfId="0" applyFill="1" applyBorder="1"/>
    <xf numFmtId="0" fontId="0" fillId="101" borderId="35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3" xfId="0" applyFont="1" applyFill="1" applyBorder="1" applyAlignment="1" applyProtection="1">
      <alignment horizontal="center"/>
    </xf>
    <xf numFmtId="0" fontId="67" fillId="98" borderId="34" xfId="0" applyFont="1" applyFill="1" applyBorder="1" applyAlignment="1" applyProtection="1">
      <alignment horizontal="center"/>
    </xf>
    <xf numFmtId="0" fontId="67" fillId="98" borderId="39" xfId="0" applyFont="1" applyFill="1" applyBorder="1" applyAlignment="1" applyProtection="1">
      <alignment horizontal="center"/>
    </xf>
    <xf numFmtId="0" fontId="67" fillId="98" borderId="35" xfId="0" applyFont="1" applyFill="1" applyBorder="1" applyAlignment="1" applyProtection="1">
      <alignment horizontal="center"/>
    </xf>
    <xf numFmtId="0" fontId="75" fillId="0" borderId="29" xfId="0" applyFont="1" applyBorder="1" applyAlignment="1" applyProtection="1">
      <alignment horizontal="center"/>
    </xf>
    <xf numFmtId="0" fontId="75" fillId="0" borderId="29" xfId="0" applyFont="1" applyBorder="1" applyProtection="1"/>
    <xf numFmtId="189" fontId="67" fillId="17" borderId="34" xfId="0" applyNumberFormat="1" applyFont="1" applyFill="1" applyBorder="1" applyProtection="1">
      <protection locked="0"/>
    </xf>
    <xf numFmtId="189" fontId="67" fillId="97" borderId="35" xfId="0" applyNumberFormat="1" applyFont="1" applyFill="1" applyBorder="1" applyProtection="1">
      <protection locked="0"/>
    </xf>
    <xf numFmtId="0" fontId="0" fillId="0" borderId="44" xfId="0" applyFont="1" applyBorder="1"/>
    <xf numFmtId="0" fontId="0" fillId="0" borderId="44" xfId="0" applyFont="1" applyBorder="1" applyAlignment="1">
      <alignment horizontal="right"/>
    </xf>
    <xf numFmtId="0" fontId="16" fillId="6" borderId="43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44" xfId="0" applyFont="1" applyBorder="1" applyAlignment="1">
      <alignment vertical="top" wrapText="1"/>
    </xf>
    <xf numFmtId="0" fontId="0" fillId="0" borderId="44" xfId="0" applyFont="1" applyFill="1" applyBorder="1"/>
    <xf numFmtId="0" fontId="0" fillId="99" borderId="0" xfId="0" applyFont="1" applyFill="1"/>
    <xf numFmtId="17" fontId="11" fillId="46" borderId="45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6" xfId="0" applyFont="1" applyFill="1" applyBorder="1" applyAlignment="1" applyProtection="1">
      <protection locked="0"/>
    </xf>
    <xf numFmtId="17" fontId="11" fillId="102" borderId="45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6" xfId="0" applyFill="1" applyBorder="1" applyAlignment="1" applyProtection="1">
      <protection locked="0"/>
    </xf>
    <xf numFmtId="0" fontId="0" fillId="103" borderId="46" xfId="0" applyFill="1" applyBorder="1" applyAlignment="1"/>
    <xf numFmtId="0" fontId="13" fillId="102" borderId="46" xfId="0" applyFont="1" applyFill="1" applyBorder="1" applyAlignment="1" applyProtection="1">
      <alignment horizontal="right"/>
      <protection locked="0"/>
    </xf>
    <xf numFmtId="0" fontId="0" fillId="0" borderId="44" xfId="0" applyFont="1" applyBorder="1" applyAlignment="1">
      <alignment horizontal="right" vertical="top"/>
    </xf>
    <xf numFmtId="0" fontId="0" fillId="0" borderId="44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8" xfId="0" applyFont="1" applyFill="1" applyBorder="1" applyAlignment="1" applyProtection="1">
      <alignment horizontal="center" vertical="center" wrapText="1"/>
    </xf>
    <xf numFmtId="0" fontId="67" fillId="98" borderId="30" xfId="0" applyFont="1" applyFill="1" applyBorder="1" applyAlignment="1" applyProtection="1">
      <alignment horizontal="center" vertical="center" wrapText="1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8" xfId="0" applyFont="1" applyFill="1" applyBorder="1" applyAlignment="1" applyProtection="1">
      <alignment horizontal="center" vertical="center"/>
    </xf>
    <xf numFmtId="0" fontId="67" fillId="98" borderId="36" xfId="0" applyFont="1" applyFill="1" applyBorder="1" applyAlignment="1" applyProtection="1">
      <alignment horizontal="center" vertical="center"/>
    </xf>
    <xf numFmtId="0" fontId="67" fillId="98" borderId="27" xfId="0" applyFont="1" applyFill="1" applyBorder="1" applyAlignment="1" applyProtection="1">
      <alignment horizontal="center" vertical="center"/>
    </xf>
    <xf numFmtId="0" fontId="67" fillId="98" borderId="37" xfId="0" applyFont="1" applyFill="1" applyBorder="1" applyAlignment="1" applyProtection="1">
      <alignment horizontal="center" vertical="center"/>
    </xf>
    <xf numFmtId="0" fontId="67" fillId="98" borderId="25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39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workbookViewId="0">
      <selection activeCell="A25" sqref="A25"/>
    </sheetView>
  </sheetViews>
  <sheetFormatPr defaultColWidth="9" defaultRowHeight="14.25"/>
  <cols>
    <col min="1" max="1" width="16.25" style="87" customWidth="1"/>
    <col min="2" max="2" width="32.375" style="87" customWidth="1"/>
    <col min="3" max="3" width="10.125" style="87" customWidth="1"/>
    <col min="4" max="4" width="105.25" style="87" bestFit="1" customWidth="1"/>
    <col min="5" max="12" width="9" style="87"/>
    <col min="13" max="13" width="24.25" style="87" customWidth="1"/>
    <col min="14" max="14" width="13.5" style="87" customWidth="1"/>
    <col min="15" max="15" width="12" style="87" bestFit="1" customWidth="1"/>
    <col min="16" max="16384" width="9" style="87"/>
  </cols>
  <sheetData>
    <row r="1" spans="1:17" ht="15">
      <c r="A1" s="91" t="s">
        <v>102</v>
      </c>
      <c r="B1" s="91" t="s">
        <v>103</v>
      </c>
      <c r="C1" s="91" t="s">
        <v>104</v>
      </c>
      <c r="D1" s="93" t="s">
        <v>105</v>
      </c>
      <c r="J1"/>
      <c r="K1"/>
      <c r="L1"/>
      <c r="M1" s="68" t="s">
        <v>115</v>
      </c>
      <c r="N1"/>
      <c r="O1"/>
      <c r="P1"/>
      <c r="Q1"/>
    </row>
    <row r="2" spans="1:17" ht="13.9" customHeight="1">
      <c r="A2" s="98" t="s">
        <v>106</v>
      </c>
      <c r="B2" s="83">
        <v>1</v>
      </c>
      <c r="C2" s="83" t="s">
        <v>109</v>
      </c>
      <c r="D2" s="84" t="s">
        <v>112</v>
      </c>
      <c r="J2"/>
      <c r="K2" s="68" t="str">
        <f>RIGHT(J3,2)</f>
        <v>22</v>
      </c>
      <c r="L2" s="68">
        <f>VLOOKUP(B22,J4:K7,2,0)</f>
        <v>3</v>
      </c>
      <c r="M2" s="85" t="str">
        <f>C3</f>
        <v>מועד דיווח</v>
      </c>
      <c r="N2" s="85" t="str">
        <f>VLOOKUP($B$21,$M$3:$O$27,2,0)</f>
        <v>Clal</v>
      </c>
      <c r="O2" s="85">
        <f>VLOOKUP($B$21,$M$3:$O$27,3,0)</f>
        <v>520024647</v>
      </c>
      <c r="P2"/>
      <c r="Q2"/>
    </row>
    <row r="3" spans="1:17" ht="15">
      <c r="A3" s="98"/>
      <c r="B3" s="83">
        <v>2</v>
      </c>
      <c r="C3" s="83" t="s">
        <v>110</v>
      </c>
      <c r="D3" s="84" t="s">
        <v>130</v>
      </c>
      <c r="I3" s="87" t="s">
        <v>121</v>
      </c>
      <c r="J3" s="63">
        <f>B20</f>
        <v>2022</v>
      </c>
      <c r="K3"/>
      <c r="L3"/>
      <c r="M3" s="67" t="s">
        <v>98</v>
      </c>
      <c r="N3" s="65" t="s">
        <v>99</v>
      </c>
      <c r="O3" s="66">
        <v>123456789</v>
      </c>
      <c r="P3"/>
      <c r="Q3"/>
    </row>
    <row r="4" spans="1:17" ht="15">
      <c r="A4" s="98"/>
      <c r="B4" s="83">
        <v>3</v>
      </c>
      <c r="C4" s="83" t="s">
        <v>113</v>
      </c>
      <c r="D4" s="84" t="s">
        <v>107</v>
      </c>
      <c r="I4" s="90">
        <v>2022</v>
      </c>
      <c r="J4" s="62" t="str">
        <f>CONCATENATE($L$4,RIGHT($J$3,2))</f>
        <v>31.03.22</v>
      </c>
      <c r="K4">
        <v>1</v>
      </c>
      <c r="L4" t="s">
        <v>42</v>
      </c>
      <c r="M4" s="67" t="s">
        <v>62</v>
      </c>
      <c r="N4" s="65" t="s">
        <v>63</v>
      </c>
      <c r="O4" s="66">
        <v>512304882</v>
      </c>
      <c r="P4"/>
      <c r="Q4"/>
    </row>
    <row r="5" spans="1:17" ht="15">
      <c r="A5" s="98"/>
      <c r="B5" s="97">
        <v>4</v>
      </c>
      <c r="C5" s="83" t="s">
        <v>111</v>
      </c>
      <c r="D5" s="84" t="s">
        <v>116</v>
      </c>
      <c r="I5" s="87">
        <f>I4+1</f>
        <v>2023</v>
      </c>
      <c r="J5" s="62" t="str">
        <f>CONCATENATE($L$5,RIGHT($J$3,2))</f>
        <v>30.06.22</v>
      </c>
      <c r="K5">
        <v>2</v>
      </c>
      <c r="L5" t="s">
        <v>43</v>
      </c>
      <c r="M5" s="64" t="s">
        <v>58</v>
      </c>
      <c r="N5" s="65" t="s">
        <v>59</v>
      </c>
      <c r="O5" s="66">
        <v>520030677</v>
      </c>
      <c r="P5"/>
      <c r="Q5"/>
    </row>
    <row r="6" spans="1:17" ht="15">
      <c r="A6" s="98"/>
      <c r="B6" s="97"/>
      <c r="C6" s="83"/>
      <c r="D6" s="84" t="s">
        <v>97</v>
      </c>
      <c r="F6" s="86"/>
      <c r="I6" s="87">
        <f t="shared" ref="I6:I19" si="0">I5+1</f>
        <v>2024</v>
      </c>
      <c r="J6" s="62" t="str">
        <f>CONCATENATE($L$6,RIGHT($J$3,2))</f>
        <v>30.09.22</v>
      </c>
      <c r="K6">
        <v>3</v>
      </c>
      <c r="L6" t="s">
        <v>44</v>
      </c>
      <c r="M6" s="64" t="s">
        <v>87</v>
      </c>
      <c r="N6" s="65" t="s">
        <v>89</v>
      </c>
      <c r="O6" s="66" t="s">
        <v>88</v>
      </c>
      <c r="P6"/>
      <c r="Q6"/>
    </row>
    <row r="7" spans="1:17" ht="15">
      <c r="A7" s="98"/>
      <c r="B7" s="97"/>
      <c r="C7" s="83"/>
      <c r="D7" s="84" t="s">
        <v>117</v>
      </c>
      <c r="I7" s="87">
        <f t="shared" si="0"/>
        <v>2025</v>
      </c>
      <c r="J7" s="62" t="str">
        <f>CONCATENATE($L$7,RIGHT($J$3,2))</f>
        <v>31.12.22</v>
      </c>
      <c r="K7">
        <v>4</v>
      </c>
      <c r="L7" t="s">
        <v>45</v>
      </c>
      <c r="M7" s="64" t="s">
        <v>68</v>
      </c>
      <c r="N7" s="65" t="s">
        <v>69</v>
      </c>
      <c r="O7" s="66">
        <v>570003152</v>
      </c>
      <c r="P7"/>
      <c r="Q7"/>
    </row>
    <row r="8" spans="1:17" ht="15">
      <c r="A8" s="98"/>
      <c r="B8" s="97"/>
      <c r="C8" s="83"/>
      <c r="D8" s="84" t="s">
        <v>122</v>
      </c>
      <c r="I8" s="87">
        <f>I7+1</f>
        <v>2026</v>
      </c>
      <c r="J8" s="62"/>
      <c r="K8">
        <f>K4</f>
        <v>1</v>
      </c>
      <c r="L8"/>
      <c r="M8" s="64" t="s">
        <v>56</v>
      </c>
      <c r="N8" s="65" t="s">
        <v>57</v>
      </c>
      <c r="O8" s="66">
        <v>513910703</v>
      </c>
      <c r="P8"/>
      <c r="Q8"/>
    </row>
    <row r="9" spans="1:17" ht="15">
      <c r="A9" s="98"/>
      <c r="B9" s="97"/>
      <c r="C9" s="83"/>
      <c r="D9" s="84" t="s">
        <v>118</v>
      </c>
      <c r="I9" s="87">
        <f t="shared" si="0"/>
        <v>2027</v>
      </c>
      <c r="J9" s="62"/>
      <c r="K9">
        <f>K5</f>
        <v>2</v>
      </c>
      <c r="L9"/>
      <c r="M9" s="64" t="s">
        <v>90</v>
      </c>
      <c r="N9" s="65" t="s">
        <v>92</v>
      </c>
      <c r="O9" s="66" t="s">
        <v>91</v>
      </c>
      <c r="P9"/>
      <c r="Q9"/>
    </row>
    <row r="10" spans="1:17" ht="15">
      <c r="A10" s="98"/>
      <c r="B10" s="97"/>
      <c r="C10" s="83"/>
      <c r="D10" s="84" t="s">
        <v>120</v>
      </c>
      <c r="I10" s="87">
        <f t="shared" si="0"/>
        <v>2028</v>
      </c>
      <c r="J10" s="62"/>
      <c r="K10">
        <f>K6</f>
        <v>3</v>
      </c>
      <c r="L10"/>
      <c r="M10" s="64" t="s">
        <v>93</v>
      </c>
      <c r="N10" s="65" t="s">
        <v>94</v>
      </c>
      <c r="O10" s="66" t="s">
        <v>101</v>
      </c>
      <c r="P10"/>
      <c r="Q10"/>
    </row>
    <row r="11" spans="1:17" ht="15">
      <c r="A11" s="98"/>
      <c r="B11" s="97"/>
      <c r="C11" s="83"/>
      <c r="D11" s="84" t="s">
        <v>108</v>
      </c>
      <c r="I11" s="87">
        <f t="shared" si="0"/>
        <v>2029</v>
      </c>
      <c r="J11" s="62"/>
      <c r="K11">
        <f>K7</f>
        <v>4</v>
      </c>
      <c r="L11"/>
      <c r="M11" s="64" t="s">
        <v>60</v>
      </c>
      <c r="N11" s="65" t="s">
        <v>61</v>
      </c>
      <c r="O11" s="66">
        <v>520042177</v>
      </c>
      <c r="P11"/>
      <c r="Q11"/>
    </row>
    <row r="12" spans="1:17" ht="13.9" customHeight="1">
      <c r="A12" s="98"/>
      <c r="B12" s="97"/>
      <c r="C12" s="83"/>
      <c r="D12" s="84" t="s">
        <v>123</v>
      </c>
      <c r="I12" s="87">
        <f t="shared" si="0"/>
        <v>2030</v>
      </c>
      <c r="J12" s="62"/>
      <c r="K12">
        <f t="shared" ref="K12:K19" si="1">K8</f>
        <v>1</v>
      </c>
      <c r="L12"/>
      <c r="M12" s="64" t="s">
        <v>50</v>
      </c>
      <c r="N12" s="65" t="s">
        <v>51</v>
      </c>
      <c r="O12" s="66">
        <v>520023185</v>
      </c>
      <c r="P12"/>
      <c r="Q12"/>
    </row>
    <row r="13" spans="1:17" ht="15">
      <c r="A13" s="98"/>
      <c r="B13" s="97"/>
      <c r="C13" s="83"/>
      <c r="D13" s="84" t="s">
        <v>124</v>
      </c>
      <c r="I13" s="87">
        <f t="shared" si="0"/>
        <v>2031</v>
      </c>
      <c r="J13" s="62"/>
      <c r="K13">
        <f t="shared" si="1"/>
        <v>2</v>
      </c>
      <c r="L13"/>
      <c r="M13" s="64" t="s">
        <v>46</v>
      </c>
      <c r="N13" s="65" t="s">
        <v>47</v>
      </c>
      <c r="O13" s="66">
        <v>520004078</v>
      </c>
      <c r="P13"/>
      <c r="Q13"/>
    </row>
    <row r="14" spans="1:17" ht="15">
      <c r="A14" s="88"/>
      <c r="B14" s="83">
        <v>5</v>
      </c>
      <c r="C14" s="83" t="s">
        <v>114</v>
      </c>
      <c r="D14" s="84" t="s">
        <v>128</v>
      </c>
      <c r="I14" s="87">
        <f t="shared" si="0"/>
        <v>2032</v>
      </c>
      <c r="J14" s="62"/>
      <c r="K14">
        <f t="shared" si="1"/>
        <v>3</v>
      </c>
      <c r="L14"/>
      <c r="M14" s="64" t="s">
        <v>64</v>
      </c>
      <c r="N14" s="65" t="s">
        <v>65</v>
      </c>
      <c r="O14" s="66">
        <v>515764868</v>
      </c>
      <c r="P14"/>
      <c r="Q14"/>
    </row>
    <row r="15" spans="1:17" ht="15">
      <c r="A15" s="98" t="s">
        <v>119</v>
      </c>
      <c r="B15" s="83">
        <v>6</v>
      </c>
      <c r="C15" s="83"/>
      <c r="D15" s="84" t="s">
        <v>127</v>
      </c>
      <c r="I15" s="87">
        <f t="shared" si="0"/>
        <v>2033</v>
      </c>
      <c r="J15" s="62"/>
      <c r="K15">
        <f t="shared" si="1"/>
        <v>4</v>
      </c>
      <c r="L15"/>
      <c r="M15" s="64" t="s">
        <v>84</v>
      </c>
      <c r="N15" s="65" t="s">
        <v>86</v>
      </c>
      <c r="O15" s="66" t="s">
        <v>85</v>
      </c>
      <c r="P15"/>
      <c r="Q15"/>
    </row>
    <row r="16" spans="1:17" ht="14.25" customHeight="1">
      <c r="A16" s="98"/>
      <c r="B16" s="83">
        <v>7</v>
      </c>
      <c r="C16" s="83"/>
      <c r="D16" s="84" t="s">
        <v>125</v>
      </c>
      <c r="I16" s="87">
        <f t="shared" si="0"/>
        <v>2034</v>
      </c>
      <c r="J16" s="62"/>
      <c r="K16">
        <f t="shared" si="1"/>
        <v>1</v>
      </c>
      <c r="L16"/>
      <c r="M16" s="64" t="s">
        <v>52</v>
      </c>
      <c r="N16" s="65" t="s">
        <v>53</v>
      </c>
      <c r="O16" s="66">
        <v>520024647</v>
      </c>
      <c r="P16"/>
      <c r="Q16"/>
    </row>
    <row r="17" spans="1:17" ht="15">
      <c r="A17" s="98"/>
      <c r="B17" s="89">
        <v>8</v>
      </c>
      <c r="C17" s="83"/>
      <c r="D17" s="84" t="s">
        <v>126</v>
      </c>
      <c r="I17" s="87">
        <f t="shared" si="0"/>
        <v>2035</v>
      </c>
      <c r="J17" s="62"/>
      <c r="K17">
        <f t="shared" si="1"/>
        <v>2</v>
      </c>
      <c r="L17"/>
      <c r="M17" s="64" t="s">
        <v>66</v>
      </c>
      <c r="N17" s="65" t="s">
        <v>67</v>
      </c>
      <c r="O17" s="66">
        <v>515761625</v>
      </c>
      <c r="P17"/>
      <c r="Q17"/>
    </row>
    <row r="18" spans="1:17" ht="15">
      <c r="I18" s="87">
        <f t="shared" si="0"/>
        <v>2036</v>
      </c>
      <c r="J18" s="62"/>
      <c r="K18">
        <f t="shared" si="1"/>
        <v>3</v>
      </c>
      <c r="L18"/>
      <c r="M18" s="64" t="s">
        <v>48</v>
      </c>
      <c r="N18" s="65" t="s">
        <v>49</v>
      </c>
      <c r="O18" s="66">
        <v>520004896</v>
      </c>
      <c r="P18"/>
      <c r="Q18"/>
    </row>
    <row r="19" spans="1:17" ht="15">
      <c r="I19" s="87">
        <f t="shared" si="0"/>
        <v>2037</v>
      </c>
      <c r="J19" s="62"/>
      <c r="K19">
        <f t="shared" si="1"/>
        <v>4</v>
      </c>
      <c r="L19"/>
      <c r="M19" s="64" t="s">
        <v>54</v>
      </c>
      <c r="N19" s="65" t="s">
        <v>55</v>
      </c>
      <c r="O19" s="66">
        <v>520042540</v>
      </c>
      <c r="P19"/>
      <c r="Q19"/>
    </row>
    <row r="20" spans="1:17" ht="18">
      <c r="A20" s="69" t="s">
        <v>100</v>
      </c>
      <c r="B20" s="92">
        <v>2022</v>
      </c>
      <c r="C20"/>
      <c r="J20"/>
      <c r="K20"/>
      <c r="L20"/>
      <c r="M20" s="64" t="s">
        <v>76</v>
      </c>
      <c r="N20" s="65" t="s">
        <v>78</v>
      </c>
      <c r="O20" s="66" t="s">
        <v>77</v>
      </c>
      <c r="P20"/>
      <c r="Q20"/>
    </row>
    <row r="21" spans="1:17" ht="15">
      <c r="A21" s="69" t="s">
        <v>39</v>
      </c>
      <c r="B21" s="94" t="s">
        <v>52</v>
      </c>
      <c r="C21"/>
      <c r="J21"/>
      <c r="K21"/>
      <c r="L21"/>
      <c r="M21" s="64" t="s">
        <v>81</v>
      </c>
      <c r="N21" s="65" t="s">
        <v>83</v>
      </c>
      <c r="O21" s="66" t="s">
        <v>82</v>
      </c>
      <c r="P21"/>
      <c r="Q21"/>
    </row>
    <row r="22" spans="1:17" ht="15.75">
      <c r="A22" s="70" t="s">
        <v>40</v>
      </c>
      <c r="B22" s="96" t="s">
        <v>129</v>
      </c>
      <c r="C22"/>
      <c r="J22"/>
      <c r="K22"/>
      <c r="L22"/>
      <c r="M22" s="64" t="s">
        <v>79</v>
      </c>
      <c r="N22" s="65" t="s">
        <v>80</v>
      </c>
      <c r="O22" s="66">
        <v>520027848</v>
      </c>
      <c r="P22"/>
      <c r="Q22"/>
    </row>
    <row r="23" spans="1:17" ht="15">
      <c r="A23" s="71" t="s">
        <v>41</v>
      </c>
      <c r="B23" s="95" t="str">
        <f>CONCATENATE("NostroYield_B_",O2,J20,"_",L2,K2,".xlsx")</f>
        <v>NostroYield_B_520024647_322.xlsx</v>
      </c>
      <c r="C23"/>
      <c r="D23"/>
      <c r="J23"/>
      <c r="K23"/>
      <c r="L23"/>
      <c r="M23" s="64" t="s">
        <v>74</v>
      </c>
      <c r="N23" s="65" t="s">
        <v>75</v>
      </c>
      <c r="O23" s="66">
        <v>500500376</v>
      </c>
      <c r="P23"/>
      <c r="Q23"/>
    </row>
    <row r="24" spans="1:17" ht="15">
      <c r="J24"/>
      <c r="K24"/>
      <c r="L24"/>
      <c r="M24" s="64" t="s">
        <v>72</v>
      </c>
      <c r="N24" s="65" t="s">
        <v>73</v>
      </c>
      <c r="O24" s="66">
        <v>513879189</v>
      </c>
      <c r="P24"/>
      <c r="Q24"/>
    </row>
    <row r="25" spans="1:17" ht="15">
      <c r="J25"/>
      <c r="K25"/>
      <c r="L25"/>
      <c r="M25" s="64" t="s">
        <v>70</v>
      </c>
      <c r="N25" s="65" t="s">
        <v>71</v>
      </c>
      <c r="O25" s="66">
        <v>510015951</v>
      </c>
      <c r="P25"/>
      <c r="Q25"/>
    </row>
    <row r="26" spans="1:17" ht="15">
      <c r="J26"/>
      <c r="K26"/>
      <c r="L26"/>
      <c r="M26" s="64" t="s">
        <v>95</v>
      </c>
      <c r="N26" s="65" t="s">
        <v>96</v>
      </c>
      <c r="O26" s="66">
        <v>123456789</v>
      </c>
      <c r="P26"/>
      <c r="Q26"/>
    </row>
    <row r="27" spans="1:17" ht="15">
      <c r="J27"/>
      <c r="K27"/>
      <c r="L27"/>
      <c r="M27" s="64" t="s">
        <v>95</v>
      </c>
      <c r="N27" s="65" t="s">
        <v>96</v>
      </c>
      <c r="O27" s="6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>
      <selection activeCell="C31" sqref="C31"/>
    </sheetView>
  </sheetViews>
  <sheetFormatPr defaultColWidth="9" defaultRowHeight="14.25" zeroHeight="1"/>
  <cols>
    <col min="1" max="1" width="1.12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36</v>
      </c>
      <c r="C3" s="52" t="s">
        <v>1</v>
      </c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41"/>
      <c r="B5" s="80" t="s">
        <v>2</v>
      </c>
      <c r="C5" s="107" t="s">
        <v>3</v>
      </c>
      <c r="D5" s="105"/>
      <c r="E5" s="105"/>
      <c r="F5" s="105"/>
      <c r="G5" s="105"/>
      <c r="H5" s="106"/>
      <c r="I5" s="104" t="s">
        <v>4</v>
      </c>
      <c r="J5" s="105"/>
      <c r="K5" s="105"/>
      <c r="L5" s="105"/>
      <c r="M5" s="105"/>
      <c r="N5" s="106"/>
      <c r="O5" s="104" t="s">
        <v>5</v>
      </c>
      <c r="P5" s="105"/>
      <c r="Q5" s="105"/>
      <c r="R5" s="105"/>
      <c r="S5" s="105"/>
      <c r="T5" s="106"/>
      <c r="U5" s="104" t="s">
        <v>6</v>
      </c>
      <c r="V5" s="105"/>
      <c r="W5" s="105"/>
      <c r="X5" s="105"/>
      <c r="Y5" s="105"/>
      <c r="Z5" s="106"/>
      <c r="AA5" s="7"/>
    </row>
    <row r="6" spans="1:27" s="74" customFormat="1" ht="30" customHeight="1">
      <c r="A6" s="72"/>
      <c r="B6" s="102" t="str">
        <f>CONCATENATE("20",RIGHT(הנחיות!B20,2))</f>
        <v>2022</v>
      </c>
      <c r="C6" s="108" t="s">
        <v>7</v>
      </c>
      <c r="D6" s="99"/>
      <c r="E6" s="99" t="s">
        <v>8</v>
      </c>
      <c r="F6" s="99"/>
      <c r="G6" s="99" t="s">
        <v>9</v>
      </c>
      <c r="H6" s="100"/>
      <c r="I6" s="101" t="s">
        <v>7</v>
      </c>
      <c r="J6" s="99"/>
      <c r="K6" s="99" t="s">
        <v>8</v>
      </c>
      <c r="L6" s="99"/>
      <c r="M6" s="99" t="s">
        <v>9</v>
      </c>
      <c r="N6" s="100"/>
      <c r="O6" s="101" t="s">
        <v>7</v>
      </c>
      <c r="P6" s="99"/>
      <c r="Q6" s="99" t="s">
        <v>8</v>
      </c>
      <c r="R6" s="99"/>
      <c r="S6" s="99" t="s">
        <v>9</v>
      </c>
      <c r="T6" s="100"/>
      <c r="U6" s="101" t="s">
        <v>7</v>
      </c>
      <c r="V6" s="99"/>
      <c r="W6" s="99" t="s">
        <v>8</v>
      </c>
      <c r="X6" s="99"/>
      <c r="Y6" s="99" t="s">
        <v>9</v>
      </c>
      <c r="Z6" s="100"/>
      <c r="AA6" s="73"/>
    </row>
    <row r="7" spans="1:27" s="74" customFormat="1">
      <c r="A7" s="72"/>
      <c r="B7" s="103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1">
        <v>634</v>
      </c>
      <c r="D8" s="9">
        <f>IFERROR(C8/C$23,"")</f>
        <v>1.4305215537178894E-3</v>
      </c>
      <c r="E8" s="3">
        <v>634</v>
      </c>
      <c r="F8" s="9">
        <f>IFERROR(E8/E$23,"")</f>
        <v>1.4783965227367591E-3</v>
      </c>
      <c r="G8" s="3">
        <v>604211.28460000001</v>
      </c>
      <c r="H8" s="9">
        <f>IFERROR(G8/G$23,"")</f>
        <v>2.576038738894371E-2</v>
      </c>
      <c r="I8" s="39">
        <v>12120</v>
      </c>
      <c r="J8" s="12">
        <f>IFERROR(I8/I$23,"")</f>
        <v>2.8515164562144001E-2</v>
      </c>
      <c r="K8" s="40">
        <v>12120</v>
      </c>
      <c r="L8" s="12">
        <f>IFERROR(K8/K$23,"")</f>
        <v>2.471824867537108E-2</v>
      </c>
      <c r="M8" s="40">
        <v>624211.28460000001</v>
      </c>
      <c r="N8" s="12">
        <f>IFERROR(M8/M$23,"")</f>
        <v>2.6535682453282177E-2</v>
      </c>
      <c r="O8" s="2">
        <v>4807</v>
      </c>
      <c r="P8" s="9">
        <f>IFERROR(O8/O$23,"")</f>
        <v>1.1805386714212388E-2</v>
      </c>
      <c r="Q8" s="4">
        <v>4807</v>
      </c>
      <c r="R8" s="9">
        <f>IFERROR(Q8/Q$23,"")</f>
        <v>1.1292626316729155E-2</v>
      </c>
      <c r="S8" s="4">
        <v>653879.28460000001</v>
      </c>
      <c r="T8" s="9">
        <f>IFERROR(S8/S$23,"")</f>
        <v>2.7434738236949561E-2</v>
      </c>
      <c r="U8" s="39"/>
      <c r="V8" s="12" t="str">
        <f>IFERROR(U8/U$23,"")</f>
        <v/>
      </c>
      <c r="W8" s="40"/>
      <c r="X8" s="12" t="str">
        <f>IFERROR(W8/W$23,"")</f>
        <v/>
      </c>
      <c r="Y8" s="40"/>
      <c r="Z8" s="12" t="str">
        <f>IFERROR(Y8/Y$23,"")</f>
        <v/>
      </c>
      <c r="AA8" s="7"/>
    </row>
    <row r="9" spans="1:27">
      <c r="A9" s="43"/>
      <c r="B9" s="15" t="s">
        <v>13</v>
      </c>
      <c r="C9" s="1">
        <v>1469</v>
      </c>
      <c r="D9" s="16">
        <f t="shared" ref="D9:F23" si="0">IFERROR(C9/C$23,"")</f>
        <v>3.3145680795135324E-3</v>
      </c>
      <c r="E9" s="3">
        <v>-2391</v>
      </c>
      <c r="F9" s="16">
        <f t="shared" si="0"/>
        <v>-5.5754670124031408E-3</v>
      </c>
      <c r="G9" s="3">
        <v>161367</v>
      </c>
      <c r="H9" s="16">
        <f t="shared" ref="H9" si="1">IFERROR(G9/G$23,"")</f>
        <v>6.8798391187672291E-3</v>
      </c>
      <c r="I9" s="39">
        <v>2219</v>
      </c>
      <c r="J9" s="12">
        <f t="shared" ref="J9" si="2">IFERROR(I9/I$23,"")</f>
        <v>5.2207219606763651E-3</v>
      </c>
      <c r="K9" s="40">
        <v>-2371</v>
      </c>
      <c r="L9" s="12">
        <f t="shared" ref="L9" si="3">IFERROR(K9/K$23,"")</f>
        <v>-4.8355583836060092E-3</v>
      </c>
      <c r="M9" s="40">
        <v>142810</v>
      </c>
      <c r="N9" s="12">
        <f t="shared" ref="N9" si="4">IFERROR(M9/M$23,"")</f>
        <v>6.0709585113982853E-3</v>
      </c>
      <c r="O9" s="2">
        <v>1224</v>
      </c>
      <c r="P9" s="16">
        <f t="shared" ref="P9" si="5">IFERROR(O9/O$23,"")</f>
        <v>3.0059898768870323E-3</v>
      </c>
      <c r="Q9" s="4">
        <v>-2128</v>
      </c>
      <c r="R9" s="16">
        <f t="shared" ref="R9" si="6">IFERROR(Q9/Q$23,"")</f>
        <v>-4.9991073022674524E-3</v>
      </c>
      <c r="S9" s="4">
        <v>105428</v>
      </c>
      <c r="T9" s="16">
        <f t="shared" ref="T9" si="7">IFERROR(S9/S$23,"")</f>
        <v>4.4234305183937592E-3</v>
      </c>
      <c r="U9" s="39"/>
      <c r="V9" s="12" t="str">
        <f t="shared" ref="V9" si="8">IFERROR(U9/U$23,"")</f>
        <v/>
      </c>
      <c r="W9" s="40"/>
      <c r="X9" s="12" t="str">
        <f t="shared" ref="X9" si="9">IFERROR(W9/W$23,"")</f>
        <v/>
      </c>
      <c r="Y9" s="40"/>
      <c r="Z9" s="12" t="str">
        <f t="shared" ref="Z9" si="10">IFERROR(Y9/Y$23,"")</f>
        <v/>
      </c>
      <c r="AA9" s="7"/>
    </row>
    <row r="10" spans="1:27">
      <c r="A10" s="43"/>
      <c r="B10" s="15" t="s">
        <v>14</v>
      </c>
      <c r="C10" s="1">
        <v>333836</v>
      </c>
      <c r="D10" s="16">
        <f t="shared" si="0"/>
        <v>0.7532485700425321</v>
      </c>
      <c r="E10" s="3">
        <v>333836</v>
      </c>
      <c r="F10" s="16">
        <f t="shared" si="0"/>
        <v>0.77845738417089705</v>
      </c>
      <c r="G10" s="3">
        <v>14032048</v>
      </c>
      <c r="H10" s="16">
        <f t="shared" ref="H10" si="11">IFERROR(G10/G$23,"")</f>
        <v>0.59825263372820625</v>
      </c>
      <c r="I10" s="39">
        <v>444623</v>
      </c>
      <c r="J10" s="12">
        <f t="shared" ref="J10" si="12">IFERROR(I10/I$23,"")</f>
        <v>1.0460806941513328</v>
      </c>
      <c r="K10" s="40">
        <v>444623</v>
      </c>
      <c r="L10" s="12">
        <f t="shared" ref="L10" si="13">IFERROR(K10/K$23,"")</f>
        <v>0.90679058422355741</v>
      </c>
      <c r="M10" s="40">
        <v>13965497</v>
      </c>
      <c r="N10" s="12">
        <f t="shared" ref="N10" si="14">IFERROR(M10/M$23,"")</f>
        <v>0.59368358572969138</v>
      </c>
      <c r="O10" s="2">
        <v>343868</v>
      </c>
      <c r="P10" s="16">
        <f t="shared" ref="P10" si="15">IFERROR(O10/O$23,"")</f>
        <v>0.84449650897499184</v>
      </c>
      <c r="Q10" s="4">
        <v>343868</v>
      </c>
      <c r="R10" s="16">
        <f t="shared" ref="R10" si="16">IFERROR(Q10/Q$23,"")</f>
        <v>0.80781627340982343</v>
      </c>
      <c r="S10" s="4">
        <v>14305070</v>
      </c>
      <c r="T10" s="16">
        <f t="shared" ref="T10" si="17">IFERROR(S10/S$23,"")</f>
        <v>0.60019618323176971</v>
      </c>
      <c r="U10" s="39"/>
      <c r="V10" s="12" t="str">
        <f t="shared" ref="V10" si="18">IFERROR(U10/U$23,"")</f>
        <v/>
      </c>
      <c r="W10" s="40"/>
      <c r="X10" s="12" t="str">
        <f t="shared" ref="X10" si="19">IFERROR(W10/W$23,"")</f>
        <v/>
      </c>
      <c r="Y10" s="40"/>
      <c r="Z10" s="12" t="str">
        <f t="shared" ref="Z10" si="20">IFERROR(Y10/Y$23,"")</f>
        <v/>
      </c>
      <c r="AA10" s="7"/>
    </row>
    <row r="11" spans="1:27">
      <c r="A11" s="43"/>
      <c r="B11" s="15" t="s">
        <v>15</v>
      </c>
      <c r="C11" s="1">
        <v>23835</v>
      </c>
      <c r="D11" s="16">
        <f t="shared" si="0"/>
        <v>5.3779938853100777E-2</v>
      </c>
      <c r="E11" s="3">
        <v>-32908</v>
      </c>
      <c r="F11" s="16">
        <f t="shared" si="0"/>
        <v>-7.673670783946572E-2</v>
      </c>
      <c r="G11" s="3">
        <v>734842</v>
      </c>
      <c r="H11" s="16">
        <f t="shared" ref="H11" si="21">IFERROR(G11/G$23,"")</f>
        <v>3.1329793190138927E-2</v>
      </c>
      <c r="I11" s="39">
        <v>13422</v>
      </c>
      <c r="J11" s="12">
        <f t="shared" ref="J11" si="22">IFERROR(I11/I$23,"")</f>
        <v>3.1578427289859469E-2</v>
      </c>
      <c r="K11" s="40">
        <v>-15932</v>
      </c>
      <c r="L11" s="12">
        <f t="shared" ref="L11" si="23">IFERROR(K11/K$23,"")</f>
        <v>-3.2492668143235315E-2</v>
      </c>
      <c r="M11" s="40">
        <v>851785</v>
      </c>
      <c r="N11" s="12">
        <f t="shared" ref="N11" si="24">IFERROR(M11/M$23,"")</f>
        <v>3.6210009072413618E-2</v>
      </c>
      <c r="O11" s="2">
        <v>9450</v>
      </c>
      <c r="P11" s="16">
        <f t="shared" ref="P11" si="25">IFERROR(O11/O$23,"")</f>
        <v>2.3208010078907233E-2</v>
      </c>
      <c r="Q11" s="4">
        <v>-21192</v>
      </c>
      <c r="R11" s="16">
        <f t="shared" ref="R11" si="26">IFERROR(Q11/Q$23,"")</f>
        <v>-4.9784343021452938E-2</v>
      </c>
      <c r="S11" s="4">
        <v>825600</v>
      </c>
      <c r="T11" s="16">
        <f t="shared" ref="T11" si="27">IFERROR(S11/S$23,"")</f>
        <v>3.4639604621029399E-2</v>
      </c>
      <c r="U11" s="39"/>
      <c r="V11" s="12" t="str">
        <f t="shared" ref="V11" si="28">IFERROR(U11/U$23,"")</f>
        <v/>
      </c>
      <c r="W11" s="40"/>
      <c r="X11" s="12" t="str">
        <f t="shared" ref="X11" si="29">IFERROR(W11/W$23,"")</f>
        <v/>
      </c>
      <c r="Y11" s="40"/>
      <c r="Z11" s="12" t="str">
        <f t="shared" ref="Z11" si="30">IFERROR(Y11/Y$23,"")</f>
        <v/>
      </c>
      <c r="AA11" s="7"/>
    </row>
    <row r="12" spans="1:27">
      <c r="A12" s="44"/>
      <c r="B12" s="15" t="s">
        <v>16</v>
      </c>
      <c r="C12" s="1">
        <v>6537</v>
      </c>
      <c r="D12" s="16">
        <f t="shared" si="0"/>
        <v>1.4749715136677987E-2</v>
      </c>
      <c r="E12" s="3">
        <v>6537</v>
      </c>
      <c r="F12" s="16">
        <f t="shared" si="0"/>
        <v>1.5243340803044471E-2</v>
      </c>
      <c r="G12" s="3">
        <v>221917</v>
      </c>
      <c r="H12" s="16">
        <f t="shared" ref="H12" si="31">IFERROR(G12/G$23,"")</f>
        <v>9.4613722614875859E-3</v>
      </c>
      <c r="I12" s="39">
        <v>8780</v>
      </c>
      <c r="J12" s="12">
        <f t="shared" ref="J12" si="32">IFERROR(I12/I$23,"")</f>
        <v>2.0657025153104316E-2</v>
      </c>
      <c r="K12" s="40">
        <v>8780</v>
      </c>
      <c r="L12" s="12">
        <f t="shared" ref="L12" si="33">IFERROR(K12/K$23,"")</f>
        <v>1.7906454073412383E-2</v>
      </c>
      <c r="M12" s="40">
        <v>223202</v>
      </c>
      <c r="N12" s="12">
        <f t="shared" ref="N12" si="34">IFERROR(M12/M$23,"")</f>
        <v>9.4884817706121435E-3</v>
      </c>
      <c r="O12" s="2">
        <v>6116</v>
      </c>
      <c r="P12" s="16">
        <f t="shared" ref="P12" si="35">IFERROR(O12/O$23,"")</f>
        <v>1.5020125888105465E-2</v>
      </c>
      <c r="Q12" s="4">
        <v>6116</v>
      </c>
      <c r="R12" s="16">
        <f t="shared" ref="R12" si="36">IFERROR(Q12/Q$23,"")</f>
        <v>1.4367735084900253E-2</v>
      </c>
      <c r="S12" s="4">
        <v>213642</v>
      </c>
      <c r="T12" s="16">
        <f t="shared" ref="T12" si="37">IFERROR(S12/S$23,"")</f>
        <v>8.9637529196293156E-3</v>
      </c>
      <c r="U12" s="39"/>
      <c r="V12" s="12" t="str">
        <f t="shared" ref="V12" si="38">IFERROR(U12/U$23,"")</f>
        <v/>
      </c>
      <c r="W12" s="40"/>
      <c r="X12" s="12" t="str">
        <f t="shared" ref="X12" si="39">IFERROR(W12/W$23,"")</f>
        <v/>
      </c>
      <c r="Y12" s="40"/>
      <c r="Z12" s="12" t="str">
        <f t="shared" ref="Z12" si="40">IFERROR(Y12/Y$23,"")</f>
        <v/>
      </c>
      <c r="AA12" s="7"/>
    </row>
    <row r="13" spans="1:27">
      <c r="A13" s="45"/>
      <c r="B13" s="15" t="s">
        <v>17</v>
      </c>
      <c r="C13" s="1">
        <v>1275</v>
      </c>
      <c r="D13" s="16">
        <f t="shared" si="0"/>
        <v>2.8768375094484367E-3</v>
      </c>
      <c r="E13" s="3">
        <v>5657</v>
      </c>
      <c r="F13" s="16">
        <f t="shared" si="0"/>
        <v>1.3191307774640136E-2</v>
      </c>
      <c r="G13" s="3">
        <v>430853</v>
      </c>
      <c r="H13" s="16">
        <f t="shared" ref="H13" si="41">IFERROR(G13/G$23,"")</f>
        <v>1.8369303041131192E-2</v>
      </c>
      <c r="I13" s="39">
        <v>9853</v>
      </c>
      <c r="J13" s="12">
        <f t="shared" ref="J13" si="42">IFERROR(I13/I$23,"")</f>
        <v>2.3181511256667068E-2</v>
      </c>
      <c r="K13" s="40">
        <v>6036</v>
      </c>
      <c r="L13" s="12">
        <f t="shared" ref="L13" si="43">IFERROR(K13/K$23,"")</f>
        <v>1.2310177310605597E-2</v>
      </c>
      <c r="M13" s="40">
        <v>464681</v>
      </c>
      <c r="N13" s="12">
        <f t="shared" ref="N13" si="44">IFERROR(M13/M$23,"")</f>
        <v>1.9753932301905096E-2</v>
      </c>
      <c r="O13" s="2">
        <v>3203</v>
      </c>
      <c r="P13" s="16">
        <f t="shared" ref="P13" si="45">IFERROR(O13/O$23,"")</f>
        <v>7.8661646860042189E-3</v>
      </c>
      <c r="Q13" s="4">
        <v>65711</v>
      </c>
      <c r="R13" s="16">
        <f t="shared" ref="R13" si="46">IFERROR(Q13/Q$23,"")</f>
        <v>0.15436858079854163</v>
      </c>
      <c r="S13" s="4">
        <v>507031</v>
      </c>
      <c r="T13" s="16">
        <f t="shared" ref="T13" si="47">IFERROR(S13/S$23,"")</f>
        <v>2.1273441582612837E-2</v>
      </c>
      <c r="U13" s="39"/>
      <c r="V13" s="12" t="str">
        <f t="shared" ref="V13" si="48">IFERROR(U13/U$23,"")</f>
        <v/>
      </c>
      <c r="W13" s="40"/>
      <c r="X13" s="12" t="str">
        <f t="shared" ref="X13" si="49">IFERROR(W13/W$23,"")</f>
        <v/>
      </c>
      <c r="Y13" s="40"/>
      <c r="Z13" s="12" t="str">
        <f t="shared" ref="Z13" si="50">IFERROR(Y13/Y$23,"")</f>
        <v/>
      </c>
      <c r="AA13" s="7"/>
    </row>
    <row r="14" spans="1:27">
      <c r="A14" s="43"/>
      <c r="B14" s="15" t="s">
        <v>18</v>
      </c>
      <c r="C14" s="1">
        <v>-17763</v>
      </c>
      <c r="D14" s="16">
        <f t="shared" si="0"/>
        <v>-4.0079423278692225E-2</v>
      </c>
      <c r="E14" s="3">
        <v>-23019</v>
      </c>
      <c r="F14" s="16">
        <f t="shared" si="0"/>
        <v>-5.3676986682772015E-2</v>
      </c>
      <c r="G14" s="3">
        <v>448290</v>
      </c>
      <c r="H14" s="16">
        <f t="shared" ref="H14" si="51">IFERROR(G14/G$23,"")</f>
        <v>1.9112724897607077E-2</v>
      </c>
      <c r="I14" s="39">
        <v>-1375</v>
      </c>
      <c r="J14" s="12">
        <f t="shared" ref="J14" si="52">IFERROR(I14/I$23,"")</f>
        <v>-3.2350124812663369E-3</v>
      </c>
      <c r="K14" s="40">
        <v>-29057</v>
      </c>
      <c r="L14" s="12">
        <f t="shared" ref="L14" si="53">IFERROR(K14/K$23,"")</f>
        <v>-5.9260573577578995E-2</v>
      </c>
      <c r="M14" s="40">
        <v>371993</v>
      </c>
      <c r="N14" s="12">
        <f t="shared" ref="N14" si="54">IFERROR(M14/M$23,"")</f>
        <v>1.5813697006726298E-2</v>
      </c>
      <c r="O14" s="2">
        <v>-50295</v>
      </c>
      <c r="P14" s="16">
        <f t="shared" ref="P14" si="55">IFERROR(O14/O$23,"")</f>
        <v>-0.12351818697551739</v>
      </c>
      <c r="Q14" s="4">
        <v>-18398</v>
      </c>
      <c r="R14" s="16">
        <f t="shared" ref="R14" si="56">IFERROR(Q14/Q$23,"")</f>
        <v>-4.3220665482667571E-2</v>
      </c>
      <c r="S14" s="4">
        <v>331610</v>
      </c>
      <c r="T14" s="16">
        <f t="shared" ref="T14" si="57">IFERROR(S14/S$23,"")</f>
        <v>1.3913322781467488E-2</v>
      </c>
      <c r="U14" s="39"/>
      <c r="V14" s="12" t="str">
        <f t="shared" ref="V14" si="58">IFERROR(U14/U$23,"")</f>
        <v/>
      </c>
      <c r="W14" s="40"/>
      <c r="X14" s="12" t="str">
        <f t="shared" ref="X14" si="59">IFERROR(W14/W$23,"")</f>
        <v/>
      </c>
      <c r="Y14" s="40"/>
      <c r="Z14" s="12" t="str">
        <f t="shared" ref="Z14" si="60">IFERROR(Y14/Y$23,"")</f>
        <v/>
      </c>
      <c r="AA14" s="7"/>
    </row>
    <row r="15" spans="1:27">
      <c r="A15" s="45"/>
      <c r="B15" s="15" t="s">
        <v>19</v>
      </c>
      <c r="C15" s="1">
        <v>6736</v>
      </c>
      <c r="D15" s="16">
        <f t="shared" si="0"/>
        <v>1.5198727422466409E-2</v>
      </c>
      <c r="E15" s="3">
        <v>6736</v>
      </c>
      <c r="F15" s="16">
        <f t="shared" si="0"/>
        <v>1.5707380090149541E-2</v>
      </c>
      <c r="G15" s="3">
        <v>138609</v>
      </c>
      <c r="H15" s="16">
        <f t="shared" ref="H15" si="61">IFERROR(G15/G$23,"")</f>
        <v>5.909557842763433E-3</v>
      </c>
      <c r="I15" s="39">
        <v>8418</v>
      </c>
      <c r="J15" s="12">
        <f t="shared" ref="J15" si="62">IFERROR(I15/I$23,"")</f>
        <v>1.9805334594400016E-2</v>
      </c>
      <c r="K15" s="40">
        <v>8418</v>
      </c>
      <c r="L15" s="12">
        <f t="shared" ref="L15" si="63">IFERROR(K15/K$23,"")</f>
        <v>1.7168169748289913E-2</v>
      </c>
      <c r="M15" s="40">
        <v>63980</v>
      </c>
      <c r="N15" s="12">
        <f t="shared" ref="N15" si="64">IFERROR(M15/M$23,"")</f>
        <v>2.7198370251331301E-3</v>
      </c>
      <c r="O15" s="2">
        <v>1291</v>
      </c>
      <c r="P15" s="16">
        <f t="shared" ref="P15" si="65">IFERROR(O15/O$23,"")</f>
        <v>3.1705334404094434E-3</v>
      </c>
      <c r="Q15" s="4">
        <v>1291</v>
      </c>
      <c r="R15" s="16">
        <f t="shared" ref="R15" si="66">IFERROR(Q15/Q$23,"")</f>
        <v>3.0328230861030453E-3</v>
      </c>
      <c r="S15" s="4">
        <v>20957</v>
      </c>
      <c r="T15" s="16">
        <f t="shared" ref="T15" si="67">IFERROR(S15/S$23,"")</f>
        <v>8.7929044821089279E-4</v>
      </c>
      <c r="U15" s="39"/>
      <c r="V15" s="12" t="str">
        <f t="shared" ref="V15" si="68">IFERROR(U15/U$23,"")</f>
        <v/>
      </c>
      <c r="W15" s="40"/>
      <c r="X15" s="12" t="str">
        <f t="shared" ref="X15" si="69">IFERROR(W15/W$23,"")</f>
        <v/>
      </c>
      <c r="Y15" s="40"/>
      <c r="Z15" s="12" t="str">
        <f t="shared" ref="Z15" si="70">IFERROR(Y15/Y$23,"")</f>
        <v/>
      </c>
      <c r="AA15" s="7"/>
    </row>
    <row r="16" spans="1:27">
      <c r="A16" s="43"/>
      <c r="B16" s="15" t="s">
        <v>20</v>
      </c>
      <c r="C16" s="1">
        <v>69689</v>
      </c>
      <c r="D16" s="16">
        <f t="shared" si="0"/>
        <v>0.15724229740858989</v>
      </c>
      <c r="E16" s="3">
        <v>69689</v>
      </c>
      <c r="F16" s="16">
        <f t="shared" si="0"/>
        <v>0.16250469285962463</v>
      </c>
      <c r="G16" s="3">
        <v>3674686</v>
      </c>
      <c r="H16" s="16">
        <f t="shared" ref="H16" si="71">IFERROR(G16/G$23,"")</f>
        <v>0.15666926008407095</v>
      </c>
      <c r="I16" s="39">
        <v>108369</v>
      </c>
      <c r="J16" s="12">
        <f t="shared" ref="J16" si="72">IFERROR(I16/I$23,"")</f>
        <v>0.25496368551443754</v>
      </c>
      <c r="K16" s="40">
        <v>108369</v>
      </c>
      <c r="L16" s="12">
        <f t="shared" ref="L16" si="73">IFERROR(K16/K$23,"")</f>
        <v>0.22101418240109641</v>
      </c>
      <c r="M16" s="40">
        <v>3880900</v>
      </c>
      <c r="N16" s="12">
        <f t="shared" ref="N16" si="74">IFERROR(M16/M$23,"")</f>
        <v>0.16497992358298164</v>
      </c>
      <c r="O16" s="2">
        <v>81693</v>
      </c>
      <c r="P16" s="16">
        <f t="shared" ref="P16" si="75">IFERROR(O16/O$23,"")</f>
        <v>0.20062772141546759</v>
      </c>
      <c r="Q16" s="4">
        <v>81693</v>
      </c>
      <c r="R16" s="16">
        <f t="shared" ref="R16" si="76">IFERROR(Q16/Q$23,"")</f>
        <v>0.19191356806585291</v>
      </c>
      <c r="S16" s="4">
        <v>4004118</v>
      </c>
      <c r="T16" s="16">
        <f t="shared" ref="T16" si="77">IFERROR(S16/S$23,"")</f>
        <v>0.16800032022280401</v>
      </c>
      <c r="U16" s="39"/>
      <c r="V16" s="12" t="str">
        <f t="shared" ref="V16" si="78">IFERROR(U16/U$23,"")</f>
        <v/>
      </c>
      <c r="W16" s="40"/>
      <c r="X16" s="12" t="str">
        <f t="shared" ref="X16" si="79">IFERROR(W16/W$23,"")</f>
        <v/>
      </c>
      <c r="Y16" s="40"/>
      <c r="Z16" s="12" t="str">
        <f t="shared" ref="Z16" si="80">IFERROR(Y16/Y$23,"")</f>
        <v/>
      </c>
      <c r="AA16" s="7"/>
    </row>
    <row r="17" spans="1:27">
      <c r="A17" s="43"/>
      <c r="B17" s="15" t="s">
        <v>21</v>
      </c>
      <c r="C17" s="1">
        <v>6628</v>
      </c>
      <c r="D17" s="16">
        <f t="shared" si="0"/>
        <v>1.4955042362842541E-2</v>
      </c>
      <c r="E17" s="3">
        <v>6628</v>
      </c>
      <c r="F17" s="16">
        <f t="shared" si="0"/>
        <v>1.5455539673027192E-2</v>
      </c>
      <c r="G17" s="3">
        <v>330428</v>
      </c>
      <c r="H17" s="16">
        <f t="shared" ref="H17" si="81">IFERROR(G17/G$23,"")</f>
        <v>1.4087709880805977E-2</v>
      </c>
      <c r="I17" s="39">
        <v>9090</v>
      </c>
      <c r="J17" s="12">
        <f t="shared" ref="J17" si="82">IFERROR(I17/I$23,"")</f>
        <v>2.1386373421608002E-2</v>
      </c>
      <c r="K17" s="40">
        <v>9090</v>
      </c>
      <c r="L17" s="12">
        <f t="shared" ref="L17" si="83">IFERROR(K17/K$23,"")</f>
        <v>1.8538686506528311E-2</v>
      </c>
      <c r="M17" s="40">
        <v>332752</v>
      </c>
      <c r="N17" s="12">
        <f t="shared" ref="N17" si="84">IFERROR(M17/M$23,"")</f>
        <v>1.4145533132027184E-2</v>
      </c>
      <c r="O17" s="2">
        <v>6618</v>
      </c>
      <c r="P17" s="16">
        <f t="shared" ref="P17" si="85">IFERROR(O17/O$23,"")</f>
        <v>1.6252974677482337E-2</v>
      </c>
      <c r="Q17" s="4">
        <v>6618</v>
      </c>
      <c r="R17" s="16">
        <f t="shared" ref="R17" si="86">IFERROR(Q17/Q$23,"")</f>
        <v>1.554703577368703E-2</v>
      </c>
      <c r="S17" s="4">
        <v>327463</v>
      </c>
      <c r="T17" s="16">
        <f t="shared" ref="T17" si="87">IFERROR(S17/S$23,"")</f>
        <v>1.3739327577538941E-2</v>
      </c>
      <c r="U17" s="39"/>
      <c r="V17" s="12" t="str">
        <f t="shared" ref="V17" si="88">IFERROR(U17/U$23,"")</f>
        <v/>
      </c>
      <c r="W17" s="40"/>
      <c r="X17" s="12" t="str">
        <f t="shared" ref="X17" si="89">IFERROR(W17/W$23,"")</f>
        <v/>
      </c>
      <c r="Y17" s="40"/>
      <c r="Z17" s="12" t="str">
        <f t="shared" ref="Z17" si="90">IFERROR(Y17/Y$23,"")</f>
        <v/>
      </c>
      <c r="AA17" s="7"/>
    </row>
    <row r="18" spans="1:27">
      <c r="A18" s="43"/>
      <c r="B18" s="15" t="s">
        <v>22</v>
      </c>
      <c r="C18" s="1">
        <v>-33786</v>
      </c>
      <c r="D18" s="16">
        <f t="shared" si="0"/>
        <v>-7.6232809485666575E-2</v>
      </c>
      <c r="E18" s="3">
        <v>-33786</v>
      </c>
      <c r="F18" s="16">
        <f t="shared" si="0"/>
        <v>-7.8784077156441867E-2</v>
      </c>
      <c r="G18" s="3">
        <v>107931</v>
      </c>
      <c r="H18" s="16">
        <f t="shared" ref="H18" si="91">IFERROR(G18/G$23,"")</f>
        <v>4.601609473607775E-3</v>
      </c>
      <c r="I18" s="39">
        <v>-232953</v>
      </c>
      <c r="J18" s="12">
        <f t="shared" ref="J18" si="92">IFERROR(I18/I$23,"")</f>
        <v>-0.54807699094431783</v>
      </c>
      <c r="K18" s="40">
        <v>-232953</v>
      </c>
      <c r="L18" s="12">
        <f t="shared" ref="L18" si="93">IFERROR(K18/K$23,"")</f>
        <v>-0.47509819997307912</v>
      </c>
      <c r="M18" s="40">
        <v>-177715</v>
      </c>
      <c r="N18" s="12">
        <f t="shared" ref="N18" si="94">IFERROR(M18/M$23,"")</f>
        <v>-7.55479582559447E-3</v>
      </c>
      <c r="O18" s="2">
        <v>-53167</v>
      </c>
      <c r="P18" s="16">
        <f t="shared" ref="P18" si="95">IFERROR(O18/O$23,"")</f>
        <v>-0.13057145734023926</v>
      </c>
      <c r="Q18" s="4">
        <v>-53167</v>
      </c>
      <c r="R18" s="16">
        <f t="shared" ref="R18" si="96">IFERROR(Q18/Q$23,"")</f>
        <v>-0.12490015880622821</v>
      </c>
      <c r="S18" s="4">
        <v>-220307</v>
      </c>
      <c r="T18" s="16">
        <f t="shared" ref="T18" si="97">IFERROR(S18/S$23,"")</f>
        <v>-9.243395561101167E-3</v>
      </c>
      <c r="U18" s="39"/>
      <c r="V18" s="12" t="str">
        <f t="shared" ref="V18" si="98">IFERROR(U18/U$23,"")</f>
        <v/>
      </c>
      <c r="W18" s="40"/>
      <c r="X18" s="12" t="str">
        <f t="shared" ref="X18" si="99">IFERROR(W18/W$23,"")</f>
        <v/>
      </c>
      <c r="Y18" s="40"/>
      <c r="Z18" s="12" t="str">
        <f t="shared" ref="Z18" si="100">IFERROR(Y18/Y$23,"")</f>
        <v/>
      </c>
      <c r="AA18" s="7"/>
    </row>
    <row r="19" spans="1:27">
      <c r="A19" s="45"/>
      <c r="B19" s="15" t="s">
        <v>23</v>
      </c>
      <c r="C19" s="1">
        <v>-1977</v>
      </c>
      <c r="D19" s="16">
        <f t="shared" si="0"/>
        <v>-4.4607903970035759E-3</v>
      </c>
      <c r="E19" s="3">
        <v>-1683</v>
      </c>
      <c r="F19" s="16">
        <f t="shared" si="0"/>
        <v>-3.9245131668232897E-3</v>
      </c>
      <c r="G19" s="3">
        <v>53763</v>
      </c>
      <c r="H19" s="16">
        <f t="shared" ref="H19" si="101">IFERROR(G19/G$23,"")</f>
        <v>2.292171203172164E-3</v>
      </c>
      <c r="I19" s="39">
        <v>3428</v>
      </c>
      <c r="J19" s="12">
        <f t="shared" ref="J19" si="102">IFERROR(I19/I$23,"")</f>
        <v>8.0651802078407289E-3</v>
      </c>
      <c r="K19" s="40">
        <v>5594</v>
      </c>
      <c r="L19" s="12">
        <f t="shared" ref="L19" si="103">IFERROR(K19/K$23,"")</f>
        <v>1.1408736228549985E-2</v>
      </c>
      <c r="M19" s="40">
        <v>59292</v>
      </c>
      <c r="N19" s="12">
        <f t="shared" ref="N19" si="104">IFERROR(M19/M$23,"")</f>
        <v>2.5205466848107773E-3</v>
      </c>
      <c r="O19" s="2">
        <v>650</v>
      </c>
      <c r="P19" s="16">
        <f t="shared" ref="P19" si="105">IFERROR(O19/O$23,"")</f>
        <v>1.5963181535756299E-3</v>
      </c>
      <c r="Q19" s="4">
        <v>592</v>
      </c>
      <c r="R19" s="16">
        <f t="shared" ref="R19" si="106">IFERROR(Q19/Q$23,"")</f>
        <v>1.3907290991270356E-3</v>
      </c>
      <c r="S19" s="4">
        <v>40201</v>
      </c>
      <c r="T19" s="16">
        <f t="shared" ref="T19" si="107">IFERROR(S19/S$23,"")</f>
        <v>1.6867087516594028E-3</v>
      </c>
      <c r="U19" s="39"/>
      <c r="V19" s="12" t="str">
        <f t="shared" ref="V19" si="108">IFERROR(U19/U$23,"")</f>
        <v/>
      </c>
      <c r="W19" s="40"/>
      <c r="X19" s="12" t="str">
        <f t="shared" ref="X19" si="109">IFERROR(W19/W$23,"")</f>
        <v/>
      </c>
      <c r="Y19" s="40"/>
      <c r="Z19" s="12" t="str">
        <f t="shared" ref="Z19" si="110">IFERROR(Y19/Y$23,"")</f>
        <v/>
      </c>
      <c r="AA19" s="7"/>
    </row>
    <row r="20" spans="1:27">
      <c r="A20" s="43"/>
      <c r="B20" s="15" t="s">
        <v>24</v>
      </c>
      <c r="C20" s="1">
        <v>23873</v>
      </c>
      <c r="D20" s="16">
        <f t="shared" si="0"/>
        <v>5.3865679892598065E-2</v>
      </c>
      <c r="E20" s="3">
        <v>69258</v>
      </c>
      <c r="F20" s="16">
        <f t="shared" si="0"/>
        <v>0.16149966304684932</v>
      </c>
      <c r="G20" s="3">
        <v>1402212</v>
      </c>
      <c r="H20" s="16">
        <f t="shared" ref="H20" si="111">IFERROR(G20/G$23,"")</f>
        <v>5.9782935608921492E-2</v>
      </c>
      <c r="I20" s="39">
        <v>18254</v>
      </c>
      <c r="J20" s="12">
        <f t="shared" ref="J20" si="112">IFERROR(I20/I$23,"")</f>
        <v>4.2946849333116884E-2</v>
      </c>
      <c r="K20" s="40">
        <v>139414</v>
      </c>
      <c r="L20" s="12">
        <f t="shared" ref="L20" si="113">IFERROR(K20/K$23,"")</f>
        <v>0.28432920138846401</v>
      </c>
      <c r="M20" s="40">
        <v>1575014</v>
      </c>
      <c r="N20" s="12">
        <f t="shared" ref="N20" si="114">IFERROR(M20/M$23,"")</f>
        <v>6.695500769463944E-2</v>
      </c>
      <c r="O20" s="2">
        <v>28281</v>
      </c>
      <c r="P20" s="16">
        <f t="shared" ref="P20" si="115">IFERROR(O20/O$23,"")</f>
        <v>6.9454574925034443E-2</v>
      </c>
      <c r="Q20" s="4">
        <v>-14200</v>
      </c>
      <c r="R20" s="16">
        <f t="shared" ref="R20" si="116">IFERROR(Q20/Q$23,"")</f>
        <v>-3.3358704742574165E-2</v>
      </c>
      <c r="S20" s="4">
        <v>1538846</v>
      </c>
      <c r="T20" s="16">
        <f t="shared" ref="T20" si="117">IFERROR(S20/S$23,"")</f>
        <v>6.4565185335092784E-2</v>
      </c>
      <c r="U20" s="39"/>
      <c r="V20" s="12" t="str">
        <f t="shared" ref="V20" si="118">IFERROR(U20/U$23,"")</f>
        <v/>
      </c>
      <c r="W20" s="40"/>
      <c r="X20" s="12" t="str">
        <f t="shared" ref="X20" si="119">IFERROR(W20/W$23,"")</f>
        <v/>
      </c>
      <c r="Y20" s="40"/>
      <c r="Z20" s="12" t="str">
        <f t="shared" ref="Z20" si="120">IFERROR(Y20/Y$23,"")</f>
        <v/>
      </c>
      <c r="AA20" s="7"/>
    </row>
    <row r="21" spans="1:27">
      <c r="A21" s="43"/>
      <c r="B21" s="15" t="s">
        <v>25</v>
      </c>
      <c r="C21" s="1">
        <v>21800</v>
      </c>
      <c r="D21" s="16">
        <f t="shared" si="0"/>
        <v>4.9188280553706609E-2</v>
      </c>
      <c r="E21" s="3">
        <v>23246</v>
      </c>
      <c r="F21" s="16">
        <f t="shared" si="0"/>
        <v>5.4206317929871774E-2</v>
      </c>
      <c r="G21" s="3">
        <v>1113897</v>
      </c>
      <c r="H21" s="16">
        <f t="shared" ref="H21" si="121">IFERROR(G21/G$23,"")</f>
        <v>4.7490702280376162E-2</v>
      </c>
      <c r="I21" s="39">
        <v>20067</v>
      </c>
      <c r="J21" s="12">
        <f t="shared" ref="J21" si="122">IFERROR(I21/I$23,"")</f>
        <v>4.7212360335688423E-2</v>
      </c>
      <c r="K21" s="40">
        <v>27473</v>
      </c>
      <c r="L21" s="12">
        <f t="shared" ref="L21" si="123">IFERROR(K21/K$23,"")</f>
        <v>5.6030069790302776E-2</v>
      </c>
      <c r="M21" s="40">
        <v>1145066</v>
      </c>
      <c r="N21" s="12">
        <f t="shared" ref="N21" si="124">IFERROR(M21/M$23,"")</f>
        <v>4.8677600859973316E-2</v>
      </c>
      <c r="O21" s="2">
        <v>23617</v>
      </c>
      <c r="P21" s="16">
        <f t="shared" ref="P21" si="125">IFERROR(O21/O$23,"")</f>
        <v>5.8000378204608696E-2</v>
      </c>
      <c r="Q21" s="4">
        <v>24234</v>
      </c>
      <c r="R21" s="16">
        <f t="shared" ref="R21" si="126">IFERROR(Q21/Q$23,"")</f>
        <v>5.6930623290953684E-2</v>
      </c>
      <c r="S21" s="4">
        <v>1180452</v>
      </c>
      <c r="T21" s="16">
        <f t="shared" ref="T21" si="127">IFERROR(S21/S$23,"")</f>
        <v>4.9528089333943065E-2</v>
      </c>
      <c r="U21" s="39"/>
      <c r="V21" s="12" t="str">
        <f t="shared" ref="V21" si="128">IFERROR(U21/U$23,"")</f>
        <v/>
      </c>
      <c r="W21" s="40"/>
      <c r="X21" s="12" t="str">
        <f t="shared" ref="X21" si="129">IFERROR(W21/W$23,"")</f>
        <v/>
      </c>
      <c r="Y21" s="40"/>
      <c r="Z21" s="12" t="str">
        <f t="shared" ref="Z21" si="130">IFERROR(Y21/Y$23,"")</f>
        <v/>
      </c>
      <c r="AA21" s="7"/>
    </row>
    <row r="22" spans="1:27">
      <c r="A22" s="43"/>
      <c r="B22" s="15" t="s">
        <v>26</v>
      </c>
      <c r="C22" s="1">
        <v>409</v>
      </c>
      <c r="D22" s="16">
        <f t="shared" si="0"/>
        <v>9.2284434616816523E-4</v>
      </c>
      <c r="E22" s="3">
        <v>409</v>
      </c>
      <c r="F22" s="16">
        <f t="shared" si="0"/>
        <v>9.5372898706519633E-4</v>
      </c>
      <c r="G22" s="3">
        <v>0</v>
      </c>
      <c r="H22" s="16">
        <f t="shared" ref="H22" si="131">IFERROR(G22/G$23,"")</f>
        <v>0</v>
      </c>
      <c r="I22" s="39">
        <v>722</v>
      </c>
      <c r="J22" s="12">
        <f t="shared" ref="J22" si="132">IFERROR(I22/I$23,"")</f>
        <v>1.6986756447085784E-3</v>
      </c>
      <c r="K22" s="40">
        <v>722</v>
      </c>
      <c r="L22" s="12">
        <f t="shared" ref="L22" si="133">IFERROR(K22/K$23,"")</f>
        <v>1.4724897313216105E-3</v>
      </c>
      <c r="M22" s="40">
        <v>0</v>
      </c>
      <c r="N22" s="12">
        <f t="shared" ref="N22" si="134">IFERROR(M22/M$23,"")</f>
        <v>0</v>
      </c>
      <c r="O22" s="2">
        <v>-169</v>
      </c>
      <c r="P22" s="16">
        <f t="shared" ref="P22" si="135">IFERROR(O22/O$23,"")</f>
        <v>-4.1504271992966375E-4</v>
      </c>
      <c r="Q22" s="4">
        <v>-169</v>
      </c>
      <c r="R22" s="16">
        <f t="shared" ref="R22" si="136">IFERROR(Q22/Q$23,"")</f>
        <v>-3.9701557052781929E-4</v>
      </c>
      <c r="S22" s="4">
        <v>0</v>
      </c>
      <c r="T22" s="16">
        <f t="shared" ref="T22" si="137">IFERROR(S22/S$23,"")</f>
        <v>0</v>
      </c>
      <c r="U22" s="39"/>
      <c r="V22" s="12" t="str">
        <f t="shared" ref="V22" si="138">IFERROR(U22/U$23,"")</f>
        <v/>
      </c>
      <c r="W22" s="40"/>
      <c r="X22" s="12" t="str">
        <f t="shared" ref="X22" si="139">IFERROR(W22/W$23,"")</f>
        <v/>
      </c>
      <c r="Y22" s="40"/>
      <c r="Z22" s="12" t="str">
        <f t="shared" ref="Z22" si="140">IFERROR(Y22/Y$23,"")</f>
        <v/>
      </c>
      <c r="AA22" s="7"/>
    </row>
    <row r="23" spans="1:27">
      <c r="A23" s="46"/>
      <c r="B23" s="17" t="s">
        <v>27</v>
      </c>
      <c r="C23" s="18">
        <f>SUM(C8:C22)</f>
        <v>443195</v>
      </c>
      <c r="D23" s="19">
        <f t="shared" si="0"/>
        <v>1</v>
      </c>
      <c r="E23" s="18">
        <f>SUM(E8:E22)</f>
        <v>428843</v>
      </c>
      <c r="F23" s="19">
        <f t="shared" si="0"/>
        <v>1</v>
      </c>
      <c r="G23" s="18">
        <f>SUM(G8:G22)</f>
        <v>23455054.284600001</v>
      </c>
      <c r="H23" s="19">
        <f t="shared" ref="H23" si="141">IFERROR(G23/G$23,"")</f>
        <v>1</v>
      </c>
      <c r="I23" s="20">
        <f>SUM(I8:I22)</f>
        <v>425037</v>
      </c>
      <c r="J23" s="21">
        <f t="shared" ref="J23" si="142">IFERROR(I23/I$23,"")</f>
        <v>1</v>
      </c>
      <c r="K23" s="22">
        <f>SUM(K8:K22)</f>
        <v>490326</v>
      </c>
      <c r="L23" s="21">
        <f t="shared" ref="L23" si="143">IFERROR(K23/K$23,"")</f>
        <v>1</v>
      </c>
      <c r="M23" s="22">
        <f>SUM(M8:M22)</f>
        <v>23523468.284600001</v>
      </c>
      <c r="N23" s="21">
        <f t="shared" ref="N23" si="144">IFERROR(M23/M$23,"")</f>
        <v>1</v>
      </c>
      <c r="O23" s="18">
        <f>SUM(O8:O22)</f>
        <v>407187</v>
      </c>
      <c r="P23" s="19">
        <f t="shared" ref="P23" si="145">IFERROR(O23/O$23,"")</f>
        <v>1</v>
      </c>
      <c r="Q23" s="23">
        <f>SUM(Q8:Q22)</f>
        <v>425676</v>
      </c>
      <c r="R23" s="19">
        <f t="shared" ref="R23" si="146">IFERROR(Q23/Q$23,"")</f>
        <v>1</v>
      </c>
      <c r="S23" s="23">
        <f>SUM(S8:S22)</f>
        <v>23833990.284600001</v>
      </c>
      <c r="T23" s="19">
        <f t="shared" ref="T23" si="147">IFERROR(S23/S$23,"")</f>
        <v>1</v>
      </c>
      <c r="U23" s="20">
        <f>SUM(U8:U22)</f>
        <v>0</v>
      </c>
      <c r="V23" s="21" t="str">
        <f t="shared" ref="V23" si="148">IFERROR(U23/U$23,"")</f>
        <v/>
      </c>
      <c r="W23" s="22">
        <f>SUM(W8:W22)</f>
        <v>0</v>
      </c>
      <c r="X23" s="21" t="str">
        <f t="shared" ref="X23" si="149">IFERROR(W23/W$23,"")</f>
        <v/>
      </c>
      <c r="Y23" s="22">
        <f>SUM(Y8:Y22)</f>
        <v>0</v>
      </c>
      <c r="Z23" s="21" t="str">
        <f t="shared" ref="Z23" si="150">IFERROR(Y23/Y$23,"")</f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37">
        <v>481647</v>
      </c>
      <c r="D25" s="9">
        <f>IFERROR(C25/C$27,"")</f>
        <v>1.0867609065986756</v>
      </c>
      <c r="E25" s="3">
        <v>417136</v>
      </c>
      <c r="F25" s="9">
        <f>IFERROR(E25/E$27,"")</f>
        <v>0.97270096515508009</v>
      </c>
      <c r="G25" s="3">
        <v>20946797.284600001</v>
      </c>
      <c r="H25" s="9">
        <f>IFERROR(G25/G$27,"")</f>
        <v>0.89306113004194332</v>
      </c>
      <c r="I25" s="60">
        <v>535163</v>
      </c>
      <c r="J25" s="55">
        <f>IFERROR(I25/I$27,"")</f>
        <v>1.2590974432814084</v>
      </c>
      <c r="K25" s="61">
        <v>480586</v>
      </c>
      <c r="L25" s="55">
        <f>IFERROR(K25/K$27,"")</f>
        <v>0.98013566484338988</v>
      </c>
      <c r="M25" s="61">
        <v>21054262.284600001</v>
      </c>
      <c r="N25" s="57">
        <f>IFERROR(M25/M$27,"")</f>
        <v>0.89503223036134927</v>
      </c>
      <c r="O25" s="37">
        <v>471623</v>
      </c>
      <c r="P25" s="9">
        <f>IFERROR(O25/O$27,"")</f>
        <v>1.1582467023750758</v>
      </c>
      <c r="Q25" s="3">
        <v>433148</v>
      </c>
      <c r="R25" s="9">
        <f>IFERROR(Q25/Q$27,"")</f>
        <v>1.0175532564673602</v>
      </c>
      <c r="S25" s="3">
        <v>21480119.284600001</v>
      </c>
      <c r="T25" s="31">
        <f>IFERROR(S25/S$27,"")</f>
        <v>0.90123890410742846</v>
      </c>
      <c r="U25" s="60"/>
      <c r="V25" s="55" t="str">
        <f>IFERROR(U25/U$27,"")</f>
        <v/>
      </c>
      <c r="W25" s="61"/>
      <c r="X25" s="55" t="str">
        <f>IFERROR(W25/W$27,"")</f>
        <v/>
      </c>
      <c r="Y25" s="61"/>
      <c r="Z25" s="57" t="str">
        <f>IFERROR(Y25/Y$27,"")</f>
        <v/>
      </c>
      <c r="AA25" s="7"/>
    </row>
    <row r="26" spans="1:27">
      <c r="A26" s="41"/>
      <c r="B26" s="15" t="s">
        <v>29</v>
      </c>
      <c r="C26" s="38">
        <v>-38452</v>
      </c>
      <c r="D26" s="16">
        <f t="shared" ref="D26:F27" si="151">IFERROR(C26/C$27,"")</f>
        <v>-8.6760906598675525E-2</v>
      </c>
      <c r="E26" s="4">
        <v>11707</v>
      </c>
      <c r="F26" s="16">
        <f t="shared" si="151"/>
        <v>2.7299034844919936E-2</v>
      </c>
      <c r="G26" s="4">
        <v>2508257</v>
      </c>
      <c r="H26" s="16">
        <f t="shared" ref="H26" si="152">IFERROR(G26/G$27,"")</f>
        <v>0.1069388699580567</v>
      </c>
      <c r="I26" s="39">
        <v>-110126</v>
      </c>
      <c r="J26" s="12">
        <f t="shared" ref="J26" si="153">IFERROR(I26/I$27,"")</f>
        <v>-0.25909744328140843</v>
      </c>
      <c r="K26" s="40">
        <v>9740</v>
      </c>
      <c r="L26" s="12">
        <f t="shared" ref="L26" si="154">IFERROR(K26/K$27,"")</f>
        <v>1.9864335156610093E-2</v>
      </c>
      <c r="M26" s="40">
        <v>2469206</v>
      </c>
      <c r="N26" s="32">
        <f t="shared" ref="N26" si="155">IFERROR(M26/M$27,"")</f>
        <v>0.10496776963865076</v>
      </c>
      <c r="O26" s="38">
        <v>-64436</v>
      </c>
      <c r="P26" s="16">
        <f t="shared" ref="P26" si="156">IFERROR(O26/O$27,"")</f>
        <v>-0.15824670237507582</v>
      </c>
      <c r="Q26" s="4">
        <v>-7472</v>
      </c>
      <c r="R26" s="16">
        <f t="shared" ref="R26" si="157">IFERROR(Q26/Q$27,"")</f>
        <v>-1.755325646736015E-2</v>
      </c>
      <c r="S26" s="4">
        <v>2353871</v>
      </c>
      <c r="T26" s="33">
        <f t="shared" ref="T26" si="158">IFERROR(S26/S$27,"")</f>
        <v>9.8761095892571579E-2</v>
      </c>
      <c r="U26" s="39"/>
      <c r="V26" s="12" t="str">
        <f t="shared" ref="V26" si="159">IFERROR(U26/U$27,"")</f>
        <v/>
      </c>
      <c r="W26" s="40"/>
      <c r="X26" s="12" t="str">
        <f t="shared" ref="X26" si="160">IFERROR(W26/W$27,"")</f>
        <v/>
      </c>
      <c r="Y26" s="40"/>
      <c r="Z26" s="32" t="str">
        <f t="shared" ref="Z26" si="161">IFERROR(Y26/Y$27,"")</f>
        <v/>
      </c>
      <c r="AA26" s="7"/>
    </row>
    <row r="27" spans="1:27">
      <c r="A27" s="41"/>
      <c r="B27" s="17" t="s">
        <v>27</v>
      </c>
      <c r="C27" s="29">
        <f>SUM(C25:C26)</f>
        <v>443195</v>
      </c>
      <c r="D27" s="19">
        <f t="shared" si="151"/>
        <v>1</v>
      </c>
      <c r="E27" s="29">
        <f>SUM(E25:E26)</f>
        <v>428843</v>
      </c>
      <c r="F27" s="19">
        <f t="shared" si="151"/>
        <v>1</v>
      </c>
      <c r="G27" s="23">
        <f>SUM(G25:G26)</f>
        <v>23455054.284600001</v>
      </c>
      <c r="H27" s="19">
        <f t="shared" ref="H27" si="162">IFERROR(G27/G$27,"")</f>
        <v>1</v>
      </c>
      <c r="I27" s="20">
        <f>SUM(I25:I26)</f>
        <v>425037</v>
      </c>
      <c r="J27" s="21">
        <f t="shared" ref="J27" si="163">IFERROR(I27/I$27,"")</f>
        <v>1</v>
      </c>
      <c r="K27" s="22">
        <f>SUM(K25:K26)</f>
        <v>490326</v>
      </c>
      <c r="L27" s="21">
        <f t="shared" ref="L27" si="164">IFERROR(K27/K$27,"")</f>
        <v>1</v>
      </c>
      <c r="M27" s="81">
        <f>SUM(M25:M26)</f>
        <v>23523468.284600001</v>
      </c>
      <c r="N27" s="35">
        <f t="shared" ref="N27" si="165">IFERROR(M27/M$27,"")</f>
        <v>1</v>
      </c>
      <c r="O27" s="29">
        <f>SUM(O25:O26)</f>
        <v>407187</v>
      </c>
      <c r="P27" s="19">
        <f t="shared" ref="P27" si="166">IFERROR(O27/O$27,"")</f>
        <v>1</v>
      </c>
      <c r="Q27" s="23">
        <f>SUM(Q25:Q26)</f>
        <v>425676</v>
      </c>
      <c r="R27" s="53">
        <f t="shared" ref="R27" si="167">IFERROR(Q27/Q$27,"")</f>
        <v>1</v>
      </c>
      <c r="S27" s="23">
        <f>SUM(S25:S26)</f>
        <v>23833990.284600001</v>
      </c>
      <c r="T27" s="34">
        <f t="shared" ref="T27" si="168">IFERROR(S27/S$27,"")</f>
        <v>1</v>
      </c>
      <c r="U27" s="20">
        <f>SUM(U25:U26)</f>
        <v>0</v>
      </c>
      <c r="V27" s="21" t="str">
        <f t="shared" ref="V27" si="169">IFERROR(U27/U$27,"")</f>
        <v/>
      </c>
      <c r="W27" s="22">
        <f>SUM(W25:W26)</f>
        <v>0</v>
      </c>
      <c r="X27" s="21" t="str">
        <f t="shared" ref="X27" si="170">IFERROR(W27/W$27,"")</f>
        <v/>
      </c>
      <c r="Y27" s="22">
        <f>SUM(Y25:Y26)</f>
        <v>0</v>
      </c>
      <c r="Z27" s="35" t="str">
        <f t="shared" ref="Z27" si="171">IFERROR(Y27/Y$27,"")</f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37">
        <v>22481</v>
      </c>
      <c r="D29" s="9">
        <f>IFERROR(C29/C$31,"")</f>
        <v>5.0724850235223773E-2</v>
      </c>
      <c r="E29" s="3">
        <v>-47858</v>
      </c>
      <c r="F29" s="9">
        <f>IFERROR(E29/E$31,"")</f>
        <v>-0.11159795076519845</v>
      </c>
      <c r="G29" s="3">
        <v>2400079.2845999999</v>
      </c>
      <c r="H29" s="9">
        <f>IFERROR(G29/G$31,"")</f>
        <v>0.1023267418390002</v>
      </c>
      <c r="I29" s="60">
        <v>45733</v>
      </c>
      <c r="J29" s="55">
        <f>IFERROR(I29/I$31,"")</f>
        <v>0.10759769149509336</v>
      </c>
      <c r="K29" s="61">
        <v>-42941</v>
      </c>
      <c r="L29" s="55">
        <f>IFERROR(K29/K$31,"")</f>
        <v>-8.7576428743325871E-2</v>
      </c>
      <c r="M29" s="61">
        <v>2186210.2845999999</v>
      </c>
      <c r="N29" s="57">
        <f>IFERROR(M29/M$31,"")</f>
        <v>9.2937412891245977E-2</v>
      </c>
      <c r="O29" s="37">
        <v>-50064</v>
      </c>
      <c r="P29" s="9">
        <f>IFERROR(O29/O$31,"")</f>
        <v>-0.12295088006247744</v>
      </c>
      <c r="Q29" s="3">
        <v>-55799</v>
      </c>
      <c r="R29" s="9">
        <f>IFERROR(Q29/Q$31,"")</f>
        <v>-0.13108326520640112</v>
      </c>
      <c r="S29" s="3">
        <v>2012831.2845999999</v>
      </c>
      <c r="T29" s="31">
        <f>IFERROR(S29/S$31,"")</f>
        <v>8.4452131622314311E-2</v>
      </c>
      <c r="U29" s="60"/>
      <c r="V29" s="55" t="str">
        <f>IFERROR(U29/U$31,"")</f>
        <v/>
      </c>
      <c r="W29" s="61"/>
      <c r="X29" s="55" t="str">
        <f>IFERROR(W29/W$31,"")</f>
        <v/>
      </c>
      <c r="Y29" s="61"/>
      <c r="Z29" s="57" t="str">
        <f>IFERROR(Y29/Y$31,"")</f>
        <v/>
      </c>
      <c r="AA29" s="7"/>
    </row>
    <row r="30" spans="1:27">
      <c r="A30" s="41"/>
      <c r="B30" s="15" t="s">
        <v>31</v>
      </c>
      <c r="C30" s="38">
        <v>420714</v>
      </c>
      <c r="D30" s="16">
        <f t="shared" ref="D30:F31" si="172">IFERROR(C30/C$31,"")</f>
        <v>0.94927514976477623</v>
      </c>
      <c r="E30" s="4">
        <v>476701</v>
      </c>
      <c r="F30" s="16">
        <f t="shared" si="172"/>
        <v>1.1115979507651985</v>
      </c>
      <c r="G30" s="4">
        <v>21054975</v>
      </c>
      <c r="H30" s="16">
        <f t="shared" ref="H30" si="173">IFERROR(G30/G$31,"")</f>
        <v>0.89767325816099974</v>
      </c>
      <c r="I30" s="39">
        <v>379304</v>
      </c>
      <c r="J30" s="12">
        <f t="shared" ref="J30" si="174">IFERROR(I30/I$31,"")</f>
        <v>0.89240230850490665</v>
      </c>
      <c r="K30" s="40">
        <v>533267</v>
      </c>
      <c r="L30" s="12">
        <f t="shared" ref="L30" si="175">IFERROR(K30/K$31,"")</f>
        <v>1.0875764287433258</v>
      </c>
      <c r="M30" s="40">
        <v>21337258</v>
      </c>
      <c r="N30" s="32">
        <f t="shared" ref="N30" si="176">IFERROR(M30/M$31,"")</f>
        <v>0.90706258710875398</v>
      </c>
      <c r="O30" s="38">
        <v>457251</v>
      </c>
      <c r="P30" s="16">
        <f t="shared" ref="P30" si="177">IFERROR(O30/O$31,"")</f>
        <v>1.1229508800624775</v>
      </c>
      <c r="Q30" s="4">
        <v>481475</v>
      </c>
      <c r="R30" s="16">
        <f t="shared" ref="R30" si="178">IFERROR(Q30/Q$31,"")</f>
        <v>1.1310832652064011</v>
      </c>
      <c r="S30" s="4">
        <v>21821159</v>
      </c>
      <c r="T30" s="33">
        <f t="shared" ref="T30" si="179">IFERROR(S30/S$31,"")</f>
        <v>0.91554786837768565</v>
      </c>
      <c r="U30" s="39"/>
      <c r="V30" s="12" t="str">
        <f t="shared" ref="V30" si="180">IFERROR(U30/U$31,"")</f>
        <v/>
      </c>
      <c r="W30" s="40"/>
      <c r="X30" s="12" t="str">
        <f t="shared" ref="X30" si="181">IFERROR(W30/W$31,"")</f>
        <v/>
      </c>
      <c r="Y30" s="40"/>
      <c r="Z30" s="32" t="str">
        <f t="shared" ref="Z30" si="182">IFERROR(Y30/Y$31,"")</f>
        <v/>
      </c>
      <c r="AA30" s="7"/>
    </row>
    <row r="31" spans="1:27">
      <c r="A31" s="41"/>
      <c r="B31" s="17" t="s">
        <v>27</v>
      </c>
      <c r="C31" s="29">
        <f>SUM(C29:C30)</f>
        <v>443195</v>
      </c>
      <c r="D31" s="19">
        <f t="shared" si="172"/>
        <v>1</v>
      </c>
      <c r="E31" s="29">
        <f>SUM(E29:E30)</f>
        <v>428843</v>
      </c>
      <c r="F31" s="19">
        <f t="shared" si="172"/>
        <v>1</v>
      </c>
      <c r="G31" s="29">
        <f>SUM(G29:G30)</f>
        <v>23455054.284600001</v>
      </c>
      <c r="H31" s="19">
        <f t="shared" ref="H31" si="183">IFERROR(G31/G$31,"")</f>
        <v>1</v>
      </c>
      <c r="I31" s="20">
        <f>SUM(I29:I30)</f>
        <v>425037</v>
      </c>
      <c r="J31" s="21">
        <f t="shared" ref="J31" si="184">IFERROR(I31/I$31,"")</f>
        <v>1</v>
      </c>
      <c r="K31" s="22">
        <f>SUM(K29:K30)</f>
        <v>490326</v>
      </c>
      <c r="L31" s="21">
        <f t="shared" ref="L31" si="185">IFERROR(K31/K$31,"")</f>
        <v>1</v>
      </c>
      <c r="M31" s="22">
        <f>SUM(M29:M30)</f>
        <v>23523468.284600001</v>
      </c>
      <c r="N31" s="35">
        <f t="shared" ref="N31" si="186">IFERROR(M31/M$31,"")</f>
        <v>1</v>
      </c>
      <c r="O31" s="29">
        <f>SUM(O29:O30)</f>
        <v>407187</v>
      </c>
      <c r="P31" s="19">
        <f t="shared" ref="P31" si="187">IFERROR(O31/O$31,"")</f>
        <v>1</v>
      </c>
      <c r="Q31" s="23">
        <f>SUM(Q29:Q30)</f>
        <v>425676</v>
      </c>
      <c r="R31" s="19">
        <f t="shared" ref="R31" si="188">IFERROR(Q31/Q$31,"")</f>
        <v>1</v>
      </c>
      <c r="S31" s="23">
        <f>SUM(S29:S30)</f>
        <v>23833990.284600001</v>
      </c>
      <c r="T31" s="34">
        <f t="shared" ref="T31" si="189">IFERROR(S31/S$31,"")</f>
        <v>1</v>
      </c>
      <c r="U31" s="20">
        <f>SUM(U29:U30)</f>
        <v>0</v>
      </c>
      <c r="V31" s="21" t="str">
        <f t="shared" ref="V31" si="190">IFERROR(U31/U$31,"")</f>
        <v/>
      </c>
      <c r="W31" s="22">
        <f>SUM(W29:W30)</f>
        <v>0</v>
      </c>
      <c r="X31" s="21" t="str">
        <f t="shared" ref="X31" si="191">IFERROR(W31/W$31,"")</f>
        <v/>
      </c>
      <c r="Y31" s="22">
        <f>SUM(Y29:Y30)</f>
        <v>0</v>
      </c>
      <c r="Z31" s="35" t="str">
        <f t="shared" ref="Z31" si="192">IFERROR(Y31/Y$31,"")</f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4" t="s">
        <v>3</v>
      </c>
      <c r="D33" s="105"/>
      <c r="E33" s="105"/>
      <c r="F33" s="105"/>
      <c r="G33" s="105"/>
      <c r="H33" s="106"/>
      <c r="I33" s="104" t="s">
        <v>32</v>
      </c>
      <c r="J33" s="105"/>
      <c r="K33" s="105"/>
      <c r="L33" s="105"/>
      <c r="M33" s="105"/>
      <c r="N33" s="106"/>
      <c r="O33" s="104" t="s">
        <v>33</v>
      </c>
      <c r="P33" s="105"/>
      <c r="Q33" s="105"/>
      <c r="R33" s="105"/>
      <c r="S33" s="105"/>
      <c r="T33" s="106"/>
      <c r="U33" s="104" t="s">
        <v>34</v>
      </c>
      <c r="V33" s="105"/>
      <c r="W33" s="105"/>
      <c r="X33" s="105"/>
      <c r="Y33" s="105"/>
      <c r="Z33" s="106"/>
      <c r="AA33" s="73"/>
    </row>
    <row r="34" spans="1:27" s="74" customFormat="1" ht="30" customHeight="1">
      <c r="A34" s="72"/>
      <c r="B34" s="102" t="str">
        <f>CONCATENATE("20",RIGHT(הנחיות!B20,2))</f>
        <v>2022</v>
      </c>
      <c r="C34" s="101" t="s">
        <v>7</v>
      </c>
      <c r="D34" s="99"/>
      <c r="E34" s="99" t="s">
        <v>8</v>
      </c>
      <c r="F34" s="99"/>
      <c r="G34" s="99" t="s">
        <v>9</v>
      </c>
      <c r="H34" s="100"/>
      <c r="I34" s="101" t="s">
        <v>7</v>
      </c>
      <c r="J34" s="99"/>
      <c r="K34" s="99" t="s">
        <v>8</v>
      </c>
      <c r="L34" s="99"/>
      <c r="M34" s="99" t="s">
        <v>9</v>
      </c>
      <c r="N34" s="100"/>
      <c r="O34" s="101" t="s">
        <v>7</v>
      </c>
      <c r="P34" s="99"/>
      <c r="Q34" s="99" t="s">
        <v>8</v>
      </c>
      <c r="R34" s="99"/>
      <c r="S34" s="99" t="s">
        <v>9</v>
      </c>
      <c r="T34" s="100"/>
      <c r="U34" s="101" t="s">
        <v>7</v>
      </c>
      <c r="V34" s="99"/>
      <c r="W34" s="99" t="s">
        <v>8</v>
      </c>
      <c r="X34" s="99"/>
      <c r="Y34" s="99" t="s">
        <v>9</v>
      </c>
      <c r="Z34" s="100"/>
      <c r="AA34" s="73"/>
    </row>
    <row r="35" spans="1:27" s="74" customFormat="1" ht="14.25" customHeight="1">
      <c r="A35" s="72"/>
      <c r="B35" s="103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634</v>
      </c>
      <c r="D36" s="9">
        <f>IFERROR(C36/C$51,"")</f>
        <v>1.4305215537178894E-3</v>
      </c>
      <c r="E36" s="5">
        <f>E8</f>
        <v>634</v>
      </c>
      <c r="F36" s="9">
        <f>IFERROR(E36/E$51,"")</f>
        <v>1.4783965227367591E-3</v>
      </c>
      <c r="G36" s="5">
        <f>G8</f>
        <v>604211.28460000001</v>
      </c>
      <c r="H36" s="31">
        <f>IFERROR(G36/G$51,"")</f>
        <v>2.576038738894371E-2</v>
      </c>
      <c r="I36" s="54">
        <f>IF(I$23=0,"",I8+C36)</f>
        <v>12754</v>
      </c>
      <c r="J36" s="55">
        <f>IFERROR(I36/I$51,"")</f>
        <v>1.4689622128647642E-2</v>
      </c>
      <c r="K36" s="56">
        <f>IF(K$23=0,"",K8+E36)</f>
        <v>12754</v>
      </c>
      <c r="L36" s="55">
        <f>IFERROR(K36/K$51,"")</f>
        <v>1.3875576743776171E-2</v>
      </c>
      <c r="M36" s="56">
        <f>M8</f>
        <v>624211.28460000001</v>
      </c>
      <c r="N36" s="57">
        <f>IFERROR(M36/M$51,"")</f>
        <v>2.6535682453282177E-2</v>
      </c>
      <c r="O36" s="58">
        <f>IF(O$23=0,"",O8+I36)</f>
        <v>17561</v>
      </c>
      <c r="P36" s="9">
        <f>IFERROR(O36/O$51,"")</f>
        <v>1.3768808524884763E-2</v>
      </c>
      <c r="Q36" s="5">
        <f>IF(Q$23=0,"",Q8+K36)</f>
        <v>17561</v>
      </c>
      <c r="R36" s="9">
        <f>IFERROR(Q36/Q$51,"")</f>
        <v>1.3058010402685812E-2</v>
      </c>
      <c r="S36" s="5">
        <f>S8</f>
        <v>653879.28460000001</v>
      </c>
      <c r="T36" s="31">
        <f>IFERROR(S36/S$51,"")</f>
        <v>2.7434738236949561E-2</v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193">C9</f>
        <v>1469</v>
      </c>
      <c r="D37" s="16">
        <f t="shared" ref="D37:F51" si="194">IFERROR(C37/C$51,"")</f>
        <v>3.3145680795135324E-3</v>
      </c>
      <c r="E37" s="6">
        <f t="shared" si="193"/>
        <v>-2391</v>
      </c>
      <c r="F37" s="16">
        <f t="shared" si="194"/>
        <v>-5.5754670124031408E-3</v>
      </c>
      <c r="G37" s="6">
        <f t="shared" ref="G37" si="195">G9</f>
        <v>161367</v>
      </c>
      <c r="H37" s="33">
        <f t="shared" ref="H37" si="196">IFERROR(G37/G$51,"")</f>
        <v>6.8798391187672291E-3</v>
      </c>
      <c r="I37" s="11">
        <f t="shared" ref="I37:I50" si="197">IF(I$23=0,"",I9+C37)</f>
        <v>3688</v>
      </c>
      <c r="J37" s="12">
        <f t="shared" ref="J37:L37" si="198">IFERROR(I37/I$51,"")</f>
        <v>4.2477125929475069E-3</v>
      </c>
      <c r="K37" s="13">
        <f t="shared" ref="K37:K50" si="199">IF(K$23=0,"",K9+E37)</f>
        <v>-4762</v>
      </c>
      <c r="L37" s="12">
        <f t="shared" si="198"/>
        <v>-5.1807665402118655E-3</v>
      </c>
      <c r="M37" s="13">
        <f t="shared" ref="M37" si="200">M9</f>
        <v>142810</v>
      </c>
      <c r="N37" s="32">
        <f t="shared" ref="N37:N51" si="201">IFERROR(M37/M$51,"")</f>
        <v>6.0709585113982853E-3</v>
      </c>
      <c r="O37" s="59">
        <f t="shared" ref="O37:O50" si="202">IF(O$23=0,"",O9+I37)</f>
        <v>4912</v>
      </c>
      <c r="P37" s="16">
        <f t="shared" ref="P37" si="203">IFERROR(O37/O$51,"")</f>
        <v>3.8512833821669583E-3</v>
      </c>
      <c r="Q37" s="6">
        <f t="shared" ref="Q37:Q50" si="204">IF(Q$23=0,"",Q9+K37)</f>
        <v>-6890</v>
      </c>
      <c r="R37" s="16">
        <f t="shared" ref="R37" si="205">IFERROR(Q37/Q$51,"")</f>
        <v>-5.1232669935940573E-3</v>
      </c>
      <c r="S37" s="6">
        <f t="shared" ref="S37" si="206">S9</f>
        <v>105428</v>
      </c>
      <c r="T37" s="33">
        <f t="shared" ref="T37:T51" si="207">IFERROR(S37/S$51,"")</f>
        <v>4.4234305183937592E-3</v>
      </c>
      <c r="U37" s="11" t="str">
        <f t="shared" ref="U37:U50" si="208">IF(U$23=0,"",U9+O37)</f>
        <v/>
      </c>
      <c r="V37" s="12" t="str">
        <f t="shared" ref="V37" si="209">IFERROR(U37/U$51,"")</f>
        <v/>
      </c>
      <c r="W37" s="13" t="str">
        <f t="shared" ref="W37:W50" si="210">IF(W$23=0,"",W9+Q37)</f>
        <v/>
      </c>
      <c r="X37" s="12" t="str">
        <f t="shared" ref="X37" si="211">IFERROR(W37/W$51,"")</f>
        <v/>
      </c>
      <c r="Y37" s="13">
        <f t="shared" ref="Y37" si="212">Y9</f>
        <v>0</v>
      </c>
      <c r="Z37" s="32" t="str">
        <f t="shared" ref="Z37:Z51" si="213">IFERROR(Y37/Y$51,"")</f>
        <v/>
      </c>
      <c r="AA37" s="7"/>
    </row>
    <row r="38" spans="1:27">
      <c r="A38" s="41"/>
      <c r="B38" s="15" t="s">
        <v>14</v>
      </c>
      <c r="C38" s="28">
        <f t="shared" si="193"/>
        <v>333836</v>
      </c>
      <c r="D38" s="16">
        <f t="shared" si="194"/>
        <v>0.7532485700425321</v>
      </c>
      <c r="E38" s="6">
        <f t="shared" si="193"/>
        <v>333836</v>
      </c>
      <c r="F38" s="16">
        <f t="shared" si="194"/>
        <v>0.77845738417089705</v>
      </c>
      <c r="G38" s="6">
        <f t="shared" ref="G38" si="214">G10</f>
        <v>14032048</v>
      </c>
      <c r="H38" s="33">
        <f t="shared" ref="H38" si="215">IFERROR(G38/G$51,"")</f>
        <v>0.59825263372820625</v>
      </c>
      <c r="I38" s="11">
        <f t="shared" si="197"/>
        <v>778459</v>
      </c>
      <c r="J38" s="12">
        <f t="shared" ref="J38:L38" si="216">IFERROR(I38/I$51,"")</f>
        <v>0.89660252098517446</v>
      </c>
      <c r="K38" s="13">
        <f t="shared" si="199"/>
        <v>778459</v>
      </c>
      <c r="L38" s="12">
        <f t="shared" si="216"/>
        <v>0.84691607310516348</v>
      </c>
      <c r="M38" s="13">
        <f t="shared" ref="M38" si="217">M10</f>
        <v>13965497</v>
      </c>
      <c r="N38" s="32">
        <f t="shared" si="201"/>
        <v>0.59368358572969138</v>
      </c>
      <c r="O38" s="59">
        <f t="shared" si="202"/>
        <v>1122327</v>
      </c>
      <c r="P38" s="16">
        <f t="shared" ref="P38" si="218">IFERROR(O38/O$51,"")</f>
        <v>0.87996728918104561</v>
      </c>
      <c r="Q38" s="6">
        <f t="shared" si="204"/>
        <v>1122327</v>
      </c>
      <c r="R38" s="16">
        <f t="shared" ref="R38" si="219">IFERROR(Q38/Q$51,"")</f>
        <v>0.83454003993025216</v>
      </c>
      <c r="S38" s="6">
        <f t="shared" ref="S38" si="220">S10</f>
        <v>14305070</v>
      </c>
      <c r="T38" s="33">
        <f t="shared" si="207"/>
        <v>0.60019618323176971</v>
      </c>
      <c r="U38" s="11" t="str">
        <f t="shared" si="208"/>
        <v/>
      </c>
      <c r="V38" s="12" t="str">
        <f t="shared" ref="V38" si="221">IFERROR(U38/U$51,"")</f>
        <v/>
      </c>
      <c r="W38" s="13" t="str">
        <f t="shared" si="210"/>
        <v/>
      </c>
      <c r="X38" s="12" t="str">
        <f t="shared" ref="X38" si="222">IFERROR(W38/W$51,"")</f>
        <v/>
      </c>
      <c r="Y38" s="13">
        <f t="shared" ref="Y38" si="223">Y10</f>
        <v>0</v>
      </c>
      <c r="Z38" s="32" t="str">
        <f t="shared" si="213"/>
        <v/>
      </c>
      <c r="AA38" s="7"/>
    </row>
    <row r="39" spans="1:27">
      <c r="A39" s="41"/>
      <c r="B39" s="15" t="s">
        <v>15</v>
      </c>
      <c r="C39" s="28">
        <f t="shared" si="193"/>
        <v>23835</v>
      </c>
      <c r="D39" s="16">
        <f t="shared" si="194"/>
        <v>5.3779938853100777E-2</v>
      </c>
      <c r="E39" s="6">
        <f t="shared" si="193"/>
        <v>-32908</v>
      </c>
      <c r="F39" s="16">
        <f t="shared" si="194"/>
        <v>-7.673670783946572E-2</v>
      </c>
      <c r="G39" s="6">
        <f t="shared" ref="G39" si="224">G11</f>
        <v>734842</v>
      </c>
      <c r="H39" s="33">
        <f t="shared" ref="H39" si="225">IFERROR(G39/G$51,"")</f>
        <v>3.1329793190138927E-2</v>
      </c>
      <c r="I39" s="11">
        <f t="shared" si="197"/>
        <v>37257</v>
      </c>
      <c r="J39" s="12">
        <f t="shared" ref="J39:L39" si="226">IFERROR(I39/I$51,"")</f>
        <v>4.2911341669046983E-2</v>
      </c>
      <c r="K39" s="13">
        <f t="shared" si="199"/>
        <v>-48840</v>
      </c>
      <c r="L39" s="12">
        <f t="shared" si="226"/>
        <v>-5.3134951244004094E-2</v>
      </c>
      <c r="M39" s="13">
        <f t="shared" ref="M39" si="227">M11</f>
        <v>851785</v>
      </c>
      <c r="N39" s="32">
        <f t="shared" si="201"/>
        <v>3.6210009072413618E-2</v>
      </c>
      <c r="O39" s="59">
        <f t="shared" si="202"/>
        <v>46707</v>
      </c>
      <c r="P39" s="16">
        <f t="shared" ref="P39" si="228">IFERROR(O39/O$51,"")</f>
        <v>3.6620906541301332E-2</v>
      </c>
      <c r="Q39" s="6">
        <f t="shared" si="204"/>
        <v>-70032</v>
      </c>
      <c r="R39" s="16">
        <f t="shared" ref="R39" si="229">IFERROR(Q39/Q$51,"")</f>
        <v>-5.207440262632497E-2</v>
      </c>
      <c r="S39" s="6">
        <f t="shared" ref="S39" si="230">S11</f>
        <v>825600</v>
      </c>
      <c r="T39" s="33">
        <f t="shared" si="207"/>
        <v>3.4639604621029399E-2</v>
      </c>
      <c r="U39" s="11" t="str">
        <f t="shared" si="208"/>
        <v/>
      </c>
      <c r="V39" s="12" t="str">
        <f t="shared" ref="V39" si="231">IFERROR(U39/U$51,"")</f>
        <v/>
      </c>
      <c r="W39" s="13" t="str">
        <f t="shared" si="210"/>
        <v/>
      </c>
      <c r="X39" s="12" t="str">
        <f t="shared" ref="X39" si="232">IFERROR(W39/W$51,"")</f>
        <v/>
      </c>
      <c r="Y39" s="13">
        <f t="shared" ref="Y39" si="233">Y11</f>
        <v>0</v>
      </c>
      <c r="Z39" s="32" t="str">
        <f t="shared" si="213"/>
        <v/>
      </c>
      <c r="AA39" s="7"/>
    </row>
    <row r="40" spans="1:27">
      <c r="A40" s="41"/>
      <c r="B40" s="15" t="s">
        <v>16</v>
      </c>
      <c r="C40" s="28">
        <f t="shared" si="193"/>
        <v>6537</v>
      </c>
      <c r="D40" s="16">
        <f t="shared" si="194"/>
        <v>1.4749715136677987E-2</v>
      </c>
      <c r="E40" s="6">
        <f t="shared" si="193"/>
        <v>6537</v>
      </c>
      <c r="F40" s="16">
        <f t="shared" si="194"/>
        <v>1.5243340803044471E-2</v>
      </c>
      <c r="G40" s="6">
        <f t="shared" ref="G40" si="234">G12</f>
        <v>221917</v>
      </c>
      <c r="H40" s="33">
        <f t="shared" ref="H40" si="235">IFERROR(G40/G$51,"")</f>
        <v>9.4613722614875859E-3</v>
      </c>
      <c r="I40" s="11">
        <f t="shared" si="197"/>
        <v>15317</v>
      </c>
      <c r="J40" s="12">
        <f t="shared" ref="J40:L40" si="236">IFERROR(I40/I$51,"")</f>
        <v>1.7641598098204165E-2</v>
      </c>
      <c r="K40" s="13">
        <f t="shared" si="199"/>
        <v>15317</v>
      </c>
      <c r="L40" s="12">
        <f t="shared" si="236"/>
        <v>1.6663964950950259E-2</v>
      </c>
      <c r="M40" s="13">
        <f t="shared" ref="M40" si="237">M12</f>
        <v>223202</v>
      </c>
      <c r="N40" s="32">
        <f t="shared" si="201"/>
        <v>9.4884817706121435E-3</v>
      </c>
      <c r="O40" s="59">
        <f t="shared" si="202"/>
        <v>21433</v>
      </c>
      <c r="P40" s="16">
        <f t="shared" ref="P40" si="238">IFERROR(O40/O$51,"")</f>
        <v>1.6804673601381194E-2</v>
      </c>
      <c r="Q40" s="6">
        <f t="shared" si="204"/>
        <v>21433</v>
      </c>
      <c r="R40" s="16">
        <f t="shared" ref="R40" si="239">IFERROR(Q40/Q$51,"")</f>
        <v>1.5937152608664937E-2</v>
      </c>
      <c r="S40" s="6">
        <f t="shared" ref="S40" si="240">S12</f>
        <v>213642</v>
      </c>
      <c r="T40" s="33">
        <f t="shared" si="207"/>
        <v>8.9637529196293156E-3</v>
      </c>
      <c r="U40" s="11" t="str">
        <f t="shared" si="208"/>
        <v/>
      </c>
      <c r="V40" s="12" t="str">
        <f t="shared" ref="V40" si="241">IFERROR(U40/U$51,"")</f>
        <v/>
      </c>
      <c r="W40" s="13" t="str">
        <f t="shared" si="210"/>
        <v/>
      </c>
      <c r="X40" s="12" t="str">
        <f t="shared" ref="X40" si="242">IFERROR(W40/W$51,"")</f>
        <v/>
      </c>
      <c r="Y40" s="13">
        <f t="shared" ref="Y40" si="243">Y12</f>
        <v>0</v>
      </c>
      <c r="Z40" s="32" t="str">
        <f t="shared" si="213"/>
        <v/>
      </c>
      <c r="AA40" s="7"/>
    </row>
    <row r="41" spans="1:27">
      <c r="A41" s="41"/>
      <c r="B41" s="15" t="s">
        <v>17</v>
      </c>
      <c r="C41" s="28">
        <f t="shared" si="193"/>
        <v>1275</v>
      </c>
      <c r="D41" s="16">
        <f t="shared" si="194"/>
        <v>2.8768375094484367E-3</v>
      </c>
      <c r="E41" s="6">
        <f t="shared" si="193"/>
        <v>5657</v>
      </c>
      <c r="F41" s="16">
        <f t="shared" si="194"/>
        <v>1.3191307774640136E-2</v>
      </c>
      <c r="G41" s="6">
        <f t="shared" ref="G41" si="244">G13</f>
        <v>430853</v>
      </c>
      <c r="H41" s="33">
        <f t="shared" ref="H41" si="245">IFERROR(G41/G$51,"")</f>
        <v>1.8369303041131192E-2</v>
      </c>
      <c r="I41" s="11">
        <f t="shared" si="197"/>
        <v>11128</v>
      </c>
      <c r="J41" s="12">
        <f t="shared" ref="J41:L41" si="246">IFERROR(I41/I$51,"")</f>
        <v>1.2816850795639875E-2</v>
      </c>
      <c r="K41" s="13">
        <f t="shared" si="199"/>
        <v>11693</v>
      </c>
      <c r="L41" s="12">
        <f t="shared" si="246"/>
        <v>1.2721273237021701E-2</v>
      </c>
      <c r="M41" s="13">
        <f t="shared" ref="M41" si="247">M13</f>
        <v>464681</v>
      </c>
      <c r="N41" s="32">
        <f t="shared" si="201"/>
        <v>1.9753932301905096E-2</v>
      </c>
      <c r="O41" s="59">
        <f t="shared" si="202"/>
        <v>14331</v>
      </c>
      <c r="P41" s="16">
        <f t="shared" ref="P41" si="248">IFERROR(O41/O$51,"")</f>
        <v>1.1236307440927256E-2</v>
      </c>
      <c r="Q41" s="6">
        <f t="shared" si="204"/>
        <v>77404</v>
      </c>
      <c r="R41" s="16">
        <f t="shared" ref="R41" si="249">IFERROR(Q41/Q$51,"")</f>
        <v>5.7556075235436051E-2</v>
      </c>
      <c r="S41" s="6">
        <f t="shared" ref="S41" si="250">S13</f>
        <v>507031</v>
      </c>
      <c r="T41" s="33">
        <f t="shared" si="207"/>
        <v>2.1273441582612837E-2</v>
      </c>
      <c r="U41" s="11" t="str">
        <f t="shared" si="208"/>
        <v/>
      </c>
      <c r="V41" s="12" t="str">
        <f t="shared" ref="V41" si="251">IFERROR(U41/U$51,"")</f>
        <v/>
      </c>
      <c r="W41" s="13" t="str">
        <f t="shared" si="210"/>
        <v/>
      </c>
      <c r="X41" s="12" t="str">
        <f t="shared" ref="X41" si="252">IFERROR(W41/W$51,"")</f>
        <v/>
      </c>
      <c r="Y41" s="13">
        <f t="shared" ref="Y41" si="253">Y13</f>
        <v>0</v>
      </c>
      <c r="Z41" s="32" t="str">
        <f t="shared" si="213"/>
        <v/>
      </c>
      <c r="AA41" s="7"/>
    </row>
    <row r="42" spans="1:27">
      <c r="A42" s="41"/>
      <c r="B42" s="15" t="s">
        <v>18</v>
      </c>
      <c r="C42" s="28">
        <f t="shared" si="193"/>
        <v>-17763</v>
      </c>
      <c r="D42" s="16">
        <f t="shared" si="194"/>
        <v>-4.0079423278692225E-2</v>
      </c>
      <c r="E42" s="6">
        <f t="shared" si="193"/>
        <v>-23019</v>
      </c>
      <c r="F42" s="16">
        <f t="shared" si="194"/>
        <v>-5.3676986682772015E-2</v>
      </c>
      <c r="G42" s="6">
        <f t="shared" ref="G42" si="254">G14</f>
        <v>448290</v>
      </c>
      <c r="H42" s="33">
        <f t="shared" ref="H42" si="255">IFERROR(G42/G$51,"")</f>
        <v>1.9112724897607077E-2</v>
      </c>
      <c r="I42" s="11">
        <f t="shared" si="197"/>
        <v>-19138</v>
      </c>
      <c r="J42" s="12">
        <f t="shared" ref="J42:L42" si="256">IFERROR(I42/I$51,"")</f>
        <v>-2.2042495554183673E-2</v>
      </c>
      <c r="K42" s="13">
        <f t="shared" si="199"/>
        <v>-52076</v>
      </c>
      <c r="L42" s="12">
        <f t="shared" si="256"/>
        <v>-5.6655522542644499E-2</v>
      </c>
      <c r="M42" s="13">
        <f t="shared" ref="M42" si="257">M14</f>
        <v>371993</v>
      </c>
      <c r="N42" s="32">
        <f t="shared" si="201"/>
        <v>1.5813697006726298E-2</v>
      </c>
      <c r="O42" s="59">
        <f t="shared" si="202"/>
        <v>-69433</v>
      </c>
      <c r="P42" s="16">
        <f t="shared" ref="P42" si="258">IFERROR(O42/O$51,"")</f>
        <v>-5.4439364632328673E-2</v>
      </c>
      <c r="Q42" s="6">
        <f t="shared" si="204"/>
        <v>-70474</v>
      </c>
      <c r="R42" s="16">
        <f t="shared" ref="R42" si="259">IFERROR(Q42/Q$51,"")</f>
        <v>-5.2403065037234776E-2</v>
      </c>
      <c r="S42" s="6">
        <f t="shared" ref="S42" si="260">S14</f>
        <v>331610</v>
      </c>
      <c r="T42" s="33">
        <f t="shared" si="207"/>
        <v>1.3913322781467488E-2</v>
      </c>
      <c r="U42" s="11" t="str">
        <f t="shared" si="208"/>
        <v/>
      </c>
      <c r="V42" s="12" t="str">
        <f t="shared" ref="V42" si="261">IFERROR(U42/U$51,"")</f>
        <v/>
      </c>
      <c r="W42" s="13" t="str">
        <f t="shared" si="210"/>
        <v/>
      </c>
      <c r="X42" s="12" t="str">
        <f t="shared" ref="X42" si="262">IFERROR(W42/W$51,"")</f>
        <v/>
      </c>
      <c r="Y42" s="13">
        <f t="shared" ref="Y42" si="263">Y14</f>
        <v>0</v>
      </c>
      <c r="Z42" s="32" t="str">
        <f t="shared" si="213"/>
        <v/>
      </c>
      <c r="AA42" s="7"/>
    </row>
    <row r="43" spans="1:27">
      <c r="A43" s="41"/>
      <c r="B43" s="15" t="s">
        <v>19</v>
      </c>
      <c r="C43" s="28">
        <f t="shared" si="193"/>
        <v>6736</v>
      </c>
      <c r="D43" s="16">
        <f t="shared" si="194"/>
        <v>1.5198727422466409E-2</v>
      </c>
      <c r="E43" s="6">
        <f t="shared" si="193"/>
        <v>6736</v>
      </c>
      <c r="F43" s="16">
        <f t="shared" si="194"/>
        <v>1.5707380090149541E-2</v>
      </c>
      <c r="G43" s="6">
        <f t="shared" ref="G43" si="264">G15</f>
        <v>138609</v>
      </c>
      <c r="H43" s="33">
        <f t="shared" ref="H43" si="265">IFERROR(G43/G$51,"")</f>
        <v>5.909557842763433E-3</v>
      </c>
      <c r="I43" s="11">
        <f t="shared" si="197"/>
        <v>15154</v>
      </c>
      <c r="J43" s="12">
        <f t="shared" ref="J43:L43" si="266">IFERROR(I43/I$51,"")</f>
        <v>1.7453860258548407E-2</v>
      </c>
      <c r="K43" s="13">
        <f t="shared" si="199"/>
        <v>15154</v>
      </c>
      <c r="L43" s="12">
        <f t="shared" si="266"/>
        <v>1.6486630858960648E-2</v>
      </c>
      <c r="M43" s="13">
        <f t="shared" ref="M43" si="267">M15</f>
        <v>63980</v>
      </c>
      <c r="N43" s="32">
        <f t="shared" si="201"/>
        <v>2.7198370251331301E-3</v>
      </c>
      <c r="O43" s="59">
        <f t="shared" si="202"/>
        <v>16445</v>
      </c>
      <c r="P43" s="16">
        <f t="shared" ref="P43" si="268">IFERROR(O43/O$51,"")</f>
        <v>1.2893801958415234E-2</v>
      </c>
      <c r="Q43" s="6">
        <f t="shared" si="204"/>
        <v>16445</v>
      </c>
      <c r="R43" s="16">
        <f t="shared" ref="R43" si="269">IFERROR(Q43/Q$51,"")</f>
        <v>1.2228174994144306E-2</v>
      </c>
      <c r="S43" s="6">
        <f t="shared" ref="S43" si="270">S15</f>
        <v>20957</v>
      </c>
      <c r="T43" s="33">
        <f t="shared" si="207"/>
        <v>8.7929044821089279E-4</v>
      </c>
      <c r="U43" s="11" t="str">
        <f t="shared" si="208"/>
        <v/>
      </c>
      <c r="V43" s="12" t="str">
        <f t="shared" ref="V43" si="271">IFERROR(U43/U$51,"")</f>
        <v/>
      </c>
      <c r="W43" s="13" t="str">
        <f t="shared" si="210"/>
        <v/>
      </c>
      <c r="X43" s="12" t="str">
        <f t="shared" ref="X43" si="272">IFERROR(W43/W$51,"")</f>
        <v/>
      </c>
      <c r="Y43" s="13">
        <f t="shared" ref="Y43" si="273">Y15</f>
        <v>0</v>
      </c>
      <c r="Z43" s="32" t="str">
        <f t="shared" si="213"/>
        <v/>
      </c>
      <c r="AA43" s="7"/>
    </row>
    <row r="44" spans="1:27">
      <c r="A44" s="41"/>
      <c r="B44" s="15" t="s">
        <v>20</v>
      </c>
      <c r="C44" s="28">
        <f t="shared" si="193"/>
        <v>69689</v>
      </c>
      <c r="D44" s="16">
        <f t="shared" si="194"/>
        <v>0.15724229740858989</v>
      </c>
      <c r="E44" s="6">
        <f t="shared" si="193"/>
        <v>69689</v>
      </c>
      <c r="F44" s="16">
        <f t="shared" si="194"/>
        <v>0.16250469285962463</v>
      </c>
      <c r="G44" s="6">
        <f t="shared" ref="G44" si="274">G16</f>
        <v>3674686</v>
      </c>
      <c r="H44" s="33">
        <f t="shared" ref="H44" si="275">IFERROR(G44/G$51,"")</f>
        <v>0.15666926008407095</v>
      </c>
      <c r="I44" s="11">
        <f t="shared" si="197"/>
        <v>178058</v>
      </c>
      <c r="J44" s="12">
        <f t="shared" ref="J44:L44" si="276">IFERROR(I44/I$51,"")</f>
        <v>0.20508113038911258</v>
      </c>
      <c r="K44" s="13">
        <f t="shared" si="199"/>
        <v>178058</v>
      </c>
      <c r="L44" s="12">
        <f t="shared" si="276"/>
        <v>0.19371628068396562</v>
      </c>
      <c r="M44" s="13">
        <f t="shared" ref="M44" si="277">M16</f>
        <v>3880900</v>
      </c>
      <c r="N44" s="32">
        <f t="shared" si="201"/>
        <v>0.16497992358298164</v>
      </c>
      <c r="O44" s="59">
        <f t="shared" si="202"/>
        <v>259751</v>
      </c>
      <c r="P44" s="16">
        <f t="shared" ref="P44" si="278">IFERROR(O44/O$51,"")</f>
        <v>0.20365934645790912</v>
      </c>
      <c r="Q44" s="6">
        <f t="shared" si="204"/>
        <v>259751</v>
      </c>
      <c r="R44" s="16">
        <f t="shared" ref="R44" si="279">IFERROR(Q44/Q$51,"")</f>
        <v>0.19314567849826561</v>
      </c>
      <c r="S44" s="6">
        <f t="shared" ref="S44" si="280">S16</f>
        <v>4004118</v>
      </c>
      <c r="T44" s="33">
        <f t="shared" si="207"/>
        <v>0.16800032022280401</v>
      </c>
      <c r="U44" s="11" t="str">
        <f t="shared" si="208"/>
        <v/>
      </c>
      <c r="V44" s="12" t="str">
        <f t="shared" ref="V44" si="281">IFERROR(U44/U$51,"")</f>
        <v/>
      </c>
      <c r="W44" s="13" t="str">
        <f t="shared" si="210"/>
        <v/>
      </c>
      <c r="X44" s="12" t="str">
        <f t="shared" ref="X44" si="282">IFERROR(W44/W$51,"")</f>
        <v/>
      </c>
      <c r="Y44" s="13">
        <f t="shared" ref="Y44" si="283">Y16</f>
        <v>0</v>
      </c>
      <c r="Z44" s="32" t="str">
        <f t="shared" si="213"/>
        <v/>
      </c>
      <c r="AA44" s="7"/>
    </row>
    <row r="45" spans="1:27">
      <c r="A45" s="41"/>
      <c r="B45" s="15" t="s">
        <v>21</v>
      </c>
      <c r="C45" s="28">
        <f t="shared" si="193"/>
        <v>6628</v>
      </c>
      <c r="D45" s="16">
        <f t="shared" si="194"/>
        <v>1.4955042362842541E-2</v>
      </c>
      <c r="E45" s="6">
        <f t="shared" si="193"/>
        <v>6628</v>
      </c>
      <c r="F45" s="16">
        <f t="shared" si="194"/>
        <v>1.5455539673027192E-2</v>
      </c>
      <c r="G45" s="6">
        <f t="shared" ref="G45" si="284">G17</f>
        <v>330428</v>
      </c>
      <c r="H45" s="33">
        <f t="shared" ref="H45" si="285">IFERROR(G45/G$51,"")</f>
        <v>1.4087709880805977E-2</v>
      </c>
      <c r="I45" s="11">
        <f t="shared" si="197"/>
        <v>15718</v>
      </c>
      <c r="J45" s="12">
        <f t="shared" ref="J45:L45" si="286">IFERROR(I45/I$51,"")</f>
        <v>1.8103456219075085E-2</v>
      </c>
      <c r="K45" s="13">
        <f t="shared" si="199"/>
        <v>15718</v>
      </c>
      <c r="L45" s="12">
        <f t="shared" si="286"/>
        <v>1.7100228576029001E-2</v>
      </c>
      <c r="M45" s="13">
        <f t="shared" ref="M45" si="287">M17</f>
        <v>332752</v>
      </c>
      <c r="N45" s="32">
        <f t="shared" si="201"/>
        <v>1.4145533132027184E-2</v>
      </c>
      <c r="O45" s="59">
        <f t="shared" si="202"/>
        <v>22336</v>
      </c>
      <c r="P45" s="16">
        <f t="shared" ref="P45" si="288">IFERROR(O45/O$51,"")</f>
        <v>1.7512676226400892E-2</v>
      </c>
      <c r="Q45" s="6">
        <f t="shared" si="204"/>
        <v>22336</v>
      </c>
      <c r="R45" s="16">
        <f t="shared" ref="R45" si="289">IFERROR(Q45/Q$51,"")</f>
        <v>1.6608605452672984E-2</v>
      </c>
      <c r="S45" s="6">
        <f t="shared" ref="S45" si="290">S17</f>
        <v>327463</v>
      </c>
      <c r="T45" s="33">
        <f t="shared" si="207"/>
        <v>1.3739327577538941E-2</v>
      </c>
      <c r="U45" s="11" t="str">
        <f t="shared" si="208"/>
        <v/>
      </c>
      <c r="V45" s="12" t="str">
        <f t="shared" ref="V45" si="291">IFERROR(U45/U$51,"")</f>
        <v/>
      </c>
      <c r="W45" s="13" t="str">
        <f t="shared" si="210"/>
        <v/>
      </c>
      <c r="X45" s="12" t="str">
        <f t="shared" ref="X45" si="292">IFERROR(W45/W$51,"")</f>
        <v/>
      </c>
      <c r="Y45" s="13">
        <f t="shared" ref="Y45" si="293">Y17</f>
        <v>0</v>
      </c>
      <c r="Z45" s="32" t="str">
        <f t="shared" si="213"/>
        <v/>
      </c>
      <c r="AA45" s="7"/>
    </row>
    <row r="46" spans="1:27">
      <c r="A46" s="41"/>
      <c r="B46" s="15" t="s">
        <v>22</v>
      </c>
      <c r="C46" s="28">
        <f t="shared" si="193"/>
        <v>-33786</v>
      </c>
      <c r="D46" s="16">
        <f t="shared" si="194"/>
        <v>-7.6232809485666575E-2</v>
      </c>
      <c r="E46" s="6">
        <f t="shared" si="193"/>
        <v>-33786</v>
      </c>
      <c r="F46" s="16">
        <f t="shared" si="194"/>
        <v>-7.8784077156441867E-2</v>
      </c>
      <c r="G46" s="6">
        <f t="shared" ref="G46" si="294">G18</f>
        <v>107931</v>
      </c>
      <c r="H46" s="33">
        <f t="shared" ref="H46" si="295">IFERROR(G46/G$51,"")</f>
        <v>4.601609473607775E-3</v>
      </c>
      <c r="I46" s="11">
        <f t="shared" si="197"/>
        <v>-266739</v>
      </c>
      <c r="J46" s="12">
        <f t="shared" ref="J46:L46" si="296">IFERROR(I46/I$51,"")</f>
        <v>-0.30722088105483325</v>
      </c>
      <c r="K46" s="13">
        <f t="shared" si="199"/>
        <v>-266739</v>
      </c>
      <c r="L46" s="12">
        <f t="shared" si="296"/>
        <v>-0.29019581817924667</v>
      </c>
      <c r="M46" s="13">
        <f t="shared" ref="M46" si="297">M18</f>
        <v>-177715</v>
      </c>
      <c r="N46" s="32">
        <f t="shared" si="201"/>
        <v>-7.55479582559447E-3</v>
      </c>
      <c r="O46" s="59">
        <f t="shared" si="202"/>
        <v>-319906</v>
      </c>
      <c r="P46" s="16">
        <f t="shared" ref="P46" si="298">IFERROR(O46/O$51,"")</f>
        <v>-0.25082423893638089</v>
      </c>
      <c r="Q46" s="6">
        <f t="shared" si="204"/>
        <v>-319906</v>
      </c>
      <c r="R46" s="16">
        <f t="shared" ref="R46" si="299">IFERROR(Q46/Q$51,"")</f>
        <v>-0.23787574032695219</v>
      </c>
      <c r="S46" s="6">
        <f t="shared" ref="S46" si="300">S18</f>
        <v>-220307</v>
      </c>
      <c r="T46" s="33">
        <f t="shared" si="207"/>
        <v>-9.243395561101167E-3</v>
      </c>
      <c r="U46" s="11" t="str">
        <f t="shared" si="208"/>
        <v/>
      </c>
      <c r="V46" s="12" t="str">
        <f t="shared" ref="V46" si="301">IFERROR(U46/U$51,"")</f>
        <v/>
      </c>
      <c r="W46" s="13" t="str">
        <f t="shared" si="210"/>
        <v/>
      </c>
      <c r="X46" s="12" t="str">
        <f t="shared" ref="X46" si="302">IFERROR(W46/W$51,"")</f>
        <v/>
      </c>
      <c r="Y46" s="13">
        <f t="shared" ref="Y46" si="303">Y18</f>
        <v>0</v>
      </c>
      <c r="Z46" s="32" t="str">
        <f t="shared" si="213"/>
        <v/>
      </c>
      <c r="AA46" s="7"/>
    </row>
    <row r="47" spans="1:27">
      <c r="A47" s="41"/>
      <c r="B47" s="15" t="s">
        <v>23</v>
      </c>
      <c r="C47" s="28">
        <f t="shared" si="193"/>
        <v>-1977</v>
      </c>
      <c r="D47" s="16">
        <f t="shared" si="194"/>
        <v>-4.4607903970035759E-3</v>
      </c>
      <c r="E47" s="6">
        <f t="shared" si="193"/>
        <v>-1683</v>
      </c>
      <c r="F47" s="16">
        <f t="shared" si="194"/>
        <v>-3.9245131668232897E-3</v>
      </c>
      <c r="G47" s="6">
        <f t="shared" ref="G47" si="304">G19</f>
        <v>53763</v>
      </c>
      <c r="H47" s="33">
        <f t="shared" ref="H47" si="305">IFERROR(G47/G$51,"")</f>
        <v>2.292171203172164E-3</v>
      </c>
      <c r="I47" s="11">
        <f t="shared" si="197"/>
        <v>1451</v>
      </c>
      <c r="J47" s="12">
        <f t="shared" ref="J47:L47" si="306">IFERROR(I47/I$51,"")</f>
        <v>1.6712123027025035E-3</v>
      </c>
      <c r="K47" s="13">
        <f t="shared" si="199"/>
        <v>3911</v>
      </c>
      <c r="L47" s="12">
        <f t="shared" si="306"/>
        <v>4.2549302685360359E-3</v>
      </c>
      <c r="M47" s="13">
        <f t="shared" ref="M47" si="307">M19</f>
        <v>59292</v>
      </c>
      <c r="N47" s="32">
        <f t="shared" si="201"/>
        <v>2.5205466848107773E-3</v>
      </c>
      <c r="O47" s="59">
        <f t="shared" si="202"/>
        <v>2101</v>
      </c>
      <c r="P47" s="16">
        <f t="shared" ref="P47" si="308">IFERROR(O47/O$51,"")</f>
        <v>1.6473017886670968E-3</v>
      </c>
      <c r="Q47" s="6">
        <f t="shared" si="204"/>
        <v>4503</v>
      </c>
      <c r="R47" s="16">
        <f t="shared" ref="R47" si="309">IFERROR(Q47/Q$51,"")</f>
        <v>3.348341258658061E-3</v>
      </c>
      <c r="S47" s="6">
        <f t="shared" ref="S47" si="310">S19</f>
        <v>40201</v>
      </c>
      <c r="T47" s="33">
        <f t="shared" si="207"/>
        <v>1.6867087516594028E-3</v>
      </c>
      <c r="U47" s="11" t="str">
        <f t="shared" si="208"/>
        <v/>
      </c>
      <c r="V47" s="12" t="str">
        <f t="shared" ref="V47" si="311">IFERROR(U47/U$51,"")</f>
        <v/>
      </c>
      <c r="W47" s="13" t="str">
        <f t="shared" si="210"/>
        <v/>
      </c>
      <c r="X47" s="12" t="str">
        <f t="shared" ref="X47" si="312">IFERROR(W47/W$51,"")</f>
        <v/>
      </c>
      <c r="Y47" s="13">
        <f t="shared" ref="Y47" si="313">Y19</f>
        <v>0</v>
      </c>
      <c r="Z47" s="32" t="str">
        <f t="shared" si="213"/>
        <v/>
      </c>
      <c r="AA47" s="7"/>
    </row>
    <row r="48" spans="1:27">
      <c r="A48" s="41"/>
      <c r="B48" s="15" t="s">
        <v>24</v>
      </c>
      <c r="C48" s="28">
        <f t="shared" si="193"/>
        <v>23873</v>
      </c>
      <c r="D48" s="16">
        <f t="shared" si="194"/>
        <v>5.3865679892598065E-2</v>
      </c>
      <c r="E48" s="6">
        <f t="shared" si="193"/>
        <v>69258</v>
      </c>
      <c r="F48" s="16">
        <f t="shared" si="194"/>
        <v>0.16149966304684932</v>
      </c>
      <c r="G48" s="6">
        <f t="shared" ref="G48" si="314">G20</f>
        <v>1402212</v>
      </c>
      <c r="H48" s="33">
        <f t="shared" ref="H48" si="315">IFERROR(G48/G$51,"")</f>
        <v>5.9782935608921492E-2</v>
      </c>
      <c r="I48" s="11">
        <f t="shared" si="197"/>
        <v>42127</v>
      </c>
      <c r="J48" s="12">
        <f t="shared" ref="J48:L48" si="316">IFERROR(I48/I$51,"")</f>
        <v>4.8520441540970613E-2</v>
      </c>
      <c r="K48" s="13">
        <f t="shared" si="199"/>
        <v>208672</v>
      </c>
      <c r="L48" s="12">
        <f t="shared" si="316"/>
        <v>0.22702245180157293</v>
      </c>
      <c r="M48" s="13">
        <f t="shared" ref="M48" si="317">M20</f>
        <v>1575014</v>
      </c>
      <c r="N48" s="32">
        <f t="shared" si="201"/>
        <v>6.695500769463944E-2</v>
      </c>
      <c r="O48" s="59">
        <f t="shared" si="202"/>
        <v>70408</v>
      </c>
      <c r="P48" s="16">
        <f t="shared" ref="P48" si="318">IFERROR(O48/O$51,"")</f>
        <v>5.5203819293894792E-2</v>
      </c>
      <c r="Q48" s="6">
        <f t="shared" si="204"/>
        <v>194472</v>
      </c>
      <c r="R48" s="16">
        <f t="shared" ref="R48" si="319">IFERROR(Q48/Q$51,"")</f>
        <v>0.14460551215939382</v>
      </c>
      <c r="S48" s="6">
        <f t="shared" ref="S48" si="320">S20</f>
        <v>1538846</v>
      </c>
      <c r="T48" s="33">
        <f t="shared" si="207"/>
        <v>6.4565185335092784E-2</v>
      </c>
      <c r="U48" s="11" t="str">
        <f t="shared" si="208"/>
        <v/>
      </c>
      <c r="V48" s="12" t="str">
        <f t="shared" ref="V48" si="321">IFERROR(U48/U$51,"")</f>
        <v/>
      </c>
      <c r="W48" s="13" t="str">
        <f t="shared" si="210"/>
        <v/>
      </c>
      <c r="X48" s="12" t="str">
        <f t="shared" ref="X48" si="322">IFERROR(W48/W$51,"")</f>
        <v/>
      </c>
      <c r="Y48" s="13">
        <f t="shared" ref="Y48" si="323">Y20</f>
        <v>0</v>
      </c>
      <c r="Z48" s="32" t="str">
        <f t="shared" si="213"/>
        <v/>
      </c>
      <c r="AA48" s="7"/>
    </row>
    <row r="49" spans="1:27">
      <c r="A49" s="41"/>
      <c r="B49" s="15" t="s">
        <v>25</v>
      </c>
      <c r="C49" s="28">
        <f t="shared" si="193"/>
        <v>21800</v>
      </c>
      <c r="D49" s="16">
        <f t="shared" si="194"/>
        <v>4.9188280553706609E-2</v>
      </c>
      <c r="E49" s="6">
        <f t="shared" si="193"/>
        <v>23246</v>
      </c>
      <c r="F49" s="16">
        <f t="shared" si="194"/>
        <v>5.4206317929871774E-2</v>
      </c>
      <c r="G49" s="6">
        <f t="shared" ref="G49" si="324">G21</f>
        <v>1113897</v>
      </c>
      <c r="H49" s="33">
        <f t="shared" ref="H49" si="325">IFERROR(G49/G$51,"")</f>
        <v>4.7490702280376162E-2</v>
      </c>
      <c r="I49" s="11">
        <f t="shared" si="197"/>
        <v>41867</v>
      </c>
      <c r="J49" s="12">
        <f t="shared" ref="J49:L49" si="326">IFERROR(I49/I$51,"")</f>
        <v>4.8220982410231365E-2</v>
      </c>
      <c r="K49" s="13">
        <f t="shared" si="199"/>
        <v>50719</v>
      </c>
      <c r="L49" s="12">
        <f t="shared" si="326"/>
        <v>5.517918902835061E-2</v>
      </c>
      <c r="M49" s="13">
        <f t="shared" ref="M49" si="327">M21</f>
        <v>1145066</v>
      </c>
      <c r="N49" s="32">
        <f t="shared" si="201"/>
        <v>4.8677600859973316E-2</v>
      </c>
      <c r="O49" s="59">
        <f t="shared" si="202"/>
        <v>65484</v>
      </c>
      <c r="P49" s="16">
        <f t="shared" ref="P49" si="328">IFERROR(O49/O$51,"")</f>
        <v>5.1343127238970096E-2</v>
      </c>
      <c r="Q49" s="6">
        <f t="shared" si="204"/>
        <v>74953</v>
      </c>
      <c r="R49" s="16">
        <f t="shared" ref="R49" si="329">IFERROR(Q49/Q$51,"")</f>
        <v>5.5733560373128502E-2</v>
      </c>
      <c r="S49" s="6">
        <f t="shared" ref="S49" si="330">S21</f>
        <v>1180452</v>
      </c>
      <c r="T49" s="33">
        <f t="shared" si="207"/>
        <v>4.9528089333943065E-2</v>
      </c>
      <c r="U49" s="11" t="str">
        <f t="shared" si="208"/>
        <v/>
      </c>
      <c r="V49" s="12" t="str">
        <f t="shared" ref="V49" si="331">IFERROR(U49/U$51,"")</f>
        <v/>
      </c>
      <c r="W49" s="13" t="str">
        <f t="shared" si="210"/>
        <v/>
      </c>
      <c r="X49" s="12" t="str">
        <f t="shared" ref="X49" si="332">IFERROR(W49/W$51,"")</f>
        <v/>
      </c>
      <c r="Y49" s="13">
        <f t="shared" ref="Y49" si="333">Y21</f>
        <v>0</v>
      </c>
      <c r="Z49" s="32" t="str">
        <f t="shared" si="213"/>
        <v/>
      </c>
      <c r="AA49" s="7"/>
    </row>
    <row r="50" spans="1:27">
      <c r="A50" s="41"/>
      <c r="B50" s="15" t="s">
        <v>26</v>
      </c>
      <c r="C50" s="28">
        <f t="shared" si="193"/>
        <v>409</v>
      </c>
      <c r="D50" s="16">
        <f t="shared" si="194"/>
        <v>9.2284434616816523E-4</v>
      </c>
      <c r="E50" s="6">
        <f t="shared" si="193"/>
        <v>409</v>
      </c>
      <c r="F50" s="16">
        <f t="shared" si="194"/>
        <v>9.5372898706519633E-4</v>
      </c>
      <c r="G50" s="6">
        <f t="shared" ref="G50" si="334">G22</f>
        <v>0</v>
      </c>
      <c r="H50" s="33">
        <f t="shared" ref="H50" si="335">IFERROR(G50/G$51,"")</f>
        <v>0</v>
      </c>
      <c r="I50" s="11">
        <f t="shared" si="197"/>
        <v>1131</v>
      </c>
      <c r="J50" s="12">
        <f t="shared" ref="J50:L50" si="336">IFERROR(I50/I$51,"")</f>
        <v>1.3026472187157351E-3</v>
      </c>
      <c r="K50" s="13">
        <f t="shared" si="199"/>
        <v>1131</v>
      </c>
      <c r="L50" s="12">
        <f t="shared" si="336"/>
        <v>1.2304592517806846E-3</v>
      </c>
      <c r="M50" s="13">
        <f t="shared" ref="M50" si="337">M22</f>
        <v>0</v>
      </c>
      <c r="N50" s="32">
        <f t="shared" si="201"/>
        <v>0</v>
      </c>
      <c r="O50" s="59">
        <f t="shared" si="202"/>
        <v>962</v>
      </c>
      <c r="P50" s="16">
        <f t="shared" ref="P50" si="338">IFERROR(O50/O$51,"")</f>
        <v>7.54261932745239E-4</v>
      </c>
      <c r="Q50" s="6">
        <f t="shared" si="204"/>
        <v>962</v>
      </c>
      <c r="R50" s="16">
        <f t="shared" ref="R50" si="339">IFERROR(Q50/Q$51,"")</f>
        <v>7.1532407080369855E-4</v>
      </c>
      <c r="S50" s="6">
        <f t="shared" ref="S50" si="340">S22</f>
        <v>0</v>
      </c>
      <c r="T50" s="33">
        <f t="shared" si="207"/>
        <v>0</v>
      </c>
      <c r="U50" s="11" t="str">
        <f t="shared" si="208"/>
        <v/>
      </c>
      <c r="V50" s="12" t="str">
        <f t="shared" ref="V50" si="341">IFERROR(U50/U$51,"")</f>
        <v/>
      </c>
      <c r="W50" s="13" t="str">
        <f t="shared" si="210"/>
        <v/>
      </c>
      <c r="X50" s="12" t="str">
        <f t="shared" ref="X50" si="342">IFERROR(W50/W$51,"")</f>
        <v/>
      </c>
      <c r="Y50" s="13">
        <f t="shared" ref="Y50" si="343">Y22</f>
        <v>0</v>
      </c>
      <c r="Z50" s="32" t="str">
        <f t="shared" si="213"/>
        <v/>
      </c>
      <c r="AA50" s="7"/>
    </row>
    <row r="51" spans="1:27">
      <c r="A51" s="41"/>
      <c r="B51" s="17" t="s">
        <v>27</v>
      </c>
      <c r="C51" s="18">
        <f>SUM(C36:C50)</f>
        <v>443195</v>
      </c>
      <c r="D51" s="19">
        <f t="shared" si="194"/>
        <v>1</v>
      </c>
      <c r="E51" s="23">
        <f>SUM(E36:E50)</f>
        <v>428843</v>
      </c>
      <c r="F51" s="19">
        <f t="shared" si="194"/>
        <v>1</v>
      </c>
      <c r="G51" s="23">
        <f>SUM(G36:G50)</f>
        <v>23455054.284600001</v>
      </c>
      <c r="H51" s="34">
        <f t="shared" ref="H51" si="344">IFERROR(G51/G$51,"")</f>
        <v>1</v>
      </c>
      <c r="I51" s="20">
        <f>SUM(I36:I50)</f>
        <v>868232</v>
      </c>
      <c r="J51" s="21">
        <f t="shared" ref="J51:L51" si="345">IFERROR(I51/I$51,"")</f>
        <v>1</v>
      </c>
      <c r="K51" s="22">
        <f>SUM(K36:K50)</f>
        <v>919169</v>
      </c>
      <c r="L51" s="21">
        <f t="shared" si="345"/>
        <v>1</v>
      </c>
      <c r="M51" s="22">
        <f>SUM(M36:M50)</f>
        <v>23523468.284600001</v>
      </c>
      <c r="N51" s="35">
        <f t="shared" si="201"/>
        <v>1</v>
      </c>
      <c r="O51" s="29">
        <f>SUM(O36:O50)</f>
        <v>1275419</v>
      </c>
      <c r="P51" s="19">
        <f t="shared" ref="P51" si="346">IFERROR(O51/O$51,"")</f>
        <v>1</v>
      </c>
      <c r="Q51" s="23">
        <f>SUM(Q36:Q50)</f>
        <v>1344845</v>
      </c>
      <c r="R51" s="19">
        <f t="shared" ref="R51" si="347">IFERROR(Q51/Q$51,"")</f>
        <v>1</v>
      </c>
      <c r="S51" s="23">
        <f>SUM(S36:S50)</f>
        <v>23833990.284600001</v>
      </c>
      <c r="T51" s="34">
        <f t="shared" si="207"/>
        <v>1</v>
      </c>
      <c r="U51" s="20">
        <f>SUM(U36:U50)</f>
        <v>0</v>
      </c>
      <c r="V51" s="21" t="str">
        <f t="shared" ref="V51" si="348">IFERROR(U51/U$51,"")</f>
        <v/>
      </c>
      <c r="W51" s="22">
        <f>SUM(W36:W50)</f>
        <v>0</v>
      </c>
      <c r="X51" s="21" t="str">
        <f t="shared" ref="X51" si="349">IFERROR(W51/W$51,"")</f>
        <v/>
      </c>
      <c r="Y51" s="22">
        <f>SUM(Y36:Y50)</f>
        <v>0</v>
      </c>
      <c r="Z51" s="35" t="str">
        <f t="shared" si="213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350">C25</f>
        <v>481647</v>
      </c>
      <c r="D53" s="9">
        <f>IFERROR(C53/C$55,"")</f>
        <v>1.0867609065986756</v>
      </c>
      <c r="E53" s="5">
        <f t="shared" si="350"/>
        <v>417136</v>
      </c>
      <c r="F53" s="9">
        <f>IFERROR(E53/E$55,"")</f>
        <v>0.97270096515508009</v>
      </c>
      <c r="G53" s="5">
        <f t="shared" ref="G53" si="351">G25</f>
        <v>20946797.284600001</v>
      </c>
      <c r="H53" s="31">
        <f>IFERROR(G53/G$55,"")</f>
        <v>0.89306113004194332</v>
      </c>
      <c r="I53" s="54">
        <f t="shared" ref="I53:I54" si="352">IF(I$23=0,"",I25+C53)</f>
        <v>1016810</v>
      </c>
      <c r="J53" s="55">
        <f>IFERROR(I53/I$55,"")</f>
        <v>1.1711270720268316</v>
      </c>
      <c r="K53" s="56">
        <f t="shared" ref="K53:K54" si="353">IF(K$23=0,"",K25+E53)</f>
        <v>897722</v>
      </c>
      <c r="L53" s="55">
        <f>IFERROR(K53/K$55,"")</f>
        <v>0.97666696766318273</v>
      </c>
      <c r="M53" s="56">
        <f t="shared" ref="M53" si="354">M25</f>
        <v>21054262.284600001</v>
      </c>
      <c r="N53" s="57">
        <f>IFERROR(M53/M$55,"")</f>
        <v>0.89503223036134927</v>
      </c>
      <c r="O53" s="27">
        <f t="shared" ref="O53:O54" si="355">IF(O$23=0,"",O25+I53)</f>
        <v>1488433</v>
      </c>
      <c r="P53" s="9">
        <f>IFERROR(O53/O$55,"")</f>
        <v>1.1670149182347134</v>
      </c>
      <c r="Q53" s="5">
        <f t="shared" ref="Q53:Q54" si="356">IF(Q$23=0,"",Q25+K53)</f>
        <v>1330870</v>
      </c>
      <c r="R53" s="9">
        <f>IFERROR(Q53/Q$55,"")</f>
        <v>0.98960846789035173</v>
      </c>
      <c r="S53" s="5">
        <f t="shared" ref="S53:S54" si="357">S25</f>
        <v>21480119.284600001</v>
      </c>
      <c r="T53" s="31">
        <f>IFERROR(S53/S$55,"")</f>
        <v>0.90123890410742846</v>
      </c>
      <c r="U53" s="54" t="str">
        <f t="shared" ref="U53:U54" si="358">IF(U$23=0,"",U25+O53)</f>
        <v/>
      </c>
      <c r="V53" s="55" t="str">
        <f>IFERROR(U53/U$55,"")</f>
        <v/>
      </c>
      <c r="W53" s="56" t="str">
        <f t="shared" ref="W53:W54" si="359">IF(W$23=0,"",W25+Q53)</f>
        <v/>
      </c>
      <c r="X53" s="55" t="str">
        <f>IFERROR(W53/W$55,"")</f>
        <v/>
      </c>
      <c r="Y53" s="56">
        <f t="shared" ref="Y53:Y54" si="360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350"/>
        <v>-38452</v>
      </c>
      <c r="D54" s="16">
        <f t="shared" ref="D54:F55" si="361">IFERROR(C54/C$55,"")</f>
        <v>-8.6760906598675525E-2</v>
      </c>
      <c r="E54" s="6">
        <f t="shared" si="350"/>
        <v>11707</v>
      </c>
      <c r="F54" s="16">
        <f t="shared" si="361"/>
        <v>2.7299034844919936E-2</v>
      </c>
      <c r="G54" s="6">
        <f t="shared" ref="G54" si="362">G26</f>
        <v>2508257</v>
      </c>
      <c r="H54" s="33">
        <f t="shared" ref="H54" si="363">IFERROR(G54/G$55,"")</f>
        <v>0.1069388699580567</v>
      </c>
      <c r="I54" s="11">
        <f t="shared" si="352"/>
        <v>-148578</v>
      </c>
      <c r="J54" s="12">
        <f t="shared" ref="J54:L54" si="364">IFERROR(I54/I$55,"")</f>
        <v>-0.17112707202683153</v>
      </c>
      <c r="K54" s="13">
        <f t="shared" si="353"/>
        <v>21447</v>
      </c>
      <c r="L54" s="12">
        <f t="shared" si="364"/>
        <v>2.3333032336817279E-2</v>
      </c>
      <c r="M54" s="13">
        <f t="shared" ref="M54" si="365">M26</f>
        <v>2469206</v>
      </c>
      <c r="N54" s="32">
        <f t="shared" ref="N54" si="366">IFERROR(M54/M$55,"")</f>
        <v>0.10496776963865076</v>
      </c>
      <c r="O54" s="28">
        <f t="shared" si="355"/>
        <v>-213014</v>
      </c>
      <c r="P54" s="16">
        <f t="shared" ref="P54" si="367">IFERROR(O54/O$55,"")</f>
        <v>-0.16701491823471346</v>
      </c>
      <c r="Q54" s="6">
        <f t="shared" si="356"/>
        <v>13975</v>
      </c>
      <c r="R54" s="16">
        <f t="shared" ref="R54" si="368">IFERROR(Q54/Q$55,"")</f>
        <v>1.0391532109648324E-2</v>
      </c>
      <c r="S54" s="6">
        <f t="shared" si="357"/>
        <v>2353871</v>
      </c>
      <c r="T54" s="33">
        <f t="shared" ref="T54:T55" si="369">IFERROR(S54/S$55,"")</f>
        <v>9.8761095892571579E-2</v>
      </c>
      <c r="U54" s="11" t="str">
        <f t="shared" si="358"/>
        <v/>
      </c>
      <c r="V54" s="12" t="str">
        <f t="shared" ref="V54" si="370">IFERROR(U54/U$55,"")</f>
        <v/>
      </c>
      <c r="W54" s="13" t="str">
        <f t="shared" si="359"/>
        <v/>
      </c>
      <c r="X54" s="12" t="str">
        <f t="shared" ref="X54" si="371">IFERROR(W54/W$55,"")</f>
        <v/>
      </c>
      <c r="Y54" s="13">
        <f t="shared" si="360"/>
        <v>0</v>
      </c>
      <c r="Z54" s="32" t="str">
        <f t="shared" ref="Z54:Z55" si="372">IFERROR(Y54/Y$55,"")</f>
        <v/>
      </c>
      <c r="AA54" s="7"/>
    </row>
    <row r="55" spans="1:27">
      <c r="A55" s="41"/>
      <c r="B55" s="17" t="s">
        <v>27</v>
      </c>
      <c r="C55" s="29">
        <f>SUM(C53:C54)</f>
        <v>443195</v>
      </c>
      <c r="D55" s="19">
        <f t="shared" si="361"/>
        <v>1</v>
      </c>
      <c r="E55" s="23">
        <f>SUM(E53:E54)</f>
        <v>428843</v>
      </c>
      <c r="F55" s="19">
        <f t="shared" si="361"/>
        <v>1</v>
      </c>
      <c r="G55" s="23">
        <f>SUM(G53:G54)</f>
        <v>23455054.284600001</v>
      </c>
      <c r="H55" s="34">
        <f t="shared" ref="H55" si="373">IFERROR(G55/G$55,"")</f>
        <v>1</v>
      </c>
      <c r="I55" s="20">
        <f>SUM(I53:I54)</f>
        <v>868232</v>
      </c>
      <c r="J55" s="21">
        <f t="shared" ref="J55:L55" si="374">IFERROR(I55/I$55,"")</f>
        <v>1</v>
      </c>
      <c r="K55" s="22">
        <f>SUM(K53:K54)</f>
        <v>919169</v>
      </c>
      <c r="L55" s="21">
        <f t="shared" si="374"/>
        <v>1</v>
      </c>
      <c r="M55" s="22">
        <f>SUM(M53:M54)</f>
        <v>23523468.284600001</v>
      </c>
      <c r="N55" s="35">
        <f t="shared" ref="N55" si="375">IFERROR(M55/M$55,"")</f>
        <v>1</v>
      </c>
      <c r="O55" s="29">
        <f>SUM(O53:O54)</f>
        <v>1275419</v>
      </c>
      <c r="P55" s="19">
        <f t="shared" ref="P55" si="376">IFERROR(O55/O$55,"")</f>
        <v>1</v>
      </c>
      <c r="Q55" s="23">
        <f>SUM(Q53:Q54)</f>
        <v>1344845</v>
      </c>
      <c r="R55" s="19">
        <f t="shared" ref="R55" si="377">IFERROR(Q55/Q$55,"")</f>
        <v>1</v>
      </c>
      <c r="S55" s="23">
        <f>SUM(S53:S54)</f>
        <v>23833990.284600001</v>
      </c>
      <c r="T55" s="34">
        <f t="shared" si="369"/>
        <v>1</v>
      </c>
      <c r="U55" s="20">
        <f>SUM(U53:U54)</f>
        <v>0</v>
      </c>
      <c r="V55" s="21" t="str">
        <f t="shared" ref="V55" si="378">IFERROR(U55/U$55,"")</f>
        <v/>
      </c>
      <c r="W55" s="22">
        <f>SUM(W53:W54)</f>
        <v>0</v>
      </c>
      <c r="X55" s="21" t="str">
        <f t="shared" ref="X55" si="379">IFERROR(W55/W$55,"")</f>
        <v/>
      </c>
      <c r="Y55" s="22">
        <f>SUM(Y53:Y54)</f>
        <v>0</v>
      </c>
      <c r="Z55" s="35" t="str">
        <f t="shared" si="372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380">C29</f>
        <v>22481</v>
      </c>
      <c r="D57" s="9">
        <f>IFERROR(C57/C$59,"")</f>
        <v>5.0724850235223773E-2</v>
      </c>
      <c r="E57" s="5">
        <f t="shared" si="380"/>
        <v>-47858</v>
      </c>
      <c r="F57" s="9">
        <f>IFERROR(E57/E$59,"")</f>
        <v>-0.11159795076519845</v>
      </c>
      <c r="G57" s="5">
        <f t="shared" ref="G57" si="381">G29</f>
        <v>2400079.2845999999</v>
      </c>
      <c r="H57" s="31">
        <f>IFERROR(G57/G$59,"")</f>
        <v>0.1023267418390002</v>
      </c>
      <c r="I57" s="54">
        <f t="shared" ref="I57:I58" si="382">IF(I$23=0,"",I29+C57)</f>
        <v>68214</v>
      </c>
      <c r="J57" s="55">
        <f>IFERROR(I57/I$59,"")</f>
        <v>7.8566558247104457E-2</v>
      </c>
      <c r="K57" s="56">
        <f t="shared" ref="K57:K58" si="383">IF(K$23=0,"",K29+E57)</f>
        <v>-90799</v>
      </c>
      <c r="L57" s="55">
        <f>IFERROR(K57/K$59,"")</f>
        <v>-9.878379275193136E-2</v>
      </c>
      <c r="M57" s="56">
        <f t="shared" ref="M57" si="384">M29</f>
        <v>2186210.2845999999</v>
      </c>
      <c r="N57" s="57">
        <f>IFERROR(M57/M$59,"")</f>
        <v>9.2937412891245977E-2</v>
      </c>
      <c r="O57" s="27">
        <f t="shared" ref="O57:O58" si="385">IF(O$23=0,"",O29+I57)</f>
        <v>18150</v>
      </c>
      <c r="P57" s="9">
        <f>IFERROR(O57/O$59,"")</f>
        <v>1.4230617546077014E-2</v>
      </c>
      <c r="Q57" s="5">
        <f t="shared" ref="Q57:Q58" si="386">IF(Q$23=0,"",Q29+K57)</f>
        <v>-146598</v>
      </c>
      <c r="R57" s="9">
        <f>IFERROR(Q57/Q$59,"")</f>
        <v>-0.10900735772523971</v>
      </c>
      <c r="S57" s="5">
        <f t="shared" ref="S57:S58" si="387">S29</f>
        <v>2012831.2845999999</v>
      </c>
      <c r="T57" s="31">
        <f>IFERROR(S57/S$59,"")</f>
        <v>8.4452131622314311E-2</v>
      </c>
      <c r="U57" s="54" t="str">
        <f t="shared" ref="U57:U58" si="388">IF(U$23=0,"",U29+O57)</f>
        <v/>
      </c>
      <c r="V57" s="55" t="str">
        <f>IFERROR(U57/U$59,"")</f>
        <v/>
      </c>
      <c r="W57" s="56" t="str">
        <f t="shared" ref="W57:W58" si="389">IF(W$23=0,"",W29+Q57)</f>
        <v/>
      </c>
      <c r="X57" s="55" t="str">
        <f>IFERROR(W57/W$59,"")</f>
        <v/>
      </c>
      <c r="Y57" s="56">
        <f t="shared" ref="Y57:Y58" si="390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380"/>
        <v>420714</v>
      </c>
      <c r="D58" s="16">
        <f t="shared" ref="D58:F59" si="391">IFERROR(C58/C$59,"")</f>
        <v>0.94927514976477623</v>
      </c>
      <c r="E58" s="6">
        <f t="shared" si="380"/>
        <v>476701</v>
      </c>
      <c r="F58" s="16">
        <f t="shared" si="391"/>
        <v>1.1115979507651985</v>
      </c>
      <c r="G58" s="6">
        <f t="shared" ref="G58" si="392">G30</f>
        <v>21054975</v>
      </c>
      <c r="H58" s="33">
        <f t="shared" ref="H58" si="393">IFERROR(G58/G$59,"")</f>
        <v>0.89767325816099974</v>
      </c>
      <c r="I58" s="11">
        <f t="shared" si="382"/>
        <v>800018</v>
      </c>
      <c r="J58" s="12">
        <f t="shared" ref="J58:L58" si="394">IFERROR(I58/I$59,"")</f>
        <v>0.92143344175289554</v>
      </c>
      <c r="K58" s="13">
        <f t="shared" si="383"/>
        <v>1009968</v>
      </c>
      <c r="L58" s="12">
        <f t="shared" si="394"/>
        <v>1.0987837927519313</v>
      </c>
      <c r="M58" s="13">
        <f t="shared" ref="M58" si="395">M30</f>
        <v>21337258</v>
      </c>
      <c r="N58" s="32">
        <f t="shared" ref="N58" si="396">IFERROR(M58/M$59,"")</f>
        <v>0.90706258710875398</v>
      </c>
      <c r="O58" s="28">
        <f t="shared" si="385"/>
        <v>1257269</v>
      </c>
      <c r="P58" s="16">
        <f t="shared" ref="P58" si="397">IFERROR(O58/O$59,"")</f>
        <v>0.98576938245392298</v>
      </c>
      <c r="Q58" s="6">
        <f t="shared" si="386"/>
        <v>1491443</v>
      </c>
      <c r="R58" s="16">
        <f t="shared" ref="R58" si="398">IFERROR(Q58/Q$59,"")</f>
        <v>1.1090073577252397</v>
      </c>
      <c r="S58" s="6">
        <f t="shared" si="387"/>
        <v>21821159</v>
      </c>
      <c r="T58" s="33">
        <f t="shared" ref="T58:T59" si="399">IFERROR(S58/S$59,"")</f>
        <v>0.91554786837768565</v>
      </c>
      <c r="U58" s="11" t="str">
        <f t="shared" si="388"/>
        <v/>
      </c>
      <c r="V58" s="12" t="str">
        <f t="shared" ref="V58" si="400">IFERROR(U58/U$59,"")</f>
        <v/>
      </c>
      <c r="W58" s="13" t="str">
        <f t="shared" si="389"/>
        <v/>
      </c>
      <c r="X58" s="12" t="str">
        <f t="shared" ref="X58" si="401">IFERROR(W58/W$59,"")</f>
        <v/>
      </c>
      <c r="Y58" s="13">
        <f t="shared" si="390"/>
        <v>0</v>
      </c>
      <c r="Z58" s="32" t="str">
        <f t="shared" ref="Z58:Z59" si="402">IFERROR(Y58/Y$59,"")</f>
        <v/>
      </c>
      <c r="AA58" s="7"/>
    </row>
    <row r="59" spans="1:27">
      <c r="A59" s="41"/>
      <c r="B59" s="17" t="s">
        <v>27</v>
      </c>
      <c r="C59" s="29">
        <f>SUM(C57:C58)</f>
        <v>443195</v>
      </c>
      <c r="D59" s="19">
        <f t="shared" si="391"/>
        <v>1</v>
      </c>
      <c r="E59" s="23">
        <f>SUM(E57:E58)</f>
        <v>428843</v>
      </c>
      <c r="F59" s="19">
        <f t="shared" si="391"/>
        <v>1</v>
      </c>
      <c r="G59" s="23">
        <f>SUM(G57:G58)</f>
        <v>23455054.284600001</v>
      </c>
      <c r="H59" s="34">
        <f t="shared" ref="H59" si="403">IFERROR(G59/G$59,"")</f>
        <v>1</v>
      </c>
      <c r="I59" s="20">
        <f>SUM(I57:I58)</f>
        <v>868232</v>
      </c>
      <c r="J59" s="21">
        <f t="shared" ref="J59:L59" si="404">IFERROR(I59/I$59,"")</f>
        <v>1</v>
      </c>
      <c r="K59" s="22">
        <f>SUM(K57:K58)</f>
        <v>919169</v>
      </c>
      <c r="L59" s="21">
        <f t="shared" si="404"/>
        <v>1</v>
      </c>
      <c r="M59" s="22">
        <f>SUM(M57:M58)</f>
        <v>23523468.284600001</v>
      </c>
      <c r="N59" s="35">
        <f t="shared" ref="N59" si="405">IFERROR(M59/M$59,"")</f>
        <v>1</v>
      </c>
      <c r="O59" s="29">
        <f>SUM(O57:O58)</f>
        <v>1275419</v>
      </c>
      <c r="P59" s="19">
        <f t="shared" ref="P59" si="406">IFERROR(O59/O$59,"")</f>
        <v>1</v>
      </c>
      <c r="Q59" s="23">
        <f>SUM(Q57:Q58)</f>
        <v>1344845</v>
      </c>
      <c r="R59" s="19">
        <f t="shared" ref="R59" si="407">IFERROR(Q59/Q$59,"")</f>
        <v>1</v>
      </c>
      <c r="S59" s="23">
        <f>SUM(S57:S58)</f>
        <v>23833990.284600001</v>
      </c>
      <c r="T59" s="34">
        <f t="shared" si="399"/>
        <v>1</v>
      </c>
      <c r="U59" s="20">
        <f>SUM(U57:U58)</f>
        <v>0</v>
      </c>
      <c r="V59" s="21" t="str">
        <f t="shared" ref="V59" si="408">IFERROR(U59/U$59,"")</f>
        <v/>
      </c>
      <c r="W59" s="22">
        <f>SUM(W57:W58)</f>
        <v>0</v>
      </c>
      <c r="X59" s="21" t="str">
        <f t="shared" ref="X59" si="409">IFERROR(W59/W$59,"")</f>
        <v/>
      </c>
      <c r="Y59" s="22">
        <f>SUM(Y57:Y58)</f>
        <v>0</v>
      </c>
      <c r="Z59" s="35" t="str">
        <f t="shared" si="402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>
      <selection activeCell="D2" sqref="D2"/>
    </sheetView>
  </sheetViews>
  <sheetFormatPr defaultColWidth="9" defaultRowHeight="14.25" zeroHeight="1"/>
  <cols>
    <col min="1" max="1" width="1.37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47"/>
      <c r="B3" s="52" t="s">
        <v>35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107" t="s">
        <v>3</v>
      </c>
      <c r="D5" s="105"/>
      <c r="E5" s="105"/>
      <c r="F5" s="105"/>
      <c r="G5" s="105"/>
      <c r="H5" s="106"/>
      <c r="I5" s="104" t="s">
        <v>4</v>
      </c>
      <c r="J5" s="105"/>
      <c r="K5" s="105"/>
      <c r="L5" s="105"/>
      <c r="M5" s="105"/>
      <c r="N5" s="106"/>
      <c r="O5" s="104" t="s">
        <v>5</v>
      </c>
      <c r="P5" s="105"/>
      <c r="Q5" s="105"/>
      <c r="R5" s="105"/>
      <c r="S5" s="105"/>
      <c r="T5" s="106"/>
      <c r="U5" s="104" t="s">
        <v>6</v>
      </c>
      <c r="V5" s="105"/>
      <c r="W5" s="105"/>
      <c r="X5" s="105"/>
      <c r="Y5" s="105"/>
      <c r="Z5" s="106"/>
      <c r="AA5" s="73"/>
    </row>
    <row r="6" spans="1:27" s="74" customFormat="1" ht="30" customHeight="1">
      <c r="A6" s="72"/>
      <c r="B6" s="102" t="str">
        <f>CONCATENATE("20",RIGHT(הנחיות!B20,2))</f>
        <v>2022</v>
      </c>
      <c r="C6" s="108" t="s">
        <v>7</v>
      </c>
      <c r="D6" s="99"/>
      <c r="E6" s="99" t="s">
        <v>8</v>
      </c>
      <c r="F6" s="99"/>
      <c r="G6" s="99" t="s">
        <v>9</v>
      </c>
      <c r="H6" s="100"/>
      <c r="I6" s="101" t="s">
        <v>7</v>
      </c>
      <c r="J6" s="99"/>
      <c r="K6" s="99" t="s">
        <v>8</v>
      </c>
      <c r="L6" s="99"/>
      <c r="M6" s="99" t="s">
        <v>9</v>
      </c>
      <c r="N6" s="100"/>
      <c r="O6" s="101" t="s">
        <v>7</v>
      </c>
      <c r="P6" s="99"/>
      <c r="Q6" s="99" t="s">
        <v>8</v>
      </c>
      <c r="R6" s="99"/>
      <c r="S6" s="99" t="s">
        <v>9</v>
      </c>
      <c r="T6" s="100"/>
      <c r="U6" s="101" t="s">
        <v>7</v>
      </c>
      <c r="V6" s="99"/>
      <c r="W6" s="99" t="s">
        <v>8</v>
      </c>
      <c r="X6" s="99"/>
      <c r="Y6" s="99" t="s">
        <v>9</v>
      </c>
      <c r="Z6" s="100"/>
      <c r="AA6" s="73"/>
    </row>
    <row r="7" spans="1:27" s="74" customFormat="1" ht="13.9" customHeight="1">
      <c r="A7" s="72"/>
      <c r="B7" s="103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1">
        <v>2962</v>
      </c>
      <c r="D8" s="9">
        <f>IFERROR(C8/C$23,"")</f>
        <v>1.7953800180629049E-2</v>
      </c>
      <c r="E8" s="3">
        <v>2962</v>
      </c>
      <c r="F8" s="9">
        <f>IFERROR(E8/E$23,"")</f>
        <v>-4.1521812268700234E-2</v>
      </c>
      <c r="G8" s="3">
        <v>2791078.7154000001</v>
      </c>
      <c r="H8" s="9">
        <f>IFERROR(G8/G$23,"")</f>
        <v>0.21755584638265693</v>
      </c>
      <c r="I8" s="39">
        <v>27975</v>
      </c>
      <c r="J8" s="12">
        <f>IFERROR(I8/I$23,"")</f>
        <v>-0.74147207718200858</v>
      </c>
      <c r="K8" s="40">
        <v>27975</v>
      </c>
      <c r="L8" s="12">
        <f>IFERROR(K8/K$23,"")</f>
        <v>-0.14787503964478274</v>
      </c>
      <c r="M8" s="40">
        <v>3209251.7154000001</v>
      </c>
      <c r="N8" s="12">
        <f>IFERROR(M8/M$23,"")</f>
        <v>0.24717051137828822</v>
      </c>
      <c r="O8" s="2">
        <v>5260</v>
      </c>
      <c r="P8" s="9">
        <f>IFERROR(O8/O$23,"")</f>
        <v>4.4114193699889295E-2</v>
      </c>
      <c r="Q8" s="4">
        <v>5260</v>
      </c>
      <c r="R8" s="9">
        <f>IFERROR(Q8/Q$23,"")</f>
        <v>-0.1181040483193749</v>
      </c>
      <c r="S8" s="4">
        <v>2753447.7154000001</v>
      </c>
      <c r="T8" s="9">
        <f>IFERROR(S8/S$23,"")</f>
        <v>0.21849959529671278</v>
      </c>
      <c r="U8" s="39"/>
      <c r="V8" s="12" t="str">
        <f>IFERROR(U8/U$23,"")</f>
        <v/>
      </c>
      <c r="W8" s="40"/>
      <c r="X8" s="12" t="str">
        <f>IFERROR(W8/W$23,"")</f>
        <v/>
      </c>
      <c r="Y8" s="40"/>
      <c r="Z8" s="12" t="str">
        <f>IFERROR(Y8/Y$23,"")</f>
        <v/>
      </c>
      <c r="AA8" s="7"/>
    </row>
    <row r="9" spans="1:27">
      <c r="A9" s="43"/>
      <c r="B9" s="15" t="s">
        <v>13</v>
      </c>
      <c r="C9" s="1">
        <v>19850</v>
      </c>
      <c r="D9" s="16">
        <f t="shared" ref="D9:F23" si="0">IFERROR(C9/C$23,"")</f>
        <v>0.12031834354675444</v>
      </c>
      <c r="E9" s="3">
        <v>-87192</v>
      </c>
      <c r="F9" s="16">
        <f t="shared" si="0"/>
        <v>1.2222720645957161</v>
      </c>
      <c r="G9" s="3">
        <v>2277459</v>
      </c>
      <c r="H9" s="16">
        <f t="shared" ref="H9:H23" si="1">IFERROR(G9/G$23,"")</f>
        <v>0.17752079782378732</v>
      </c>
      <c r="I9" s="39">
        <v>45137</v>
      </c>
      <c r="J9" s="12">
        <f t="shared" ref="J9:J23" si="2">IFERROR(I9/I$23,"")</f>
        <v>-1.196347637096133</v>
      </c>
      <c r="K9" s="40">
        <v>-46216</v>
      </c>
      <c r="L9" s="12">
        <f t="shared" ref="L9:L23" si="3">IFERROR(K9/K$23,"")</f>
        <v>0.24429643725552383</v>
      </c>
      <c r="M9" s="40">
        <v>3044565</v>
      </c>
      <c r="N9" s="12">
        <f t="shared" ref="N9:N23" si="4">IFERROR(M9/M$23,"")</f>
        <v>0.23448665131605093</v>
      </c>
      <c r="O9" s="2">
        <v>34512</v>
      </c>
      <c r="P9" s="16">
        <f t="shared" ref="P9:P23" si="5">IFERROR(O9/O$23,"")</f>
        <v>0.28944278573585158</v>
      </c>
      <c r="Q9" s="4">
        <v>-80995</v>
      </c>
      <c r="R9" s="16">
        <f t="shared" ref="R9:R23" si="6">IFERROR(Q9/Q$23,"")</f>
        <v>1.8186002649482453</v>
      </c>
      <c r="S9" s="4">
        <v>2905577</v>
      </c>
      <c r="T9" s="16">
        <f t="shared" ref="T9:T23" si="7">IFERROR(S9/S$23,"")</f>
        <v>0.23057180096525207</v>
      </c>
      <c r="U9" s="39"/>
      <c r="V9" s="12" t="str">
        <f t="shared" ref="V9:V23" si="8">IFERROR(U9/U$23,"")</f>
        <v/>
      </c>
      <c r="W9" s="40"/>
      <c r="X9" s="12" t="str">
        <f t="shared" ref="X9:X23" si="9">IFERROR(W9/W$23,"")</f>
        <v/>
      </c>
      <c r="Y9" s="40"/>
      <c r="Z9" s="12" t="str">
        <f t="shared" ref="Z9:Z23" si="10">IFERROR(Y9/Y$23,"")</f>
        <v/>
      </c>
      <c r="AA9" s="7"/>
    </row>
    <row r="10" spans="1:27">
      <c r="A10" s="43"/>
      <c r="B10" s="15" t="s">
        <v>14</v>
      </c>
      <c r="C10" s="2">
        <v>0</v>
      </c>
      <c r="D10" s="16">
        <f t="shared" si="0"/>
        <v>0</v>
      </c>
      <c r="E10" s="2">
        <v>0</v>
      </c>
      <c r="F10" s="16">
        <f t="shared" si="0"/>
        <v>0</v>
      </c>
      <c r="G10" s="2">
        <v>0</v>
      </c>
      <c r="H10" s="16">
        <f t="shared" si="1"/>
        <v>0</v>
      </c>
      <c r="I10" s="39">
        <v>0</v>
      </c>
      <c r="J10" s="12">
        <f t="shared" si="2"/>
        <v>0</v>
      </c>
      <c r="K10" s="40">
        <v>0</v>
      </c>
      <c r="L10" s="12">
        <f t="shared" si="3"/>
        <v>0</v>
      </c>
      <c r="M10" s="40">
        <v>0</v>
      </c>
      <c r="N10" s="12">
        <f t="shared" si="4"/>
        <v>0</v>
      </c>
      <c r="O10" s="2">
        <v>0</v>
      </c>
      <c r="P10" s="16">
        <f t="shared" si="5"/>
        <v>0</v>
      </c>
      <c r="Q10" s="4">
        <v>0</v>
      </c>
      <c r="R10" s="16">
        <f t="shared" si="6"/>
        <v>0</v>
      </c>
      <c r="S10" s="4">
        <v>0</v>
      </c>
      <c r="T10" s="16">
        <f t="shared" si="7"/>
        <v>0</v>
      </c>
      <c r="U10" s="39"/>
      <c r="V10" s="12" t="str">
        <f t="shared" si="8"/>
        <v/>
      </c>
      <c r="W10" s="40"/>
      <c r="X10" s="12" t="str">
        <f t="shared" si="9"/>
        <v/>
      </c>
      <c r="Y10" s="40"/>
      <c r="Z10" s="12" t="str">
        <f t="shared" si="10"/>
        <v/>
      </c>
      <c r="AA10" s="7"/>
    </row>
    <row r="11" spans="1:27">
      <c r="A11" s="43"/>
      <c r="B11" s="15" t="s">
        <v>15</v>
      </c>
      <c r="C11" s="1">
        <v>29642</v>
      </c>
      <c r="D11" s="16">
        <f t="shared" si="0"/>
        <v>0.17967135211148086</v>
      </c>
      <c r="E11" s="3">
        <v>-66576</v>
      </c>
      <c r="F11" s="16">
        <f t="shared" si="0"/>
        <v>0.93327352248514073</v>
      </c>
      <c r="G11" s="3">
        <v>1698473</v>
      </c>
      <c r="H11" s="16">
        <f t="shared" si="1"/>
        <v>0.13239065205659534</v>
      </c>
      <c r="I11" s="39">
        <v>-5150</v>
      </c>
      <c r="J11" s="12">
        <f t="shared" si="2"/>
        <v>0.13649977470910971</v>
      </c>
      <c r="K11" s="40">
        <v>-56458</v>
      </c>
      <c r="L11" s="12">
        <f t="shared" si="3"/>
        <v>0.2984353525742679</v>
      </c>
      <c r="M11" s="40">
        <v>1385087</v>
      </c>
      <c r="N11" s="12">
        <f t="shared" si="4"/>
        <v>0.10667678713096782</v>
      </c>
      <c r="O11" s="2">
        <v>13836</v>
      </c>
      <c r="P11" s="16">
        <f t="shared" si="5"/>
        <v>0.11603878023415747</v>
      </c>
      <c r="Q11" s="4">
        <v>-35915</v>
      </c>
      <c r="R11" s="16">
        <f t="shared" si="6"/>
        <v>0.80640815501717678</v>
      </c>
      <c r="S11" s="4">
        <v>1659553</v>
      </c>
      <c r="T11" s="16">
        <f t="shared" si="7"/>
        <v>0.13169367874514665</v>
      </c>
      <c r="U11" s="39"/>
      <c r="V11" s="12" t="str">
        <f t="shared" si="8"/>
        <v/>
      </c>
      <c r="W11" s="40"/>
      <c r="X11" s="12" t="str">
        <f t="shared" si="9"/>
        <v/>
      </c>
      <c r="Y11" s="40"/>
      <c r="Z11" s="12" t="str">
        <f t="shared" si="10"/>
        <v/>
      </c>
      <c r="AA11" s="7"/>
    </row>
    <row r="12" spans="1:27">
      <c r="A12" s="44"/>
      <c r="B12" s="15" t="s">
        <v>16</v>
      </c>
      <c r="C12" s="1">
        <v>4394</v>
      </c>
      <c r="D12" s="16">
        <f t="shared" si="0"/>
        <v>2.6633692773019597E-2</v>
      </c>
      <c r="E12" s="3">
        <v>4394</v>
      </c>
      <c r="F12" s="16">
        <f t="shared" si="0"/>
        <v>-6.1595828193338566E-2</v>
      </c>
      <c r="G12" s="3">
        <v>163318</v>
      </c>
      <c r="H12" s="16">
        <f t="shared" si="1"/>
        <v>1.2730126715337268E-2</v>
      </c>
      <c r="I12" s="39">
        <v>5906</v>
      </c>
      <c r="J12" s="12">
        <f t="shared" si="2"/>
        <v>-0.15653741154019454</v>
      </c>
      <c r="K12" s="40">
        <v>5906</v>
      </c>
      <c r="L12" s="12">
        <f t="shared" si="3"/>
        <v>-3.1218944920181839E-2</v>
      </c>
      <c r="M12" s="40">
        <v>132518</v>
      </c>
      <c r="N12" s="12">
        <f t="shared" si="4"/>
        <v>1.0206286303330833E-2</v>
      </c>
      <c r="O12" s="2">
        <v>2136</v>
      </c>
      <c r="P12" s="16">
        <f t="shared" si="5"/>
        <v>1.791405280284478E-2</v>
      </c>
      <c r="Q12" s="4">
        <v>2136</v>
      </c>
      <c r="R12" s="16">
        <f t="shared" si="6"/>
        <v>-4.796012304376137E-2</v>
      </c>
      <c r="S12" s="4">
        <v>94258</v>
      </c>
      <c r="T12" s="16">
        <f t="shared" si="7"/>
        <v>7.479835094847849E-3</v>
      </c>
      <c r="U12" s="39"/>
      <c r="V12" s="12" t="str">
        <f t="shared" si="8"/>
        <v/>
      </c>
      <c r="W12" s="40"/>
      <c r="X12" s="12" t="str">
        <f t="shared" si="9"/>
        <v/>
      </c>
      <c r="Y12" s="40"/>
      <c r="Z12" s="12" t="str">
        <f t="shared" si="10"/>
        <v/>
      </c>
      <c r="AA12" s="7"/>
    </row>
    <row r="13" spans="1:27">
      <c r="A13" s="45"/>
      <c r="B13" s="15" t="s">
        <v>17</v>
      </c>
      <c r="C13" s="1">
        <v>76485</v>
      </c>
      <c r="D13" s="16">
        <f t="shared" si="0"/>
        <v>0.46360445874929535</v>
      </c>
      <c r="E13" s="3">
        <v>18582</v>
      </c>
      <c r="F13" s="16">
        <f t="shared" si="0"/>
        <v>-0.26048558932376359</v>
      </c>
      <c r="G13" s="3">
        <v>1664164</v>
      </c>
      <c r="H13" s="16">
        <f t="shared" si="1"/>
        <v>0.12971637293563801</v>
      </c>
      <c r="I13" s="39">
        <v>-24219</v>
      </c>
      <c r="J13" s="12">
        <f t="shared" si="2"/>
        <v>0.64192000848153941</v>
      </c>
      <c r="K13" s="40">
        <v>-145352</v>
      </c>
      <c r="L13" s="12">
        <f t="shared" si="3"/>
        <v>0.7683264615709906</v>
      </c>
      <c r="M13" s="40">
        <v>1445071</v>
      </c>
      <c r="N13" s="12">
        <f t="shared" si="4"/>
        <v>0.11129664162333108</v>
      </c>
      <c r="O13" s="2">
        <v>39208</v>
      </c>
      <c r="P13" s="16">
        <f t="shared" si="5"/>
        <v>0.32882686436982117</v>
      </c>
      <c r="Q13" s="4">
        <v>3157</v>
      </c>
      <c r="R13" s="16">
        <f t="shared" si="6"/>
        <v>-7.0884882232750301E-2</v>
      </c>
      <c r="S13" s="4">
        <v>1392389</v>
      </c>
      <c r="T13" s="16">
        <f t="shared" si="7"/>
        <v>0.11049290360372702</v>
      </c>
      <c r="U13" s="39"/>
      <c r="V13" s="12" t="str">
        <f t="shared" si="8"/>
        <v/>
      </c>
      <c r="W13" s="40"/>
      <c r="X13" s="12" t="str">
        <f t="shared" si="9"/>
        <v/>
      </c>
      <c r="Y13" s="40"/>
      <c r="Z13" s="12" t="str">
        <f t="shared" si="10"/>
        <v/>
      </c>
      <c r="AA13" s="7"/>
    </row>
    <row r="14" spans="1:27">
      <c r="A14" s="43"/>
      <c r="B14" s="15" t="s">
        <v>18</v>
      </c>
      <c r="C14" s="1">
        <v>11371</v>
      </c>
      <c r="D14" s="16">
        <f t="shared" si="0"/>
        <v>6.8923923650888896E-2</v>
      </c>
      <c r="E14" s="3">
        <v>-7168</v>
      </c>
      <c r="F14" s="16">
        <f t="shared" si="0"/>
        <v>0.10048222496355276</v>
      </c>
      <c r="G14" s="3">
        <v>147443</v>
      </c>
      <c r="H14" s="16">
        <f t="shared" si="1"/>
        <v>1.1492720173462036E-2</v>
      </c>
      <c r="I14" s="39">
        <v>-448</v>
      </c>
      <c r="J14" s="12">
        <f t="shared" si="2"/>
        <v>1.1874155159161388E-2</v>
      </c>
      <c r="K14" s="40">
        <v>-9745</v>
      </c>
      <c r="L14" s="12">
        <f t="shared" si="3"/>
        <v>5.1511787715403316E-2</v>
      </c>
      <c r="M14" s="40">
        <v>126277</v>
      </c>
      <c r="N14" s="12">
        <f t="shared" si="4"/>
        <v>9.7256162598719238E-3</v>
      </c>
      <c r="O14" s="2">
        <v>-17692</v>
      </c>
      <c r="P14" s="16">
        <f t="shared" si="5"/>
        <v>-0.14837800664228923</v>
      </c>
      <c r="Q14" s="4">
        <v>-3215</v>
      </c>
      <c r="R14" s="16">
        <f t="shared" si="6"/>
        <v>7.2187170218020971E-2</v>
      </c>
      <c r="S14" s="4">
        <v>88369</v>
      </c>
      <c r="T14" s="16">
        <f t="shared" si="7"/>
        <v>7.0125140306033394E-3</v>
      </c>
      <c r="U14" s="39"/>
      <c r="V14" s="12" t="str">
        <f t="shared" si="8"/>
        <v/>
      </c>
      <c r="W14" s="40"/>
      <c r="X14" s="12" t="str">
        <f t="shared" si="9"/>
        <v/>
      </c>
      <c r="Y14" s="40"/>
      <c r="Z14" s="12" t="str">
        <f t="shared" si="10"/>
        <v/>
      </c>
      <c r="AA14" s="7"/>
    </row>
    <row r="15" spans="1:27">
      <c r="A15" s="45"/>
      <c r="B15" s="15" t="s">
        <v>19</v>
      </c>
      <c r="C15" s="1">
        <v>6370</v>
      </c>
      <c r="D15" s="16">
        <f t="shared" si="0"/>
        <v>3.8610974730117167E-2</v>
      </c>
      <c r="E15" s="3">
        <v>6370</v>
      </c>
      <c r="F15" s="16">
        <f t="shared" si="0"/>
        <v>-8.9295727262532237E-2</v>
      </c>
      <c r="G15" s="3">
        <v>328668</v>
      </c>
      <c r="H15" s="16">
        <f t="shared" si="1"/>
        <v>2.5618641468034567E-2</v>
      </c>
      <c r="I15" s="39">
        <v>18652</v>
      </c>
      <c r="J15" s="12">
        <f t="shared" si="2"/>
        <v>-0.49436772774258531</v>
      </c>
      <c r="K15" s="40">
        <v>18652</v>
      </c>
      <c r="L15" s="12">
        <f t="shared" si="3"/>
        <v>-9.8593931705254254E-2</v>
      </c>
      <c r="M15" s="40">
        <v>192839</v>
      </c>
      <c r="N15" s="12">
        <f t="shared" si="4"/>
        <v>1.4852095899787306E-2</v>
      </c>
      <c r="O15" s="2">
        <v>-4216</v>
      </c>
      <c r="P15" s="16">
        <f t="shared" si="5"/>
        <v>-3.5358448790633698E-2</v>
      </c>
      <c r="Q15" s="4">
        <v>-4216</v>
      </c>
      <c r="R15" s="16">
        <f t="shared" si="6"/>
        <v>9.4662864584502779E-2</v>
      </c>
      <c r="S15" s="4">
        <v>133759</v>
      </c>
      <c r="T15" s="16">
        <f t="shared" si="7"/>
        <v>1.0614433389757405E-2</v>
      </c>
      <c r="U15" s="39"/>
      <c r="V15" s="12" t="str">
        <f t="shared" si="8"/>
        <v/>
      </c>
      <c r="W15" s="40"/>
      <c r="X15" s="12" t="str">
        <f t="shared" si="9"/>
        <v/>
      </c>
      <c r="Y15" s="40"/>
      <c r="Z15" s="12" t="str">
        <f t="shared" si="10"/>
        <v/>
      </c>
      <c r="AA15" s="7"/>
    </row>
    <row r="16" spans="1:27">
      <c r="A16" s="43"/>
      <c r="B16" s="15" t="s">
        <v>20</v>
      </c>
      <c r="C16" s="1">
        <v>14577</v>
      </c>
      <c r="D16" s="16">
        <f t="shared" si="0"/>
        <v>8.8356699943629186E-2</v>
      </c>
      <c r="E16" s="3">
        <v>14577</v>
      </c>
      <c r="F16" s="16">
        <f t="shared" si="0"/>
        <v>-0.20434282830548392</v>
      </c>
      <c r="G16" s="3">
        <v>1308247</v>
      </c>
      <c r="H16" s="16">
        <f t="shared" si="1"/>
        <v>0.10197375724022971</v>
      </c>
      <c r="I16" s="39">
        <v>23386</v>
      </c>
      <c r="J16" s="12">
        <f t="shared" si="2"/>
        <v>-0.61984150123247372</v>
      </c>
      <c r="K16" s="40">
        <v>23386</v>
      </c>
      <c r="L16" s="12">
        <f t="shared" si="3"/>
        <v>-0.12361771857490221</v>
      </c>
      <c r="M16" s="40">
        <v>1300001</v>
      </c>
      <c r="N16" s="12">
        <f t="shared" si="4"/>
        <v>0.1001236239651699</v>
      </c>
      <c r="O16" s="2">
        <v>16866</v>
      </c>
      <c r="P16" s="16">
        <f t="shared" si="5"/>
        <v>0.14145056862021538</v>
      </c>
      <c r="Q16" s="4">
        <v>16866</v>
      </c>
      <c r="R16" s="16">
        <f t="shared" si="6"/>
        <v>-0.37869636482026181</v>
      </c>
      <c r="S16" s="4">
        <v>1390936</v>
      </c>
      <c r="T16" s="16">
        <f t="shared" si="7"/>
        <v>0.11037760091968095</v>
      </c>
      <c r="U16" s="39"/>
      <c r="V16" s="12" t="str">
        <f t="shared" si="8"/>
        <v/>
      </c>
      <c r="W16" s="40"/>
      <c r="X16" s="12" t="str">
        <f t="shared" si="9"/>
        <v/>
      </c>
      <c r="Y16" s="40"/>
      <c r="Z16" s="12" t="str">
        <f t="shared" si="10"/>
        <v/>
      </c>
      <c r="AA16" s="7"/>
    </row>
    <row r="17" spans="1:27">
      <c r="A17" s="43"/>
      <c r="B17" s="15" t="s">
        <v>21</v>
      </c>
      <c r="C17" s="1">
        <v>3159</v>
      </c>
      <c r="D17" s="16">
        <f t="shared" si="0"/>
        <v>1.9147891549833616E-2</v>
      </c>
      <c r="E17" s="3">
        <v>3159</v>
      </c>
      <c r="F17" s="16">
        <f t="shared" si="0"/>
        <v>-4.4283391275092517E-2</v>
      </c>
      <c r="G17" s="3">
        <v>506157</v>
      </c>
      <c r="H17" s="16">
        <f t="shared" si="1"/>
        <v>3.9453353260846723E-2</v>
      </c>
      <c r="I17" s="39">
        <v>4273</v>
      </c>
      <c r="J17" s="12">
        <f t="shared" si="2"/>
        <v>-0.11325505579262636</v>
      </c>
      <c r="K17" s="40">
        <v>4273</v>
      </c>
      <c r="L17" s="12">
        <f t="shared" si="3"/>
        <v>-2.2586954223490854E-2</v>
      </c>
      <c r="M17" s="40">
        <v>163777</v>
      </c>
      <c r="N17" s="12">
        <f t="shared" si="4"/>
        <v>1.2613795498729333E-2</v>
      </c>
      <c r="O17" s="2">
        <v>3067</v>
      </c>
      <c r="P17" s="16">
        <f t="shared" si="5"/>
        <v>2.5722097353148378E-2</v>
      </c>
      <c r="Q17" s="4">
        <v>3067</v>
      </c>
      <c r="R17" s="16">
        <f t="shared" si="6"/>
        <v>-6.8864090531468219E-2</v>
      </c>
      <c r="S17" s="4">
        <v>165064</v>
      </c>
      <c r="T17" s="16">
        <f t="shared" si="7"/>
        <v>1.3098638843344494E-2</v>
      </c>
      <c r="U17" s="39"/>
      <c r="V17" s="12" t="str">
        <f t="shared" si="8"/>
        <v/>
      </c>
      <c r="W17" s="40"/>
      <c r="X17" s="12" t="str">
        <f t="shared" si="9"/>
        <v/>
      </c>
      <c r="Y17" s="40"/>
      <c r="Z17" s="12" t="str">
        <f t="shared" si="10"/>
        <v/>
      </c>
      <c r="AA17" s="7"/>
    </row>
    <row r="18" spans="1:27">
      <c r="A18" s="43"/>
      <c r="B18" s="15" t="s">
        <v>22</v>
      </c>
      <c r="C18" s="1">
        <v>-5369</v>
      </c>
      <c r="D18" s="16">
        <f t="shared" si="0"/>
        <v>-3.2543535843955897E-2</v>
      </c>
      <c r="E18" s="3">
        <v>-5369</v>
      </c>
      <c r="F18" s="16">
        <f t="shared" si="0"/>
        <v>7.52635415498486E-2</v>
      </c>
      <c r="G18" s="3">
        <v>40165</v>
      </c>
      <c r="H18" s="16">
        <f t="shared" si="1"/>
        <v>3.1307359845303114E-3</v>
      </c>
      <c r="I18" s="39">
        <v>-136668</v>
      </c>
      <c r="J18" s="12">
        <f t="shared" si="2"/>
        <v>3.6223594582416707</v>
      </c>
      <c r="K18" s="40">
        <v>-136668</v>
      </c>
      <c r="L18" s="12">
        <f t="shared" si="3"/>
        <v>0.72242308912147157</v>
      </c>
      <c r="M18" s="40">
        <v>-164831</v>
      </c>
      <c r="N18" s="12">
        <f t="shared" si="4"/>
        <v>-1.2694972589869485E-2</v>
      </c>
      <c r="O18" s="2">
        <v>-24767</v>
      </c>
      <c r="P18" s="16">
        <f t="shared" si="5"/>
        <v>-0.20771411318729244</v>
      </c>
      <c r="Q18" s="4">
        <v>-24767</v>
      </c>
      <c r="R18" s="16">
        <f t="shared" si="6"/>
        <v>0.55609942295170312</v>
      </c>
      <c r="S18" s="4">
        <v>-174267</v>
      </c>
      <c r="T18" s="16">
        <f t="shared" si="7"/>
        <v>-1.3828942078909483E-2</v>
      </c>
      <c r="U18" s="39"/>
      <c r="V18" s="12" t="str">
        <f t="shared" si="8"/>
        <v/>
      </c>
      <c r="W18" s="40"/>
      <c r="X18" s="12" t="str">
        <f t="shared" si="9"/>
        <v/>
      </c>
      <c r="Y18" s="40"/>
      <c r="Z18" s="12" t="str">
        <f t="shared" si="10"/>
        <v/>
      </c>
      <c r="AA18" s="7"/>
    </row>
    <row r="19" spans="1:27">
      <c r="A19" s="45"/>
      <c r="B19" s="15" t="s">
        <v>23</v>
      </c>
      <c r="C19" s="1">
        <v>-1815</v>
      </c>
      <c r="D19" s="16">
        <f t="shared" si="0"/>
        <v>-1.1001400178204499E-2</v>
      </c>
      <c r="E19" s="3">
        <v>-1642</v>
      </c>
      <c r="F19" s="16">
        <f t="shared" si="0"/>
        <v>2.3017831109117416E-2</v>
      </c>
      <c r="G19" s="3">
        <v>26306</v>
      </c>
      <c r="H19" s="16">
        <f t="shared" si="1"/>
        <v>2.0504703301146361E-3</v>
      </c>
      <c r="I19" s="39">
        <v>962</v>
      </c>
      <c r="J19" s="12">
        <f t="shared" si="2"/>
        <v>-2.5497627819449229E-2</v>
      </c>
      <c r="K19" s="40">
        <v>2153</v>
      </c>
      <c r="L19" s="12">
        <f t="shared" si="3"/>
        <v>-1.1380695633787926E-2</v>
      </c>
      <c r="M19" s="40">
        <v>28509</v>
      </c>
      <c r="N19" s="12">
        <f t="shared" si="4"/>
        <v>2.195709384548957E-3</v>
      </c>
      <c r="O19" s="2">
        <v>673</v>
      </c>
      <c r="P19" s="16">
        <f t="shared" si="5"/>
        <v>5.6442685095105501E-3</v>
      </c>
      <c r="Q19" s="4">
        <v>-347</v>
      </c>
      <c r="R19" s="16">
        <f t="shared" si="6"/>
        <v>7.7912746704986869E-3</v>
      </c>
      <c r="S19" s="4">
        <v>19246</v>
      </c>
      <c r="T19" s="16">
        <f t="shared" si="7"/>
        <v>1.5272645954236424E-3</v>
      </c>
      <c r="U19" s="39"/>
      <c r="V19" s="12" t="str">
        <f t="shared" si="8"/>
        <v/>
      </c>
      <c r="W19" s="40"/>
      <c r="X19" s="12" t="str">
        <f t="shared" si="9"/>
        <v/>
      </c>
      <c r="Y19" s="40"/>
      <c r="Z19" s="12" t="str">
        <f t="shared" si="10"/>
        <v/>
      </c>
      <c r="AA19" s="7"/>
    </row>
    <row r="20" spans="1:27">
      <c r="A20" s="43"/>
      <c r="B20" s="15" t="s">
        <v>24</v>
      </c>
      <c r="C20" s="1">
        <v>17266</v>
      </c>
      <c r="D20" s="16">
        <f t="shared" si="0"/>
        <v>0.10465574406439608</v>
      </c>
      <c r="E20" s="3">
        <v>59942</v>
      </c>
      <c r="F20" s="16">
        <f t="shared" si="0"/>
        <v>-0.84027699899069197</v>
      </c>
      <c r="G20" s="3">
        <v>1689809</v>
      </c>
      <c r="H20" s="16">
        <f t="shared" si="1"/>
        <v>0.13171532038548936</v>
      </c>
      <c r="I20" s="39">
        <v>5920</v>
      </c>
      <c r="J20" s="12">
        <f t="shared" si="2"/>
        <v>-0.15690847888891835</v>
      </c>
      <c r="K20" s="40">
        <v>123036</v>
      </c>
      <c r="L20" s="12">
        <f t="shared" si="3"/>
        <v>-0.65036473200126865</v>
      </c>
      <c r="M20" s="40">
        <v>1909073</v>
      </c>
      <c r="N20" s="12">
        <f>IFERROR(M20/M$23,"")</f>
        <v>0.14703320010835283</v>
      </c>
      <c r="O20" s="2">
        <v>12221</v>
      </c>
      <c r="P20" s="16">
        <f t="shared" si="5"/>
        <v>0.10249421315710021</v>
      </c>
      <c r="Q20" s="4">
        <v>36692</v>
      </c>
      <c r="R20" s="16">
        <f t="shared" si="6"/>
        <v>-0.82385432337157871</v>
      </c>
      <c r="S20" s="4">
        <v>1943220</v>
      </c>
      <c r="T20" s="16">
        <f t="shared" si="7"/>
        <v>0.15420404796420714</v>
      </c>
      <c r="U20" s="39"/>
      <c r="V20" s="12" t="str">
        <f t="shared" si="8"/>
        <v/>
      </c>
      <c r="W20" s="40"/>
      <c r="X20" s="12" t="str">
        <f t="shared" si="9"/>
        <v/>
      </c>
      <c r="Y20" s="40"/>
      <c r="Z20" s="12" t="str">
        <f t="shared" si="10"/>
        <v/>
      </c>
      <c r="AA20" s="7"/>
    </row>
    <row r="21" spans="1:27">
      <c r="A21" s="43"/>
      <c r="B21" s="15" t="s">
        <v>25</v>
      </c>
      <c r="C21" s="1">
        <v>1423</v>
      </c>
      <c r="D21" s="16">
        <f t="shared" si="0"/>
        <v>8.6253401948126734E-3</v>
      </c>
      <c r="E21" s="3">
        <v>1961</v>
      </c>
      <c r="F21" s="16">
        <f t="shared" si="0"/>
        <v>-2.7489626556016597E-2</v>
      </c>
      <c r="G21" s="3">
        <v>187964</v>
      </c>
      <c r="H21" s="16">
        <f t="shared" si="1"/>
        <v>1.4651205243277864E-2</v>
      </c>
      <c r="I21" s="39">
        <v>996</v>
      </c>
      <c r="J21" s="12">
        <f t="shared" si="2"/>
        <v>-2.6398791380635587E-2</v>
      </c>
      <c r="K21" s="40">
        <v>4329</v>
      </c>
      <c r="L21" s="12">
        <f t="shared" si="3"/>
        <v>-2.2882968601332064E-2</v>
      </c>
      <c r="M21" s="40">
        <v>211821</v>
      </c>
      <c r="N21" s="12">
        <f t="shared" si="4"/>
        <v>1.6314053721440409E-2</v>
      </c>
      <c r="O21" s="2">
        <v>18767</v>
      </c>
      <c r="P21" s="16">
        <f t="shared" si="5"/>
        <v>0.15739374014559362</v>
      </c>
      <c r="Q21" s="4">
        <v>18375</v>
      </c>
      <c r="R21" s="16">
        <f t="shared" si="6"/>
        <v>-0.41257830567842468</v>
      </c>
      <c r="S21" s="4">
        <v>230063</v>
      </c>
      <c r="T21" s="16">
        <f t="shared" si="7"/>
        <v>1.8256628630206249E-2</v>
      </c>
      <c r="U21" s="39"/>
      <c r="V21" s="12" t="str">
        <f t="shared" si="8"/>
        <v/>
      </c>
      <c r="W21" s="40"/>
      <c r="X21" s="12" t="str">
        <f t="shared" si="9"/>
        <v/>
      </c>
      <c r="Y21" s="40"/>
      <c r="Z21" s="12" t="str">
        <f t="shared" si="10"/>
        <v/>
      </c>
      <c r="AA21" s="7"/>
    </row>
    <row r="22" spans="1:27">
      <c r="A22" s="43"/>
      <c r="B22" s="15" t="s">
        <v>26</v>
      </c>
      <c r="C22" s="1">
        <v>-15336</v>
      </c>
      <c r="D22" s="16">
        <f t="shared" si="0"/>
        <v>-9.2957285472696521E-2</v>
      </c>
      <c r="E22" s="3">
        <v>-15336</v>
      </c>
      <c r="F22" s="16">
        <f t="shared" si="0"/>
        <v>0.21498261747224404</v>
      </c>
      <c r="G22" s="3">
        <v>0</v>
      </c>
      <c r="H22" s="16">
        <f t="shared" si="1"/>
        <v>0</v>
      </c>
      <c r="I22" s="39">
        <v>-4451</v>
      </c>
      <c r="J22" s="12">
        <f t="shared" si="2"/>
        <v>0.11797291208354316</v>
      </c>
      <c r="K22" s="40">
        <v>-4451</v>
      </c>
      <c r="L22" s="12">
        <f t="shared" si="3"/>
        <v>2.3527857067343273E-2</v>
      </c>
      <c r="M22" s="40">
        <v>0</v>
      </c>
      <c r="N22" s="12">
        <f t="shared" si="4"/>
        <v>0</v>
      </c>
      <c r="O22" s="2">
        <v>19365</v>
      </c>
      <c r="P22" s="16">
        <f t="shared" si="5"/>
        <v>0.16240900399208294</v>
      </c>
      <c r="Q22" s="4">
        <v>19365</v>
      </c>
      <c r="R22" s="16">
        <f t="shared" si="6"/>
        <v>-0.43480701439252756</v>
      </c>
      <c r="S22" s="4">
        <v>0</v>
      </c>
      <c r="T22" s="16">
        <f t="shared" si="7"/>
        <v>0</v>
      </c>
      <c r="U22" s="39"/>
      <c r="V22" s="12" t="str">
        <f t="shared" si="8"/>
        <v/>
      </c>
      <c r="W22" s="40"/>
      <c r="X22" s="12" t="str">
        <f t="shared" si="9"/>
        <v/>
      </c>
      <c r="Y22" s="40"/>
      <c r="Z22" s="12" t="str">
        <f t="shared" si="10"/>
        <v/>
      </c>
      <c r="AA22" s="7"/>
    </row>
    <row r="23" spans="1:27">
      <c r="A23" s="46"/>
      <c r="B23" s="17" t="s">
        <v>27</v>
      </c>
      <c r="C23" s="18">
        <f>SUM(C8:C22)</f>
        <v>164979</v>
      </c>
      <c r="D23" s="19">
        <f t="shared" si="0"/>
        <v>1</v>
      </c>
      <c r="E23" s="18">
        <f>SUM(E8:E22)</f>
        <v>-71336</v>
      </c>
      <c r="F23" s="19">
        <f t="shared" si="0"/>
        <v>1</v>
      </c>
      <c r="G23" s="18">
        <f>SUM(G8:G22)</f>
        <v>12829251.715399999</v>
      </c>
      <c r="H23" s="19">
        <f t="shared" si="1"/>
        <v>1</v>
      </c>
      <c r="I23" s="20">
        <f>SUM(I8:I22)</f>
        <v>-37729</v>
      </c>
      <c r="J23" s="21">
        <f t="shared" si="2"/>
        <v>1</v>
      </c>
      <c r="K23" s="22">
        <f>SUM(K8:K22)</f>
        <v>-189180</v>
      </c>
      <c r="L23" s="21">
        <f t="shared" si="3"/>
        <v>1</v>
      </c>
      <c r="M23" s="22">
        <f>SUM(M8:M22)</f>
        <v>12983958.715399999</v>
      </c>
      <c r="N23" s="21">
        <f t="shared" si="4"/>
        <v>1</v>
      </c>
      <c r="O23" s="18">
        <f>SUM(O8:O22)</f>
        <v>119236</v>
      </c>
      <c r="P23" s="19">
        <f t="shared" si="5"/>
        <v>1</v>
      </c>
      <c r="Q23" s="23">
        <f>SUM(Q8:Q22)</f>
        <v>-44537</v>
      </c>
      <c r="R23" s="19">
        <f t="shared" si="6"/>
        <v>1</v>
      </c>
      <c r="S23" s="23">
        <f>SUM(S8:S22)</f>
        <v>12601614.715399999</v>
      </c>
      <c r="T23" s="19">
        <f t="shared" si="7"/>
        <v>1</v>
      </c>
      <c r="U23" s="20">
        <f>SUM(U8:U22)</f>
        <v>0</v>
      </c>
      <c r="V23" s="21" t="str">
        <f t="shared" si="8"/>
        <v/>
      </c>
      <c r="W23" s="22">
        <f>SUM(W8:W22)</f>
        <v>0</v>
      </c>
      <c r="X23" s="21" t="str">
        <f t="shared" si="9"/>
        <v/>
      </c>
      <c r="Y23" s="22">
        <f>SUM(Y8:Y22)</f>
        <v>0</v>
      </c>
      <c r="Z23" s="21" t="str">
        <f t="shared" si="10"/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37">
        <v>137443</v>
      </c>
      <c r="D25" s="9">
        <f>IFERROR(C25/C$27,"")</f>
        <v>0.83309390892174151</v>
      </c>
      <c r="E25" s="3">
        <v>-125065</v>
      </c>
      <c r="F25" s="9">
        <f>IFERROR(E25/E$27,"")</f>
        <v>1.7531821240327465</v>
      </c>
      <c r="G25" s="3">
        <v>11020013.715399999</v>
      </c>
      <c r="H25" s="9">
        <f>IFERROR(G25/G$27,"")</f>
        <v>0.85897556302303868</v>
      </c>
      <c r="I25" s="60">
        <v>56324</v>
      </c>
      <c r="J25" s="55">
        <f>IFERROR(I25/I$27,"")</f>
        <v>-1.492856953537067</v>
      </c>
      <c r="K25" s="61">
        <v>-129910</v>
      </c>
      <c r="L25" s="55">
        <f>IFERROR(K25/K$27,"")</f>
        <v>0.6867004968812771</v>
      </c>
      <c r="M25" s="61">
        <v>11374170.715399999</v>
      </c>
      <c r="N25" s="57">
        <f>IFERROR(M25/M$27,"")</f>
        <v>0.87601716585168554</v>
      </c>
      <c r="O25" s="37">
        <v>137565</v>
      </c>
      <c r="P25" s="9">
        <f>IFERROR(O25/O$27,"")</f>
        <v>1.1537203529135496</v>
      </c>
      <c r="Q25" s="3">
        <v>-74208</v>
      </c>
      <c r="R25" s="9">
        <f>IFERROR(Q25/Q$27,"")</f>
        <v>1.6662101174304511</v>
      </c>
      <c r="S25" s="3">
        <v>11078606.715399999</v>
      </c>
      <c r="T25" s="31">
        <f>IFERROR(S25/S$27,"")</f>
        <v>0.87914183742351804</v>
      </c>
      <c r="U25" s="60"/>
      <c r="V25" s="55" t="str">
        <f>IFERROR(U25/U$27,"")</f>
        <v/>
      </c>
      <c r="W25" s="61"/>
      <c r="X25" s="55" t="str">
        <f>IFERROR(W25/W$27,"")</f>
        <v/>
      </c>
      <c r="Y25" s="61"/>
      <c r="Z25" s="57" t="str">
        <f>IFERROR(Y25/Y$27,"")</f>
        <v/>
      </c>
      <c r="AA25" s="7"/>
    </row>
    <row r="26" spans="1:27">
      <c r="A26" s="41"/>
      <c r="B26" s="15" t="s">
        <v>29</v>
      </c>
      <c r="C26" s="38">
        <v>27536</v>
      </c>
      <c r="D26" s="16">
        <f t="shared" ref="D26:F27" si="11">IFERROR(C26/C$27,"")</f>
        <v>0.16690609107825843</v>
      </c>
      <c r="E26" s="4">
        <v>53729</v>
      </c>
      <c r="F26" s="16">
        <f t="shared" si="11"/>
        <v>-0.75318212403274643</v>
      </c>
      <c r="G26" s="4">
        <v>1809238</v>
      </c>
      <c r="H26" s="16">
        <f t="shared" ref="H26:H27" si="12">IFERROR(G26/G$27,"")</f>
        <v>0.14102443697696132</v>
      </c>
      <c r="I26" s="39">
        <v>-94053</v>
      </c>
      <c r="J26" s="12">
        <f t="shared" ref="J26:J27" si="13">IFERROR(I26/I$27,"")</f>
        <v>2.4928569535370668</v>
      </c>
      <c r="K26" s="40">
        <v>-59270</v>
      </c>
      <c r="L26" s="12">
        <f t="shared" ref="L26:L27" si="14">IFERROR(K26/K$27,"")</f>
        <v>0.3132995031187229</v>
      </c>
      <c r="M26" s="40">
        <v>1609788</v>
      </c>
      <c r="N26" s="32">
        <f t="shared" ref="N26:N27" si="15">IFERROR(M26/M$27,"")</f>
        <v>0.12398283414831444</v>
      </c>
      <c r="O26" s="38">
        <v>-18329</v>
      </c>
      <c r="P26" s="16">
        <f t="shared" ref="P26:P27" si="16">IFERROR(O26/O$27,"")</f>
        <v>-0.1537203529135496</v>
      </c>
      <c r="Q26" s="4">
        <v>29671</v>
      </c>
      <c r="R26" s="16">
        <f t="shared" ref="R26:R27" si="17">IFERROR(Q26/Q$27,"")</f>
        <v>-0.66621011743045111</v>
      </c>
      <c r="S26" s="4">
        <v>1523008</v>
      </c>
      <c r="T26" s="33">
        <f t="shared" ref="T26:T27" si="18">IFERROR(S26/S$27,"")</f>
        <v>0.12085816257648192</v>
      </c>
      <c r="U26" s="39"/>
      <c r="V26" s="12" t="str">
        <f t="shared" ref="V26:V27" si="19">IFERROR(U26/U$27,"")</f>
        <v/>
      </c>
      <c r="W26" s="40"/>
      <c r="X26" s="12" t="str">
        <f t="shared" ref="X26:X27" si="20">IFERROR(W26/W$27,"")</f>
        <v/>
      </c>
      <c r="Y26" s="40"/>
      <c r="Z26" s="32" t="str">
        <f t="shared" ref="Z26:Z27" si="21">IFERROR(Y26/Y$27,"")</f>
        <v/>
      </c>
      <c r="AA26" s="7"/>
    </row>
    <row r="27" spans="1:27">
      <c r="A27" s="41"/>
      <c r="B27" s="17" t="s">
        <v>27</v>
      </c>
      <c r="C27" s="29">
        <f>SUM(C25:C26)</f>
        <v>164979</v>
      </c>
      <c r="D27" s="19">
        <f t="shared" si="11"/>
        <v>1</v>
      </c>
      <c r="E27" s="29">
        <f>SUM(E25:E26)</f>
        <v>-71336</v>
      </c>
      <c r="F27" s="19">
        <f t="shared" si="11"/>
        <v>1</v>
      </c>
      <c r="G27" s="23">
        <f>SUM(G25:G26)</f>
        <v>12829251.715399999</v>
      </c>
      <c r="H27" s="19">
        <f t="shared" si="12"/>
        <v>1</v>
      </c>
      <c r="I27" s="20">
        <f>SUM(I25:I26)</f>
        <v>-37729</v>
      </c>
      <c r="J27" s="21">
        <f t="shared" si="13"/>
        <v>1</v>
      </c>
      <c r="K27" s="22">
        <f>SUM(K25:K26)</f>
        <v>-189180</v>
      </c>
      <c r="L27" s="21">
        <f t="shared" si="14"/>
        <v>1</v>
      </c>
      <c r="M27" s="22">
        <f>SUM(M25:M26)</f>
        <v>12983958.715399999</v>
      </c>
      <c r="N27" s="35">
        <f t="shared" si="15"/>
        <v>1</v>
      </c>
      <c r="O27" s="82">
        <f>SUM(O25:O26)</f>
        <v>119236</v>
      </c>
      <c r="P27" s="19">
        <f t="shared" si="16"/>
        <v>1</v>
      </c>
      <c r="Q27" s="23">
        <f>SUM(Q25:Q26)</f>
        <v>-44537</v>
      </c>
      <c r="R27" s="53">
        <f t="shared" si="17"/>
        <v>1</v>
      </c>
      <c r="S27" s="23">
        <f>SUM(S25:S26)</f>
        <v>12601614.715399999</v>
      </c>
      <c r="T27" s="34">
        <f t="shared" si="18"/>
        <v>1</v>
      </c>
      <c r="U27" s="20">
        <f>SUM(U25:U26)</f>
        <v>0</v>
      </c>
      <c r="V27" s="21" t="str">
        <f t="shared" si="19"/>
        <v/>
      </c>
      <c r="W27" s="22">
        <f>SUM(W25:W26)</f>
        <v>0</v>
      </c>
      <c r="X27" s="21" t="str">
        <f t="shared" si="20"/>
        <v/>
      </c>
      <c r="Y27" s="22">
        <f>SUM(Y25:Y26)</f>
        <v>0</v>
      </c>
      <c r="Z27" s="35" t="str">
        <f t="shared" si="21"/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37">
        <v>145779</v>
      </c>
      <c r="D29" s="9">
        <f>IFERROR(C29/C$31,"")</f>
        <v>0.88362155183386981</v>
      </c>
      <c r="E29" s="3">
        <v>-141550</v>
      </c>
      <c r="F29" s="9">
        <f>IFERROR(E29/E$31,"")</f>
        <v>1.9842716160143545</v>
      </c>
      <c r="G29" s="3">
        <v>9121578.7153999992</v>
      </c>
      <c r="H29" s="9">
        <f>IFERROR(G29/G$31,"")</f>
        <v>0.71099849919154856</v>
      </c>
      <c r="I29" s="60">
        <v>77451</v>
      </c>
      <c r="J29" s="55">
        <f>IFERROR(I29/I$31,"")</f>
        <v>-2.0528240875718944</v>
      </c>
      <c r="K29" s="61">
        <v>-219818</v>
      </c>
      <c r="L29" s="55">
        <f>IFERROR(K29/K$31,"")</f>
        <v>1.1619515805053389</v>
      </c>
      <c r="M29" s="61">
        <v>9345835.7153999992</v>
      </c>
      <c r="N29" s="57">
        <f>IFERROR(M29/M$31,"")</f>
        <v>0.71979863154640966</v>
      </c>
      <c r="O29" s="37">
        <v>54584</v>
      </c>
      <c r="P29" s="9">
        <f>IFERROR(O29/O$31,"")</f>
        <v>0.45778120701801467</v>
      </c>
      <c r="Q29" s="3">
        <v>-175937</v>
      </c>
      <c r="R29" s="9">
        <f>IFERROR(Q29/Q$31,"")</f>
        <v>3.9503558838718371</v>
      </c>
      <c r="S29" s="3">
        <v>8639802.7153999992</v>
      </c>
      <c r="T29" s="31">
        <f>IFERROR(S29/S$31,"")</f>
        <v>0.68561076580460711</v>
      </c>
      <c r="U29" s="60"/>
      <c r="V29" s="55" t="str">
        <f>IFERROR(U29/U$31,"")</f>
        <v/>
      </c>
      <c r="W29" s="61"/>
      <c r="X29" s="55" t="str">
        <f>IFERROR(W29/W$31,"")</f>
        <v/>
      </c>
      <c r="Y29" s="61"/>
      <c r="Z29" s="57" t="str">
        <f>IFERROR(Y29/Y$31,"")</f>
        <v/>
      </c>
      <c r="AA29" s="7"/>
    </row>
    <row r="30" spans="1:27">
      <c r="A30" s="41"/>
      <c r="B30" s="15" t="s">
        <v>31</v>
      </c>
      <c r="C30" s="38">
        <v>19200</v>
      </c>
      <c r="D30" s="16">
        <f t="shared" ref="D30:F31" si="22">IFERROR(C30/C$31,"")</f>
        <v>0.11637844816613023</v>
      </c>
      <c r="E30" s="4">
        <v>70214</v>
      </c>
      <c r="F30" s="16">
        <f t="shared" si="22"/>
        <v>-0.98427161601435464</v>
      </c>
      <c r="G30" s="4">
        <v>3707673</v>
      </c>
      <c r="H30" s="16">
        <f t="shared" ref="H30:H31" si="23">IFERROR(G30/G$31,"")</f>
        <v>0.28900150080845144</v>
      </c>
      <c r="I30" s="39">
        <v>-115180</v>
      </c>
      <c r="J30" s="12">
        <f t="shared" ref="J30:J31" si="24">IFERROR(I30/I$31,"")</f>
        <v>3.0528240875718944</v>
      </c>
      <c r="K30" s="40">
        <v>30638</v>
      </c>
      <c r="L30" s="12">
        <f t="shared" ref="L30:L31" si="25">IFERROR(K30/K$31,"")</f>
        <v>-0.16195158050533884</v>
      </c>
      <c r="M30" s="40">
        <v>3638123</v>
      </c>
      <c r="N30" s="32">
        <f t="shared" ref="N30:N31" si="26">IFERROR(M30/M$31,"")</f>
        <v>0.28020136845359028</v>
      </c>
      <c r="O30" s="38">
        <v>64652</v>
      </c>
      <c r="P30" s="16">
        <f t="shared" ref="P30:P31" si="27">IFERROR(O30/O$31,"")</f>
        <v>0.54221879298198528</v>
      </c>
      <c r="Q30" s="4">
        <v>131400</v>
      </c>
      <c r="R30" s="16">
        <f t="shared" ref="R30:R31" si="28">IFERROR(Q30/Q$31,"")</f>
        <v>-2.9503558838718371</v>
      </c>
      <c r="S30" s="4">
        <v>3961812</v>
      </c>
      <c r="T30" s="33">
        <f t="shared" ref="T30:T31" si="29">IFERROR(S30/S$31,"")</f>
        <v>0.31438923419539294</v>
      </c>
      <c r="U30" s="39"/>
      <c r="V30" s="12" t="str">
        <f t="shared" ref="V30:V31" si="30">IFERROR(U30/U$31,"")</f>
        <v/>
      </c>
      <c r="W30" s="40"/>
      <c r="X30" s="12" t="str">
        <f t="shared" ref="X30:X31" si="31">IFERROR(W30/W$31,"")</f>
        <v/>
      </c>
      <c r="Y30" s="40"/>
      <c r="Z30" s="32" t="str">
        <f t="shared" ref="Z30:Z31" si="32">IFERROR(Y30/Y$31,"")</f>
        <v/>
      </c>
      <c r="AA30" s="7"/>
    </row>
    <row r="31" spans="1:27">
      <c r="A31" s="41"/>
      <c r="B31" s="17" t="s">
        <v>27</v>
      </c>
      <c r="C31" s="29">
        <f>SUM(C29:C30)</f>
        <v>164979</v>
      </c>
      <c r="D31" s="19">
        <f t="shared" si="22"/>
        <v>1</v>
      </c>
      <c r="E31" s="29">
        <f>SUM(E29:E30)</f>
        <v>-71336</v>
      </c>
      <c r="F31" s="19">
        <f t="shared" si="22"/>
        <v>1</v>
      </c>
      <c r="G31" s="29">
        <f>SUM(G29:G30)</f>
        <v>12829251.715399999</v>
      </c>
      <c r="H31" s="19">
        <f t="shared" si="23"/>
        <v>1</v>
      </c>
      <c r="I31" s="20">
        <f>SUM(I29:I30)</f>
        <v>-37729</v>
      </c>
      <c r="J31" s="21">
        <f t="shared" si="24"/>
        <v>1</v>
      </c>
      <c r="K31" s="22">
        <f>SUM(K29:K30)</f>
        <v>-189180</v>
      </c>
      <c r="L31" s="21">
        <f t="shared" si="25"/>
        <v>1</v>
      </c>
      <c r="M31" s="22">
        <f>SUM(M29:M30)</f>
        <v>12983958.715399999</v>
      </c>
      <c r="N31" s="35">
        <f t="shared" si="26"/>
        <v>1</v>
      </c>
      <c r="O31" s="29">
        <f>SUM(O29:O30)</f>
        <v>119236</v>
      </c>
      <c r="P31" s="19">
        <f t="shared" si="27"/>
        <v>1</v>
      </c>
      <c r="Q31" s="23">
        <f>SUM(Q29:Q30)</f>
        <v>-44537</v>
      </c>
      <c r="R31" s="19">
        <f t="shared" si="28"/>
        <v>1</v>
      </c>
      <c r="S31" s="23">
        <f>SUM(S29:S30)</f>
        <v>12601614.715399999</v>
      </c>
      <c r="T31" s="34">
        <f t="shared" si="29"/>
        <v>1</v>
      </c>
      <c r="U31" s="20">
        <f>SUM(U29:U30)</f>
        <v>0</v>
      </c>
      <c r="V31" s="21" t="str">
        <f t="shared" si="30"/>
        <v/>
      </c>
      <c r="W31" s="22">
        <f>SUM(W29:W30)</f>
        <v>0</v>
      </c>
      <c r="X31" s="21" t="str">
        <f t="shared" si="31"/>
        <v/>
      </c>
      <c r="Y31" s="22">
        <f>SUM(Y29:Y30)</f>
        <v>0</v>
      </c>
      <c r="Z31" s="35" t="str">
        <f t="shared" si="32"/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4" t="s">
        <v>3</v>
      </c>
      <c r="D33" s="105"/>
      <c r="E33" s="105"/>
      <c r="F33" s="105"/>
      <c r="G33" s="105"/>
      <c r="H33" s="106"/>
      <c r="I33" s="104" t="s">
        <v>32</v>
      </c>
      <c r="J33" s="105"/>
      <c r="K33" s="105"/>
      <c r="L33" s="105"/>
      <c r="M33" s="105"/>
      <c r="N33" s="106"/>
      <c r="O33" s="104" t="s">
        <v>33</v>
      </c>
      <c r="P33" s="105"/>
      <c r="Q33" s="105"/>
      <c r="R33" s="105"/>
      <c r="S33" s="105"/>
      <c r="T33" s="106"/>
      <c r="U33" s="104" t="s">
        <v>34</v>
      </c>
      <c r="V33" s="105"/>
      <c r="W33" s="105"/>
      <c r="X33" s="105"/>
      <c r="Y33" s="105"/>
      <c r="Z33" s="106"/>
      <c r="AA33" s="73"/>
    </row>
    <row r="34" spans="1:27" s="74" customFormat="1" ht="30" customHeight="1">
      <c r="A34" s="72"/>
      <c r="B34" s="102" t="str">
        <f>CONCATENATE("20",RIGHT(הנחיות!B20,2))</f>
        <v>2022</v>
      </c>
      <c r="C34" s="101" t="s">
        <v>7</v>
      </c>
      <c r="D34" s="99"/>
      <c r="E34" s="99" t="s">
        <v>8</v>
      </c>
      <c r="F34" s="99"/>
      <c r="G34" s="99" t="s">
        <v>9</v>
      </c>
      <c r="H34" s="100"/>
      <c r="I34" s="101" t="s">
        <v>7</v>
      </c>
      <c r="J34" s="99"/>
      <c r="K34" s="99" t="s">
        <v>8</v>
      </c>
      <c r="L34" s="99"/>
      <c r="M34" s="99" t="s">
        <v>9</v>
      </c>
      <c r="N34" s="100"/>
      <c r="O34" s="101" t="s">
        <v>7</v>
      </c>
      <c r="P34" s="99"/>
      <c r="Q34" s="99" t="s">
        <v>8</v>
      </c>
      <c r="R34" s="99"/>
      <c r="S34" s="99" t="s">
        <v>9</v>
      </c>
      <c r="T34" s="100"/>
      <c r="U34" s="101" t="s">
        <v>7</v>
      </c>
      <c r="V34" s="99"/>
      <c r="W34" s="99" t="s">
        <v>8</v>
      </c>
      <c r="X34" s="99"/>
      <c r="Y34" s="99" t="s">
        <v>9</v>
      </c>
      <c r="Z34" s="100"/>
      <c r="AA34" s="73"/>
    </row>
    <row r="35" spans="1:27" s="74" customFormat="1" ht="14.25" customHeight="1">
      <c r="A35" s="72"/>
      <c r="B35" s="103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2962</v>
      </c>
      <c r="D36" s="9">
        <f>IFERROR(C36/C$51,"")</f>
        <v>1.7953800180629049E-2</v>
      </c>
      <c r="E36" s="5">
        <f>E8</f>
        <v>2962</v>
      </c>
      <c r="F36" s="9">
        <f>IFERROR(E36/E$51,"")</f>
        <v>-4.1521812268700234E-2</v>
      </c>
      <c r="G36" s="5">
        <f>G8</f>
        <v>2791078.7154000001</v>
      </c>
      <c r="H36" s="31">
        <f>IFERROR(G36/G$51,"")</f>
        <v>0.21755584638265693</v>
      </c>
      <c r="I36" s="54">
        <f>IF(I$23=0,"",I8+C36)</f>
        <v>30937</v>
      </c>
      <c r="J36" s="55">
        <f>IFERROR(I36/I$51,"")</f>
        <v>0.24311984282907662</v>
      </c>
      <c r="K36" s="56">
        <f>IF(K$23=0,"",K8+E36)</f>
        <v>30937</v>
      </c>
      <c r="L36" s="55">
        <f>IFERROR(K36/K$51,"")</f>
        <v>-0.11875278293847595</v>
      </c>
      <c r="M36" s="56">
        <f>M8</f>
        <v>3209251.7154000001</v>
      </c>
      <c r="N36" s="57">
        <f>IFERROR(M36/M$51,"")</f>
        <v>0.24717051137828822</v>
      </c>
      <c r="O36" s="58">
        <f>IF(O$23=0,"",O8+I36)</f>
        <v>36197</v>
      </c>
      <c r="P36" s="9">
        <f>IFERROR(O36/O$51,"")</f>
        <v>0.14685215387486511</v>
      </c>
      <c r="Q36" s="5">
        <f>IF(Q$23=0,"",Q8+K36)</f>
        <v>36197</v>
      </c>
      <c r="R36" s="9">
        <f>IFERROR(Q36/Q$51,"")</f>
        <v>-0.11865806925353956</v>
      </c>
      <c r="S36" s="5">
        <f>S8</f>
        <v>2753447.7154000001</v>
      </c>
      <c r="T36" s="31">
        <f>IFERROR(S36/S$51,"")</f>
        <v>0.21849959529671278</v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33">C9</f>
        <v>19850</v>
      </c>
      <c r="D37" s="16">
        <f t="shared" ref="D37:F51" si="34">IFERROR(C37/C$51,"")</f>
        <v>0.12031834354675444</v>
      </c>
      <c r="E37" s="6">
        <f t="shared" si="33"/>
        <v>-87192</v>
      </c>
      <c r="F37" s="16">
        <f t="shared" si="34"/>
        <v>1.2222720645957161</v>
      </c>
      <c r="G37" s="6">
        <f t="shared" ref="G37:G50" si="35">G9</f>
        <v>2277459</v>
      </c>
      <c r="H37" s="33">
        <f t="shared" ref="H37:H51" si="36">IFERROR(G37/G$51,"")</f>
        <v>0.17752079782378732</v>
      </c>
      <c r="I37" s="11">
        <f t="shared" ref="I37:I50" si="37">IF(I$23=0,"",I9+C37)</f>
        <v>64987</v>
      </c>
      <c r="J37" s="12">
        <f t="shared" ref="J37:L51" si="38">IFERROR(I37/I$51,"")</f>
        <v>0.5107033398821218</v>
      </c>
      <c r="K37" s="13">
        <f t="shared" ref="K37:K50" si="39">IF(K$23=0,"",K9+E37)</f>
        <v>-133408</v>
      </c>
      <c r="L37" s="12">
        <f t="shared" si="38"/>
        <v>0.51209138786101427</v>
      </c>
      <c r="M37" s="13">
        <f t="shared" ref="M37:M50" si="40">M9</f>
        <v>3044565</v>
      </c>
      <c r="N37" s="32">
        <f t="shared" ref="N37:N51" si="41">IFERROR(M37/M$51,"")</f>
        <v>0.23448665131605093</v>
      </c>
      <c r="O37" s="59">
        <f t="shared" ref="O37:O50" si="42">IF(O$23=0,"",O9+I37)</f>
        <v>99499</v>
      </c>
      <c r="P37" s="16">
        <f t="shared" ref="P37:P51" si="43">IFERROR(O37/O$51,"")</f>
        <v>0.40366998531356751</v>
      </c>
      <c r="Q37" s="6">
        <f t="shared" ref="Q37:Q50" si="44">IF(Q$23=0,"",Q9+K37)</f>
        <v>-214403</v>
      </c>
      <c r="R37" s="16">
        <f t="shared" ref="R37:R51" si="45">IFERROR(Q37/Q$51,"")</f>
        <v>0.70283852314188022</v>
      </c>
      <c r="S37" s="6">
        <f t="shared" ref="S37:S50" si="46">S9</f>
        <v>2905577</v>
      </c>
      <c r="T37" s="33">
        <f t="shared" ref="T37:T51" si="47">IFERROR(S37/S$51,"")</f>
        <v>0.23057180096525207</v>
      </c>
      <c r="U37" s="11" t="str">
        <f t="shared" ref="U37:U50" si="48">IF(U$23=0,"",U9+O37)</f>
        <v/>
      </c>
      <c r="V37" s="12" t="str">
        <f t="shared" ref="V37:V51" si="49">IFERROR(U37/U$51,"")</f>
        <v/>
      </c>
      <c r="W37" s="13" t="str">
        <f t="shared" ref="W37:W50" si="50">IF(W$23=0,"",W9+Q37)</f>
        <v/>
      </c>
      <c r="X37" s="12" t="str">
        <f t="shared" ref="X37:X51" si="51">IFERROR(W37/W$51,"")</f>
        <v/>
      </c>
      <c r="Y37" s="13">
        <f t="shared" ref="Y37:Y50" si="52">Y9</f>
        <v>0</v>
      </c>
      <c r="Z37" s="32" t="str">
        <f t="shared" ref="Z37:Z51" si="53">IFERROR(Y37/Y$51,"")</f>
        <v/>
      </c>
      <c r="AA37" s="7"/>
    </row>
    <row r="38" spans="1:27">
      <c r="A38" s="41"/>
      <c r="B38" s="15" t="s">
        <v>14</v>
      </c>
      <c r="C38" s="28">
        <f t="shared" si="33"/>
        <v>0</v>
      </c>
      <c r="D38" s="16">
        <f t="shared" si="34"/>
        <v>0</v>
      </c>
      <c r="E38" s="6">
        <f t="shared" si="33"/>
        <v>0</v>
      </c>
      <c r="F38" s="16">
        <f t="shared" si="34"/>
        <v>0</v>
      </c>
      <c r="G38" s="6">
        <f t="shared" si="35"/>
        <v>0</v>
      </c>
      <c r="H38" s="33">
        <f t="shared" si="36"/>
        <v>0</v>
      </c>
      <c r="I38" s="11">
        <f t="shared" si="37"/>
        <v>0</v>
      </c>
      <c r="J38" s="12">
        <f t="shared" si="38"/>
        <v>0</v>
      </c>
      <c r="K38" s="13">
        <f t="shared" si="39"/>
        <v>0</v>
      </c>
      <c r="L38" s="12">
        <f t="shared" si="38"/>
        <v>0</v>
      </c>
      <c r="M38" s="13">
        <f t="shared" si="40"/>
        <v>0</v>
      </c>
      <c r="N38" s="32">
        <f t="shared" si="41"/>
        <v>0</v>
      </c>
      <c r="O38" s="59">
        <f t="shared" si="42"/>
        <v>0</v>
      </c>
      <c r="P38" s="16">
        <f t="shared" si="43"/>
        <v>0</v>
      </c>
      <c r="Q38" s="6">
        <f t="shared" si="44"/>
        <v>0</v>
      </c>
      <c r="R38" s="16">
        <f t="shared" si="45"/>
        <v>0</v>
      </c>
      <c r="S38" s="6">
        <f t="shared" si="46"/>
        <v>0</v>
      </c>
      <c r="T38" s="33">
        <f t="shared" si="47"/>
        <v>0</v>
      </c>
      <c r="U38" s="11" t="str">
        <f t="shared" si="48"/>
        <v/>
      </c>
      <c r="V38" s="12" t="str">
        <f t="shared" si="49"/>
        <v/>
      </c>
      <c r="W38" s="13" t="str">
        <f t="shared" si="50"/>
        <v/>
      </c>
      <c r="X38" s="12" t="str">
        <f t="shared" si="51"/>
        <v/>
      </c>
      <c r="Y38" s="13">
        <f t="shared" si="52"/>
        <v>0</v>
      </c>
      <c r="Z38" s="32" t="str">
        <f t="shared" si="53"/>
        <v/>
      </c>
      <c r="AA38" s="7"/>
    </row>
    <row r="39" spans="1:27">
      <c r="A39" s="41"/>
      <c r="B39" s="15" t="s">
        <v>15</v>
      </c>
      <c r="C39" s="28">
        <f t="shared" si="33"/>
        <v>29642</v>
      </c>
      <c r="D39" s="16">
        <f t="shared" si="34"/>
        <v>0.17967135211148086</v>
      </c>
      <c r="E39" s="6">
        <f t="shared" si="33"/>
        <v>-66576</v>
      </c>
      <c r="F39" s="16">
        <f t="shared" si="34"/>
        <v>0.93327352248514073</v>
      </c>
      <c r="G39" s="6">
        <f t="shared" si="35"/>
        <v>1698473</v>
      </c>
      <c r="H39" s="33">
        <f t="shared" si="36"/>
        <v>0.13239065205659534</v>
      </c>
      <c r="I39" s="11">
        <f t="shared" si="37"/>
        <v>24492</v>
      </c>
      <c r="J39" s="12">
        <f t="shared" si="38"/>
        <v>0.19247151277013752</v>
      </c>
      <c r="K39" s="13">
        <f t="shared" si="39"/>
        <v>-123034</v>
      </c>
      <c r="L39" s="12">
        <f t="shared" si="38"/>
        <v>0.47227041717207391</v>
      </c>
      <c r="M39" s="13">
        <f t="shared" si="40"/>
        <v>1385087</v>
      </c>
      <c r="N39" s="32">
        <f t="shared" si="41"/>
        <v>0.10667678713096782</v>
      </c>
      <c r="O39" s="59">
        <f t="shared" si="42"/>
        <v>38328</v>
      </c>
      <c r="P39" s="16">
        <f t="shared" si="43"/>
        <v>0.15549767532435918</v>
      </c>
      <c r="Q39" s="6">
        <f t="shared" si="44"/>
        <v>-158949</v>
      </c>
      <c r="R39" s="16">
        <f t="shared" si="45"/>
        <v>0.52105371853415638</v>
      </c>
      <c r="S39" s="6">
        <f t="shared" si="46"/>
        <v>1659553</v>
      </c>
      <c r="T39" s="33">
        <f t="shared" si="47"/>
        <v>0.13169367874514665</v>
      </c>
      <c r="U39" s="11" t="str">
        <f t="shared" si="48"/>
        <v/>
      </c>
      <c r="V39" s="12" t="str">
        <f t="shared" si="49"/>
        <v/>
      </c>
      <c r="W39" s="13" t="str">
        <f t="shared" si="50"/>
        <v/>
      </c>
      <c r="X39" s="12" t="str">
        <f t="shared" si="51"/>
        <v/>
      </c>
      <c r="Y39" s="13">
        <f t="shared" si="52"/>
        <v>0</v>
      </c>
      <c r="Z39" s="32" t="str">
        <f t="shared" si="53"/>
        <v/>
      </c>
      <c r="AA39" s="7"/>
    </row>
    <row r="40" spans="1:27">
      <c r="A40" s="41"/>
      <c r="B40" s="15" t="s">
        <v>16</v>
      </c>
      <c r="C40" s="28">
        <f t="shared" si="33"/>
        <v>4394</v>
      </c>
      <c r="D40" s="16">
        <f t="shared" si="34"/>
        <v>2.6633692773019597E-2</v>
      </c>
      <c r="E40" s="6">
        <f t="shared" si="33"/>
        <v>4394</v>
      </c>
      <c r="F40" s="16">
        <f t="shared" si="34"/>
        <v>-6.1595828193338566E-2</v>
      </c>
      <c r="G40" s="6">
        <f t="shared" si="35"/>
        <v>163318</v>
      </c>
      <c r="H40" s="33">
        <f t="shared" si="36"/>
        <v>1.2730126715337268E-2</v>
      </c>
      <c r="I40" s="11">
        <f t="shared" si="37"/>
        <v>10300</v>
      </c>
      <c r="J40" s="12">
        <f t="shared" si="38"/>
        <v>8.0943025540275049E-2</v>
      </c>
      <c r="K40" s="13">
        <f t="shared" si="39"/>
        <v>10300</v>
      </c>
      <c r="L40" s="12">
        <f t="shared" si="38"/>
        <v>-3.95369190376023E-2</v>
      </c>
      <c r="M40" s="13">
        <f t="shared" si="40"/>
        <v>132518</v>
      </c>
      <c r="N40" s="32">
        <f t="shared" si="41"/>
        <v>1.0206286303330833E-2</v>
      </c>
      <c r="O40" s="59">
        <f t="shared" si="42"/>
        <v>12436</v>
      </c>
      <c r="P40" s="16">
        <f t="shared" si="43"/>
        <v>5.045316975406311E-2</v>
      </c>
      <c r="Q40" s="6">
        <f t="shared" si="44"/>
        <v>12436</v>
      </c>
      <c r="R40" s="16">
        <f t="shared" si="45"/>
        <v>-4.0766686444650604E-2</v>
      </c>
      <c r="S40" s="6">
        <f t="shared" si="46"/>
        <v>94258</v>
      </c>
      <c r="T40" s="33">
        <f t="shared" si="47"/>
        <v>7.479835094847849E-3</v>
      </c>
      <c r="U40" s="11" t="str">
        <f t="shared" si="48"/>
        <v/>
      </c>
      <c r="V40" s="12" t="str">
        <f t="shared" si="49"/>
        <v/>
      </c>
      <c r="W40" s="13" t="str">
        <f t="shared" si="50"/>
        <v/>
      </c>
      <c r="X40" s="12" t="str">
        <f t="shared" si="51"/>
        <v/>
      </c>
      <c r="Y40" s="13">
        <f t="shared" si="52"/>
        <v>0</v>
      </c>
      <c r="Z40" s="32" t="str">
        <f t="shared" si="53"/>
        <v/>
      </c>
      <c r="AA40" s="7"/>
    </row>
    <row r="41" spans="1:27">
      <c r="A41" s="41"/>
      <c r="B41" s="15" t="s">
        <v>17</v>
      </c>
      <c r="C41" s="28">
        <f t="shared" si="33"/>
        <v>76485</v>
      </c>
      <c r="D41" s="16">
        <f t="shared" si="34"/>
        <v>0.46360445874929535</v>
      </c>
      <c r="E41" s="6">
        <f t="shared" si="33"/>
        <v>18582</v>
      </c>
      <c r="F41" s="16">
        <f t="shared" si="34"/>
        <v>-0.26048558932376359</v>
      </c>
      <c r="G41" s="6">
        <f t="shared" si="35"/>
        <v>1664164</v>
      </c>
      <c r="H41" s="33">
        <f t="shared" si="36"/>
        <v>0.12971637293563801</v>
      </c>
      <c r="I41" s="11">
        <f t="shared" si="37"/>
        <v>52266</v>
      </c>
      <c r="J41" s="12">
        <f t="shared" si="38"/>
        <v>0.41073477406679765</v>
      </c>
      <c r="K41" s="13">
        <f t="shared" si="39"/>
        <v>-126770</v>
      </c>
      <c r="L41" s="12">
        <f t="shared" si="38"/>
        <v>0.48661118702881972</v>
      </c>
      <c r="M41" s="13">
        <f t="shared" si="40"/>
        <v>1445071</v>
      </c>
      <c r="N41" s="32">
        <f t="shared" si="41"/>
        <v>0.11129664162333108</v>
      </c>
      <c r="O41" s="59">
        <f t="shared" si="42"/>
        <v>91474</v>
      </c>
      <c r="P41" s="16">
        <f t="shared" si="43"/>
        <v>0.37111235526561348</v>
      </c>
      <c r="Q41" s="6">
        <f t="shared" si="44"/>
        <v>-123613</v>
      </c>
      <c r="R41" s="16">
        <f t="shared" si="45"/>
        <v>0.40521810963996419</v>
      </c>
      <c r="S41" s="6">
        <f t="shared" si="46"/>
        <v>1392389</v>
      </c>
      <c r="T41" s="33">
        <f t="shared" si="47"/>
        <v>0.11049290360372702</v>
      </c>
      <c r="U41" s="11" t="str">
        <f t="shared" si="48"/>
        <v/>
      </c>
      <c r="V41" s="12" t="str">
        <f t="shared" si="49"/>
        <v/>
      </c>
      <c r="W41" s="13" t="str">
        <f t="shared" si="50"/>
        <v/>
      </c>
      <c r="X41" s="12" t="str">
        <f t="shared" si="51"/>
        <v/>
      </c>
      <c r="Y41" s="13">
        <f t="shared" si="52"/>
        <v>0</v>
      </c>
      <c r="Z41" s="32" t="str">
        <f t="shared" si="53"/>
        <v/>
      </c>
      <c r="AA41" s="7"/>
    </row>
    <row r="42" spans="1:27">
      <c r="A42" s="41"/>
      <c r="B42" s="15" t="s">
        <v>18</v>
      </c>
      <c r="C42" s="28">
        <f t="shared" si="33"/>
        <v>11371</v>
      </c>
      <c r="D42" s="16">
        <f t="shared" si="34"/>
        <v>6.8923923650888896E-2</v>
      </c>
      <c r="E42" s="6">
        <f t="shared" si="33"/>
        <v>-7168</v>
      </c>
      <c r="F42" s="16">
        <f t="shared" si="34"/>
        <v>0.10048222496355276</v>
      </c>
      <c r="G42" s="6">
        <f t="shared" si="35"/>
        <v>147443</v>
      </c>
      <c r="H42" s="33">
        <f t="shared" si="36"/>
        <v>1.1492720173462036E-2</v>
      </c>
      <c r="I42" s="11">
        <f t="shared" si="37"/>
        <v>10923</v>
      </c>
      <c r="J42" s="12">
        <f t="shared" si="38"/>
        <v>8.5838899803536345E-2</v>
      </c>
      <c r="K42" s="13">
        <f t="shared" si="39"/>
        <v>-16913</v>
      </c>
      <c r="L42" s="12">
        <f t="shared" si="38"/>
        <v>6.4921156474074523E-2</v>
      </c>
      <c r="M42" s="13">
        <f t="shared" si="40"/>
        <v>126277</v>
      </c>
      <c r="N42" s="32">
        <f t="shared" si="41"/>
        <v>9.7256162598719238E-3</v>
      </c>
      <c r="O42" s="59">
        <f t="shared" si="42"/>
        <v>-6769</v>
      </c>
      <c r="P42" s="16">
        <f t="shared" si="43"/>
        <v>-2.7462005955713509E-2</v>
      </c>
      <c r="Q42" s="6">
        <f t="shared" si="44"/>
        <v>-20128</v>
      </c>
      <c r="R42" s="16">
        <f t="shared" si="45"/>
        <v>6.598197690237434E-2</v>
      </c>
      <c r="S42" s="6">
        <f t="shared" si="46"/>
        <v>88369</v>
      </c>
      <c r="T42" s="33">
        <f t="shared" si="47"/>
        <v>7.0125140306033394E-3</v>
      </c>
      <c r="U42" s="11" t="str">
        <f t="shared" si="48"/>
        <v/>
      </c>
      <c r="V42" s="12" t="str">
        <f t="shared" si="49"/>
        <v/>
      </c>
      <c r="W42" s="13" t="str">
        <f t="shared" si="50"/>
        <v/>
      </c>
      <c r="X42" s="12" t="str">
        <f t="shared" si="51"/>
        <v/>
      </c>
      <c r="Y42" s="13">
        <f t="shared" si="52"/>
        <v>0</v>
      </c>
      <c r="Z42" s="32" t="str">
        <f t="shared" si="53"/>
        <v/>
      </c>
      <c r="AA42" s="7"/>
    </row>
    <row r="43" spans="1:27">
      <c r="A43" s="41"/>
      <c r="B43" s="15" t="s">
        <v>19</v>
      </c>
      <c r="C43" s="28">
        <f t="shared" si="33"/>
        <v>6370</v>
      </c>
      <c r="D43" s="16">
        <f t="shared" si="34"/>
        <v>3.8610974730117167E-2</v>
      </c>
      <c r="E43" s="6">
        <f t="shared" si="33"/>
        <v>6370</v>
      </c>
      <c r="F43" s="16">
        <f t="shared" si="34"/>
        <v>-8.9295727262532237E-2</v>
      </c>
      <c r="G43" s="6">
        <f t="shared" si="35"/>
        <v>328668</v>
      </c>
      <c r="H43" s="33">
        <f t="shared" si="36"/>
        <v>2.5618641468034567E-2</v>
      </c>
      <c r="I43" s="11">
        <f t="shared" si="37"/>
        <v>25022</v>
      </c>
      <c r="J43" s="12">
        <f t="shared" si="38"/>
        <v>0.19663654223968566</v>
      </c>
      <c r="K43" s="13">
        <f t="shared" si="39"/>
        <v>25022</v>
      </c>
      <c r="L43" s="12">
        <f t="shared" si="38"/>
        <v>-9.6047843510571329E-2</v>
      </c>
      <c r="M43" s="13">
        <f t="shared" si="40"/>
        <v>192839</v>
      </c>
      <c r="N43" s="32">
        <f t="shared" si="41"/>
        <v>1.4852095899787306E-2</v>
      </c>
      <c r="O43" s="59">
        <f t="shared" si="42"/>
        <v>20806</v>
      </c>
      <c r="P43" s="16">
        <f t="shared" si="43"/>
        <v>8.4410473617162834E-2</v>
      </c>
      <c r="Q43" s="6">
        <f t="shared" si="44"/>
        <v>20806</v>
      </c>
      <c r="R43" s="16">
        <f t="shared" si="45"/>
        <v>-6.8204541505902258E-2</v>
      </c>
      <c r="S43" s="6">
        <f t="shared" si="46"/>
        <v>133759</v>
      </c>
      <c r="T43" s="33">
        <f t="shared" si="47"/>
        <v>1.0614433389757405E-2</v>
      </c>
      <c r="U43" s="11" t="str">
        <f t="shared" si="48"/>
        <v/>
      </c>
      <c r="V43" s="12" t="str">
        <f t="shared" si="49"/>
        <v/>
      </c>
      <c r="W43" s="13" t="str">
        <f t="shared" si="50"/>
        <v/>
      </c>
      <c r="X43" s="12" t="str">
        <f t="shared" si="51"/>
        <v/>
      </c>
      <c r="Y43" s="13">
        <f t="shared" si="52"/>
        <v>0</v>
      </c>
      <c r="Z43" s="32" t="str">
        <f t="shared" si="53"/>
        <v/>
      </c>
      <c r="AA43" s="7"/>
    </row>
    <row r="44" spans="1:27">
      <c r="A44" s="41"/>
      <c r="B44" s="15" t="s">
        <v>20</v>
      </c>
      <c r="C44" s="28">
        <f t="shared" si="33"/>
        <v>14577</v>
      </c>
      <c r="D44" s="16">
        <f t="shared" si="34"/>
        <v>8.8356699943629186E-2</v>
      </c>
      <c r="E44" s="6">
        <f t="shared" si="33"/>
        <v>14577</v>
      </c>
      <c r="F44" s="16">
        <f t="shared" si="34"/>
        <v>-0.20434282830548392</v>
      </c>
      <c r="G44" s="6">
        <f t="shared" si="35"/>
        <v>1308247</v>
      </c>
      <c r="H44" s="33">
        <f t="shared" si="36"/>
        <v>0.10197375724022971</v>
      </c>
      <c r="I44" s="11">
        <f t="shared" si="37"/>
        <v>37963</v>
      </c>
      <c r="J44" s="12">
        <f t="shared" si="38"/>
        <v>0.29833398821218077</v>
      </c>
      <c r="K44" s="13">
        <f t="shared" si="39"/>
        <v>37963</v>
      </c>
      <c r="L44" s="12">
        <f t="shared" si="38"/>
        <v>-0.14572233567228116</v>
      </c>
      <c r="M44" s="13">
        <f t="shared" si="40"/>
        <v>1300001</v>
      </c>
      <c r="N44" s="32">
        <f t="shared" si="41"/>
        <v>0.1001236239651699</v>
      </c>
      <c r="O44" s="59">
        <f t="shared" si="42"/>
        <v>54829</v>
      </c>
      <c r="P44" s="16">
        <f t="shared" si="43"/>
        <v>0.22244265394383453</v>
      </c>
      <c r="Q44" s="6">
        <f t="shared" si="44"/>
        <v>54829</v>
      </c>
      <c r="R44" s="16">
        <f t="shared" si="45"/>
        <v>-0.17973598030506174</v>
      </c>
      <c r="S44" s="6">
        <f t="shared" si="46"/>
        <v>1390936</v>
      </c>
      <c r="T44" s="33">
        <f t="shared" si="47"/>
        <v>0.11037760091968095</v>
      </c>
      <c r="U44" s="11" t="str">
        <f t="shared" si="48"/>
        <v/>
      </c>
      <c r="V44" s="12" t="str">
        <f t="shared" si="49"/>
        <v/>
      </c>
      <c r="W44" s="13" t="str">
        <f t="shared" si="50"/>
        <v/>
      </c>
      <c r="X44" s="12" t="str">
        <f t="shared" si="51"/>
        <v/>
      </c>
      <c r="Y44" s="13">
        <f t="shared" si="52"/>
        <v>0</v>
      </c>
      <c r="Z44" s="32" t="str">
        <f t="shared" si="53"/>
        <v/>
      </c>
      <c r="AA44" s="7"/>
    </row>
    <row r="45" spans="1:27">
      <c r="A45" s="41"/>
      <c r="B45" s="15" t="s">
        <v>21</v>
      </c>
      <c r="C45" s="28">
        <f t="shared" si="33"/>
        <v>3159</v>
      </c>
      <c r="D45" s="16">
        <f t="shared" si="34"/>
        <v>1.9147891549833616E-2</v>
      </c>
      <c r="E45" s="6">
        <f t="shared" si="33"/>
        <v>3159</v>
      </c>
      <c r="F45" s="16">
        <f t="shared" si="34"/>
        <v>-4.4283391275092517E-2</v>
      </c>
      <c r="G45" s="6">
        <f t="shared" si="35"/>
        <v>506157</v>
      </c>
      <c r="H45" s="33">
        <f t="shared" si="36"/>
        <v>3.9453353260846723E-2</v>
      </c>
      <c r="I45" s="11">
        <f t="shared" si="37"/>
        <v>7432</v>
      </c>
      <c r="J45" s="12">
        <f t="shared" si="38"/>
        <v>5.8404715127701373E-2</v>
      </c>
      <c r="K45" s="13">
        <f t="shared" si="39"/>
        <v>7432</v>
      </c>
      <c r="L45" s="12">
        <f t="shared" si="38"/>
        <v>-2.8527998280335948E-2</v>
      </c>
      <c r="M45" s="13">
        <f t="shared" si="40"/>
        <v>163777</v>
      </c>
      <c r="N45" s="32">
        <f t="shared" si="41"/>
        <v>1.2613795498729333E-2</v>
      </c>
      <c r="O45" s="59">
        <f t="shared" si="42"/>
        <v>10499</v>
      </c>
      <c r="P45" s="16">
        <f t="shared" si="43"/>
        <v>4.2594711261491523E-2</v>
      </c>
      <c r="Q45" s="6">
        <f t="shared" si="44"/>
        <v>10499</v>
      </c>
      <c r="R45" s="16">
        <f t="shared" si="45"/>
        <v>-3.4416970165840034E-2</v>
      </c>
      <c r="S45" s="6">
        <f t="shared" si="46"/>
        <v>165064</v>
      </c>
      <c r="T45" s="33">
        <f t="shared" si="47"/>
        <v>1.3098638843344494E-2</v>
      </c>
      <c r="U45" s="11" t="str">
        <f t="shared" si="48"/>
        <v/>
      </c>
      <c r="V45" s="12" t="str">
        <f t="shared" si="49"/>
        <v/>
      </c>
      <c r="W45" s="13" t="str">
        <f t="shared" si="50"/>
        <v/>
      </c>
      <c r="X45" s="12" t="str">
        <f t="shared" si="51"/>
        <v/>
      </c>
      <c r="Y45" s="13">
        <f t="shared" si="52"/>
        <v>0</v>
      </c>
      <c r="Z45" s="32" t="str">
        <f t="shared" si="53"/>
        <v/>
      </c>
      <c r="AA45" s="7"/>
    </row>
    <row r="46" spans="1:27">
      <c r="A46" s="41"/>
      <c r="B46" s="15" t="s">
        <v>22</v>
      </c>
      <c r="C46" s="28">
        <f t="shared" si="33"/>
        <v>-5369</v>
      </c>
      <c r="D46" s="16">
        <f t="shared" si="34"/>
        <v>-3.2543535843955897E-2</v>
      </c>
      <c r="E46" s="6">
        <f t="shared" si="33"/>
        <v>-5369</v>
      </c>
      <c r="F46" s="16">
        <f t="shared" si="34"/>
        <v>7.52635415498486E-2</v>
      </c>
      <c r="G46" s="6">
        <f t="shared" si="35"/>
        <v>40165</v>
      </c>
      <c r="H46" s="33">
        <f t="shared" si="36"/>
        <v>3.1307359845303114E-3</v>
      </c>
      <c r="I46" s="11">
        <f t="shared" si="37"/>
        <v>-142037</v>
      </c>
      <c r="J46" s="12">
        <f t="shared" si="38"/>
        <v>-1.116204322200393</v>
      </c>
      <c r="K46" s="13">
        <f t="shared" si="39"/>
        <v>-142037</v>
      </c>
      <c r="L46" s="12">
        <f t="shared" si="38"/>
        <v>0.54521411352853566</v>
      </c>
      <c r="M46" s="13">
        <f t="shared" si="40"/>
        <v>-164831</v>
      </c>
      <c r="N46" s="32">
        <f t="shared" si="41"/>
        <v>-1.2694972589869485E-2</v>
      </c>
      <c r="O46" s="59">
        <f t="shared" si="42"/>
        <v>-166804</v>
      </c>
      <c r="P46" s="16">
        <f t="shared" si="43"/>
        <v>-0.67672809003351098</v>
      </c>
      <c r="Q46" s="6">
        <f t="shared" si="44"/>
        <v>-166804</v>
      </c>
      <c r="R46" s="16">
        <f t="shared" si="45"/>
        <v>0.54680334237001438</v>
      </c>
      <c r="S46" s="6">
        <f t="shared" si="46"/>
        <v>-174267</v>
      </c>
      <c r="T46" s="33">
        <f t="shared" si="47"/>
        <v>-1.3828942078909483E-2</v>
      </c>
      <c r="U46" s="11" t="str">
        <f t="shared" si="48"/>
        <v/>
      </c>
      <c r="V46" s="12" t="str">
        <f t="shared" si="49"/>
        <v/>
      </c>
      <c r="W46" s="13" t="str">
        <f t="shared" si="50"/>
        <v/>
      </c>
      <c r="X46" s="12" t="str">
        <f t="shared" si="51"/>
        <v/>
      </c>
      <c r="Y46" s="13">
        <f t="shared" si="52"/>
        <v>0</v>
      </c>
      <c r="Z46" s="32" t="str">
        <f t="shared" si="53"/>
        <v/>
      </c>
      <c r="AA46" s="7"/>
    </row>
    <row r="47" spans="1:27">
      <c r="A47" s="41"/>
      <c r="B47" s="15" t="s">
        <v>23</v>
      </c>
      <c r="C47" s="28">
        <f t="shared" si="33"/>
        <v>-1815</v>
      </c>
      <c r="D47" s="16">
        <f t="shared" si="34"/>
        <v>-1.1001400178204499E-2</v>
      </c>
      <c r="E47" s="6">
        <f t="shared" si="33"/>
        <v>-1642</v>
      </c>
      <c r="F47" s="16">
        <f t="shared" si="34"/>
        <v>2.3017831109117416E-2</v>
      </c>
      <c r="G47" s="6">
        <f t="shared" si="35"/>
        <v>26306</v>
      </c>
      <c r="H47" s="33">
        <f t="shared" si="36"/>
        <v>2.0504703301146361E-3</v>
      </c>
      <c r="I47" s="11">
        <f t="shared" si="37"/>
        <v>-853</v>
      </c>
      <c r="J47" s="12">
        <f t="shared" si="38"/>
        <v>-6.7033398821218079E-3</v>
      </c>
      <c r="K47" s="13">
        <f t="shared" si="39"/>
        <v>511</v>
      </c>
      <c r="L47" s="12">
        <f t="shared" si="38"/>
        <v>-1.9614918085645409E-3</v>
      </c>
      <c r="M47" s="13">
        <f t="shared" si="40"/>
        <v>28509</v>
      </c>
      <c r="N47" s="32">
        <f t="shared" si="41"/>
        <v>2.195709384548957E-3</v>
      </c>
      <c r="O47" s="59">
        <f t="shared" si="42"/>
        <v>-180</v>
      </c>
      <c r="P47" s="16">
        <f t="shared" si="43"/>
        <v>-7.3026459920644585E-4</v>
      </c>
      <c r="Q47" s="6">
        <f t="shared" si="44"/>
        <v>164</v>
      </c>
      <c r="R47" s="16">
        <f t="shared" si="45"/>
        <v>-5.376114970185509E-4</v>
      </c>
      <c r="S47" s="6">
        <f t="shared" si="46"/>
        <v>19246</v>
      </c>
      <c r="T47" s="33">
        <f t="shared" si="47"/>
        <v>1.5272645954236424E-3</v>
      </c>
      <c r="U47" s="11" t="str">
        <f t="shared" si="48"/>
        <v/>
      </c>
      <c r="V47" s="12" t="str">
        <f t="shared" si="49"/>
        <v/>
      </c>
      <c r="W47" s="13" t="str">
        <f t="shared" si="50"/>
        <v/>
      </c>
      <c r="X47" s="12" t="str">
        <f t="shared" si="51"/>
        <v/>
      </c>
      <c r="Y47" s="13">
        <f t="shared" si="52"/>
        <v>0</v>
      </c>
      <c r="Z47" s="32" t="str">
        <f t="shared" si="53"/>
        <v/>
      </c>
      <c r="AA47" s="7"/>
    </row>
    <row r="48" spans="1:27">
      <c r="A48" s="41"/>
      <c r="B48" s="15" t="s">
        <v>24</v>
      </c>
      <c r="C48" s="28">
        <f t="shared" si="33"/>
        <v>17266</v>
      </c>
      <c r="D48" s="16">
        <f t="shared" si="34"/>
        <v>0.10465574406439608</v>
      </c>
      <c r="E48" s="6">
        <f t="shared" si="33"/>
        <v>59942</v>
      </c>
      <c r="F48" s="16">
        <f t="shared" si="34"/>
        <v>-0.84027699899069197</v>
      </c>
      <c r="G48" s="6">
        <f t="shared" si="35"/>
        <v>1689809</v>
      </c>
      <c r="H48" s="33">
        <f t="shared" si="36"/>
        <v>0.13171532038548936</v>
      </c>
      <c r="I48" s="11">
        <f t="shared" si="37"/>
        <v>23186</v>
      </c>
      <c r="J48" s="12">
        <f t="shared" si="38"/>
        <v>0.18220825147347741</v>
      </c>
      <c r="K48" s="13">
        <f t="shared" si="39"/>
        <v>182978</v>
      </c>
      <c r="L48" s="12">
        <f t="shared" si="38"/>
        <v>-0.70236760889926142</v>
      </c>
      <c r="M48" s="13">
        <f>M20</f>
        <v>1909073</v>
      </c>
      <c r="N48" s="32">
        <f t="shared" si="41"/>
        <v>0.14703320010835283</v>
      </c>
      <c r="O48" s="59">
        <f t="shared" si="42"/>
        <v>35407</v>
      </c>
      <c r="P48" s="16">
        <f t="shared" si="43"/>
        <v>0.14364710368945904</v>
      </c>
      <c r="Q48" s="6">
        <f t="shared" si="44"/>
        <v>219670</v>
      </c>
      <c r="R48" s="16">
        <f t="shared" si="45"/>
        <v>-0.72010437530527482</v>
      </c>
      <c r="S48" s="6">
        <f t="shared" si="46"/>
        <v>1943220</v>
      </c>
      <c r="T48" s="33">
        <f t="shared" si="47"/>
        <v>0.15420404796420714</v>
      </c>
      <c r="U48" s="11" t="str">
        <f t="shared" si="48"/>
        <v/>
      </c>
      <c r="V48" s="12" t="str">
        <f t="shared" si="49"/>
        <v/>
      </c>
      <c r="W48" s="13" t="str">
        <f t="shared" si="50"/>
        <v/>
      </c>
      <c r="X48" s="12" t="str">
        <f t="shared" si="51"/>
        <v/>
      </c>
      <c r="Y48" s="13">
        <f t="shared" si="52"/>
        <v>0</v>
      </c>
      <c r="Z48" s="32" t="str">
        <f t="shared" si="53"/>
        <v/>
      </c>
      <c r="AA48" s="7"/>
    </row>
    <row r="49" spans="1:27">
      <c r="A49" s="41"/>
      <c r="B49" s="15" t="s">
        <v>25</v>
      </c>
      <c r="C49" s="28">
        <f t="shared" si="33"/>
        <v>1423</v>
      </c>
      <c r="D49" s="16">
        <f t="shared" si="34"/>
        <v>8.6253401948126734E-3</v>
      </c>
      <c r="E49" s="6">
        <f t="shared" si="33"/>
        <v>1961</v>
      </c>
      <c r="F49" s="16">
        <f t="shared" si="34"/>
        <v>-2.7489626556016597E-2</v>
      </c>
      <c r="G49" s="6">
        <f t="shared" si="35"/>
        <v>187964</v>
      </c>
      <c r="H49" s="33">
        <f t="shared" si="36"/>
        <v>1.4651205243277864E-2</v>
      </c>
      <c r="I49" s="11">
        <f t="shared" si="37"/>
        <v>2419</v>
      </c>
      <c r="J49" s="12">
        <f t="shared" si="38"/>
        <v>1.9009823182711199E-2</v>
      </c>
      <c r="K49" s="13">
        <f t="shared" si="39"/>
        <v>6290</v>
      </c>
      <c r="L49" s="12">
        <f t="shared" si="38"/>
        <v>-2.4144390363739655E-2</v>
      </c>
      <c r="M49" s="13">
        <f t="shared" si="40"/>
        <v>211821</v>
      </c>
      <c r="N49" s="32">
        <f t="shared" si="41"/>
        <v>1.6314053721440409E-2</v>
      </c>
      <c r="O49" s="59">
        <f t="shared" si="42"/>
        <v>21186</v>
      </c>
      <c r="P49" s="16">
        <f t="shared" si="43"/>
        <v>8.5952143326598673E-2</v>
      </c>
      <c r="Q49" s="6">
        <f t="shared" si="44"/>
        <v>24665</v>
      </c>
      <c r="R49" s="16">
        <f t="shared" si="45"/>
        <v>-8.08548022802595E-2</v>
      </c>
      <c r="S49" s="6">
        <f t="shared" si="46"/>
        <v>230063</v>
      </c>
      <c r="T49" s="33">
        <f t="shared" si="47"/>
        <v>1.8256628630206249E-2</v>
      </c>
      <c r="U49" s="11" t="str">
        <f t="shared" si="48"/>
        <v/>
      </c>
      <c r="V49" s="12" t="str">
        <f t="shared" si="49"/>
        <v/>
      </c>
      <c r="W49" s="13" t="str">
        <f t="shared" si="50"/>
        <v/>
      </c>
      <c r="X49" s="12" t="str">
        <f t="shared" si="51"/>
        <v/>
      </c>
      <c r="Y49" s="13">
        <f t="shared" si="52"/>
        <v>0</v>
      </c>
      <c r="Z49" s="32" t="str">
        <f t="shared" si="53"/>
        <v/>
      </c>
      <c r="AA49" s="7"/>
    </row>
    <row r="50" spans="1:27">
      <c r="A50" s="41"/>
      <c r="B50" s="15" t="s">
        <v>26</v>
      </c>
      <c r="C50" s="28">
        <f t="shared" si="33"/>
        <v>-15336</v>
      </c>
      <c r="D50" s="16">
        <f t="shared" si="34"/>
        <v>-9.2957285472696521E-2</v>
      </c>
      <c r="E50" s="6">
        <f t="shared" si="33"/>
        <v>-15336</v>
      </c>
      <c r="F50" s="16">
        <f t="shared" si="34"/>
        <v>0.21498261747224404</v>
      </c>
      <c r="G50" s="6">
        <f t="shared" si="35"/>
        <v>0</v>
      </c>
      <c r="H50" s="33">
        <f t="shared" si="36"/>
        <v>0</v>
      </c>
      <c r="I50" s="11">
        <f t="shared" si="37"/>
        <v>-19787</v>
      </c>
      <c r="J50" s="12">
        <f t="shared" si="38"/>
        <v>-0.15549705304518663</v>
      </c>
      <c r="K50" s="13">
        <f t="shared" si="39"/>
        <v>-19787</v>
      </c>
      <c r="L50" s="12">
        <f t="shared" si="38"/>
        <v>7.5953108446314241E-2</v>
      </c>
      <c r="M50" s="13">
        <f t="shared" si="40"/>
        <v>0</v>
      </c>
      <c r="N50" s="32">
        <f t="shared" si="41"/>
        <v>0</v>
      </c>
      <c r="O50" s="59">
        <f t="shared" si="42"/>
        <v>-422</v>
      </c>
      <c r="P50" s="16">
        <f t="shared" si="43"/>
        <v>-1.7120647825840008E-3</v>
      </c>
      <c r="Q50" s="6">
        <f t="shared" si="44"/>
        <v>-422</v>
      </c>
      <c r="R50" s="16">
        <f t="shared" si="45"/>
        <v>1.3833661691574908E-3</v>
      </c>
      <c r="S50" s="6">
        <f t="shared" si="46"/>
        <v>0</v>
      </c>
      <c r="T50" s="33">
        <f t="shared" si="47"/>
        <v>0</v>
      </c>
      <c r="U50" s="11" t="str">
        <f t="shared" si="48"/>
        <v/>
      </c>
      <c r="V50" s="12" t="str">
        <f t="shared" si="49"/>
        <v/>
      </c>
      <c r="W50" s="13" t="str">
        <f t="shared" si="50"/>
        <v/>
      </c>
      <c r="X50" s="12" t="str">
        <f t="shared" si="51"/>
        <v/>
      </c>
      <c r="Y50" s="13">
        <f t="shared" si="52"/>
        <v>0</v>
      </c>
      <c r="Z50" s="32" t="str">
        <f t="shared" si="53"/>
        <v/>
      </c>
      <c r="AA50" s="7"/>
    </row>
    <row r="51" spans="1:27">
      <c r="A51" s="41"/>
      <c r="B51" s="17" t="s">
        <v>27</v>
      </c>
      <c r="C51" s="18">
        <f>SUM(C36:C50)</f>
        <v>164979</v>
      </c>
      <c r="D51" s="19">
        <f t="shared" si="34"/>
        <v>1</v>
      </c>
      <c r="E51" s="23">
        <f>SUM(E36:E50)</f>
        <v>-71336</v>
      </c>
      <c r="F51" s="19">
        <f t="shared" si="34"/>
        <v>1</v>
      </c>
      <c r="G51" s="23">
        <f>SUM(G36:G50)</f>
        <v>12829251.715399999</v>
      </c>
      <c r="H51" s="34">
        <f t="shared" si="36"/>
        <v>1</v>
      </c>
      <c r="I51" s="20">
        <f>SUM(I36:I50)</f>
        <v>127250</v>
      </c>
      <c r="J51" s="21">
        <f t="shared" si="38"/>
        <v>1</v>
      </c>
      <c r="K51" s="22">
        <f>SUM(K36:K50)</f>
        <v>-260516</v>
      </c>
      <c r="L51" s="21">
        <f t="shared" si="38"/>
        <v>1</v>
      </c>
      <c r="M51" s="22">
        <f>SUM(M36:M50)</f>
        <v>12983958.715399999</v>
      </c>
      <c r="N51" s="35">
        <f t="shared" si="41"/>
        <v>1</v>
      </c>
      <c r="O51" s="29">
        <f>SUM(O36:O50)</f>
        <v>246486</v>
      </c>
      <c r="P51" s="19">
        <f t="shared" si="43"/>
        <v>1</v>
      </c>
      <c r="Q51" s="23">
        <f>SUM(Q36:Q50)</f>
        <v>-305053</v>
      </c>
      <c r="R51" s="19">
        <f t="shared" si="45"/>
        <v>1</v>
      </c>
      <c r="S51" s="23">
        <f>SUM(S36:S50)</f>
        <v>12601614.715399999</v>
      </c>
      <c r="T51" s="34">
        <f t="shared" si="47"/>
        <v>1</v>
      </c>
      <c r="U51" s="20">
        <f>SUM(U36:U50)</f>
        <v>0</v>
      </c>
      <c r="V51" s="21" t="str">
        <f t="shared" si="49"/>
        <v/>
      </c>
      <c r="W51" s="22">
        <f>SUM(W36:W50)</f>
        <v>0</v>
      </c>
      <c r="X51" s="21" t="str">
        <f t="shared" si="51"/>
        <v/>
      </c>
      <c r="Y51" s="22">
        <f>SUM(Y36:Y50)</f>
        <v>0</v>
      </c>
      <c r="Z51" s="35" t="str">
        <f t="shared" si="53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54">C25</f>
        <v>137443</v>
      </c>
      <c r="D53" s="9">
        <f>IFERROR(C53/C$55,"")</f>
        <v>0.83309390892174151</v>
      </c>
      <c r="E53" s="5">
        <f t="shared" si="54"/>
        <v>-125065</v>
      </c>
      <c r="F53" s="9">
        <f>IFERROR(E53/E$55,"")</f>
        <v>1.7531821240327465</v>
      </c>
      <c r="G53" s="5">
        <f t="shared" ref="G53:G54" si="55">G25</f>
        <v>11020013.715399999</v>
      </c>
      <c r="H53" s="31">
        <f>IFERROR(G53/G$55,"")</f>
        <v>0.85897556302303868</v>
      </c>
      <c r="I53" s="54">
        <f t="shared" ref="I53:I54" si="56">IF(I$23=0,"",I25+C53)</f>
        <v>193767</v>
      </c>
      <c r="J53" s="55">
        <f>IFERROR(I53/I$55,"")</f>
        <v>1.5227269155206287</v>
      </c>
      <c r="K53" s="56">
        <f t="shared" ref="K53:K54" si="57">IF(K$23=0,"",K25+E53)</f>
        <v>-254975</v>
      </c>
      <c r="L53" s="55">
        <f>IFERROR(K53/K$55,"")</f>
        <v>0.97873067297210148</v>
      </c>
      <c r="M53" s="56">
        <f t="shared" ref="M53:M54" si="58">M25</f>
        <v>11374170.715399999</v>
      </c>
      <c r="N53" s="57">
        <f>IFERROR(M53/M$55,"")</f>
        <v>0.87601716585168554</v>
      </c>
      <c r="O53" s="27">
        <f t="shared" ref="O53:O54" si="59">IF(O$23=0,"",O25+I53)</f>
        <v>331332</v>
      </c>
      <c r="P53" s="9">
        <f>IFERROR(O53/O$55,"")</f>
        <v>1.3442223899126116</v>
      </c>
      <c r="Q53" s="5">
        <f t="shared" ref="Q53:Q54" si="60">IF(Q$23=0,"",Q25+K53)</f>
        <v>-329183</v>
      </c>
      <c r="R53" s="9">
        <f>IFERROR(Q53/Q$55,"")</f>
        <v>1.0791010086771806</v>
      </c>
      <c r="S53" s="5">
        <f t="shared" ref="S53:S54" si="61">S25</f>
        <v>11078606.715399999</v>
      </c>
      <c r="T53" s="31">
        <f>IFERROR(S53/S$55,"")</f>
        <v>0.87914183742351804</v>
      </c>
      <c r="U53" s="54" t="str">
        <f t="shared" ref="U53:U54" si="62">IF(U$23=0,"",U25+O53)</f>
        <v/>
      </c>
      <c r="V53" s="55" t="str">
        <f>IFERROR(U53/U$55,"")</f>
        <v/>
      </c>
      <c r="W53" s="56" t="str">
        <f t="shared" ref="W53:W54" si="63">IF(W$23=0,"",W25+Q53)</f>
        <v/>
      </c>
      <c r="X53" s="55" t="str">
        <f>IFERROR(W53/W$55,"")</f>
        <v/>
      </c>
      <c r="Y53" s="56">
        <f t="shared" ref="Y53:Y54" si="64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54"/>
        <v>27536</v>
      </c>
      <c r="D54" s="16">
        <f t="shared" ref="D54:F55" si="65">IFERROR(C54/C$55,"")</f>
        <v>0.16690609107825843</v>
      </c>
      <c r="E54" s="6">
        <f t="shared" si="54"/>
        <v>53729</v>
      </c>
      <c r="F54" s="16">
        <f t="shared" si="65"/>
        <v>-0.75318212403274643</v>
      </c>
      <c r="G54" s="6">
        <f t="shared" si="55"/>
        <v>1809238</v>
      </c>
      <c r="H54" s="33">
        <f t="shared" ref="H54:H55" si="66">IFERROR(G54/G$55,"")</f>
        <v>0.14102443697696132</v>
      </c>
      <c r="I54" s="11">
        <f t="shared" si="56"/>
        <v>-66517</v>
      </c>
      <c r="J54" s="12">
        <f t="shared" ref="J54:L55" si="67">IFERROR(I54/I$55,"")</f>
        <v>-0.52272691552062867</v>
      </c>
      <c r="K54" s="13">
        <f t="shared" si="57"/>
        <v>-5541</v>
      </c>
      <c r="L54" s="12">
        <f t="shared" si="67"/>
        <v>2.126932702789848E-2</v>
      </c>
      <c r="M54" s="13">
        <f t="shared" si="58"/>
        <v>1609788</v>
      </c>
      <c r="N54" s="32">
        <f t="shared" ref="N54:N55" si="68">IFERROR(M54/M$55,"")</f>
        <v>0.12398283414831444</v>
      </c>
      <c r="O54" s="28">
        <f t="shared" si="59"/>
        <v>-84846</v>
      </c>
      <c r="P54" s="16">
        <f t="shared" ref="P54:P55" si="69">IFERROR(O54/O$55,"")</f>
        <v>-0.34422238991261167</v>
      </c>
      <c r="Q54" s="6">
        <f t="shared" si="60"/>
        <v>24130</v>
      </c>
      <c r="R54" s="16">
        <f t="shared" ref="R54:R55" si="70">IFERROR(Q54/Q$55,"")</f>
        <v>-7.9101008677180687E-2</v>
      </c>
      <c r="S54" s="6">
        <f t="shared" si="61"/>
        <v>1523008</v>
      </c>
      <c r="T54" s="33">
        <f t="shared" ref="T54:T55" si="71">IFERROR(S54/S$55,"")</f>
        <v>0.12085816257648192</v>
      </c>
      <c r="U54" s="11" t="str">
        <f t="shared" si="62"/>
        <v/>
      </c>
      <c r="V54" s="12" t="str">
        <f t="shared" ref="V54:V55" si="72">IFERROR(U54/U$55,"")</f>
        <v/>
      </c>
      <c r="W54" s="13" t="str">
        <f t="shared" si="63"/>
        <v/>
      </c>
      <c r="X54" s="12" t="str">
        <f t="shared" ref="X54:X55" si="73">IFERROR(W54/W$55,"")</f>
        <v/>
      </c>
      <c r="Y54" s="13">
        <f t="shared" si="64"/>
        <v>0</v>
      </c>
      <c r="Z54" s="32" t="str">
        <f t="shared" ref="Z54:Z55" si="74">IFERROR(Y54/Y$55,"")</f>
        <v/>
      </c>
      <c r="AA54" s="7"/>
    </row>
    <row r="55" spans="1:27">
      <c r="A55" s="41"/>
      <c r="B55" s="17" t="s">
        <v>27</v>
      </c>
      <c r="C55" s="29">
        <f>SUM(C53:C54)</f>
        <v>164979</v>
      </c>
      <c r="D55" s="19">
        <f t="shared" si="65"/>
        <v>1</v>
      </c>
      <c r="E55" s="23">
        <f>SUM(E53:E54)</f>
        <v>-71336</v>
      </c>
      <c r="F55" s="19">
        <f t="shared" si="65"/>
        <v>1</v>
      </c>
      <c r="G55" s="23">
        <f>SUM(G53:G54)</f>
        <v>12829251.715399999</v>
      </c>
      <c r="H55" s="34">
        <f t="shared" si="66"/>
        <v>1</v>
      </c>
      <c r="I55" s="20">
        <f>SUM(I53:I54)</f>
        <v>127250</v>
      </c>
      <c r="J55" s="21">
        <f t="shared" si="67"/>
        <v>1</v>
      </c>
      <c r="K55" s="22">
        <f>SUM(K53:K54)</f>
        <v>-260516</v>
      </c>
      <c r="L55" s="21">
        <f t="shared" si="67"/>
        <v>1</v>
      </c>
      <c r="M55" s="22">
        <f>SUM(M53:M54)</f>
        <v>12983958.715399999</v>
      </c>
      <c r="N55" s="35">
        <f t="shared" si="68"/>
        <v>1</v>
      </c>
      <c r="O55" s="29">
        <f>SUM(O53:O54)</f>
        <v>246486</v>
      </c>
      <c r="P55" s="19">
        <f t="shared" si="69"/>
        <v>1</v>
      </c>
      <c r="Q55" s="23">
        <f>SUM(Q53:Q54)</f>
        <v>-305053</v>
      </c>
      <c r="R55" s="19">
        <f t="shared" si="70"/>
        <v>1</v>
      </c>
      <c r="S55" s="23">
        <f>SUM(S53:S54)</f>
        <v>12601614.715399999</v>
      </c>
      <c r="T55" s="34">
        <f t="shared" si="71"/>
        <v>1</v>
      </c>
      <c r="U55" s="20">
        <f>SUM(U53:U54)</f>
        <v>0</v>
      </c>
      <c r="V55" s="21" t="str">
        <f t="shared" si="72"/>
        <v/>
      </c>
      <c r="W55" s="22">
        <f>SUM(W53:W54)</f>
        <v>0</v>
      </c>
      <c r="X55" s="21" t="str">
        <f t="shared" si="73"/>
        <v/>
      </c>
      <c r="Y55" s="22">
        <f>SUM(Y53:Y54)</f>
        <v>0</v>
      </c>
      <c r="Z55" s="35" t="str">
        <f t="shared" si="74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75">C29</f>
        <v>145779</v>
      </c>
      <c r="D57" s="9">
        <f>IFERROR(C57/C$59,"")</f>
        <v>0.88362155183386981</v>
      </c>
      <c r="E57" s="5">
        <f t="shared" si="75"/>
        <v>-141550</v>
      </c>
      <c r="F57" s="9">
        <f>IFERROR(E57/E$59,"")</f>
        <v>1.9842716160143545</v>
      </c>
      <c r="G57" s="5">
        <f t="shared" ref="G57:G58" si="76">G29</f>
        <v>9121578.7153999992</v>
      </c>
      <c r="H57" s="31">
        <f>IFERROR(G57/G$59,"")</f>
        <v>0.71099849919154856</v>
      </c>
      <c r="I57" s="54">
        <f t="shared" ref="I57:I58" si="77">IF(I$23=0,"",I29+C57)</f>
        <v>223230</v>
      </c>
      <c r="J57" s="55">
        <f>IFERROR(I57/I$59,"")</f>
        <v>1.7542632612966602</v>
      </c>
      <c r="K57" s="56">
        <f t="shared" ref="K57:K58" si="78">IF(K$23=0,"",K29+E57)</f>
        <v>-361368</v>
      </c>
      <c r="L57" s="55">
        <f>IFERROR(K57/K$59,"")</f>
        <v>1.38712401541556</v>
      </c>
      <c r="M57" s="56">
        <f t="shared" ref="M57:M58" si="79">M29</f>
        <v>9345835.7153999992</v>
      </c>
      <c r="N57" s="57">
        <f>IFERROR(M57/M$59,"")</f>
        <v>0.71979863154640966</v>
      </c>
      <c r="O57" s="27">
        <f t="shared" ref="O57:O58" si="80">IF(O$23=0,"",O29+I57)</f>
        <v>277814</v>
      </c>
      <c r="P57" s="9">
        <f>IFERROR(O57/O$59,"")</f>
        <v>1.1270984964663306</v>
      </c>
      <c r="Q57" s="5">
        <f t="shared" ref="Q57:Q58" si="81">IF(Q$23=0,"",Q29+K57)</f>
        <v>-537305</v>
      </c>
      <c r="R57" s="9">
        <f>IFERROR(Q57/Q$59,"")</f>
        <v>1.7613496671070272</v>
      </c>
      <c r="S57" s="5">
        <f t="shared" ref="S57:S58" si="82">S29</f>
        <v>8639802.7153999992</v>
      </c>
      <c r="T57" s="31">
        <f>IFERROR(S57/S$59,"")</f>
        <v>0.68561076580460711</v>
      </c>
      <c r="U57" s="54" t="str">
        <f t="shared" ref="U57:U58" si="83">IF(U$23=0,"",U29+O57)</f>
        <v/>
      </c>
      <c r="V57" s="55" t="str">
        <f>IFERROR(U57/U$59,"")</f>
        <v/>
      </c>
      <c r="W57" s="56" t="str">
        <f t="shared" ref="W57:W58" si="84">IF(W$23=0,"",W29+Q57)</f>
        <v/>
      </c>
      <c r="X57" s="55" t="str">
        <f>IFERROR(W57/W$59,"")</f>
        <v/>
      </c>
      <c r="Y57" s="56">
        <f t="shared" ref="Y57:Y58" si="85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75"/>
        <v>19200</v>
      </c>
      <c r="D58" s="16">
        <f t="shared" ref="D58:F59" si="86">IFERROR(C58/C$59,"")</f>
        <v>0.11637844816613023</v>
      </c>
      <c r="E58" s="6">
        <f t="shared" si="75"/>
        <v>70214</v>
      </c>
      <c r="F58" s="16">
        <f t="shared" si="86"/>
        <v>-0.98427161601435464</v>
      </c>
      <c r="G58" s="6">
        <f t="shared" si="76"/>
        <v>3707673</v>
      </c>
      <c r="H58" s="33">
        <f t="shared" ref="H58:H59" si="87">IFERROR(G58/G$59,"")</f>
        <v>0.28900150080845144</v>
      </c>
      <c r="I58" s="11">
        <f t="shared" si="77"/>
        <v>-95980</v>
      </c>
      <c r="J58" s="12">
        <f t="shared" ref="J58:L59" si="88">IFERROR(I58/I$59,"")</f>
        <v>-0.7542632612966601</v>
      </c>
      <c r="K58" s="13">
        <f t="shared" si="78"/>
        <v>100852</v>
      </c>
      <c r="L58" s="12">
        <f t="shared" si="88"/>
        <v>-0.38712401541555991</v>
      </c>
      <c r="M58" s="13">
        <f t="shared" si="79"/>
        <v>3638123</v>
      </c>
      <c r="N58" s="32">
        <f t="shared" ref="N58:N59" si="89">IFERROR(M58/M$59,"")</f>
        <v>0.28020136845359028</v>
      </c>
      <c r="O58" s="28">
        <f t="shared" si="80"/>
        <v>-31328</v>
      </c>
      <c r="P58" s="16">
        <f t="shared" ref="P58:P59" si="90">IFERROR(O58/O$59,"")</f>
        <v>-0.12709849646633076</v>
      </c>
      <c r="Q58" s="6">
        <f t="shared" si="81"/>
        <v>232252</v>
      </c>
      <c r="R58" s="16">
        <f t="shared" ref="R58:R59" si="91">IFERROR(Q58/Q$59,"")</f>
        <v>-0.76134966710702734</v>
      </c>
      <c r="S58" s="6">
        <f t="shared" si="82"/>
        <v>3961812</v>
      </c>
      <c r="T58" s="33">
        <f t="shared" ref="T58:T59" si="92">IFERROR(S58/S$59,"")</f>
        <v>0.31438923419539294</v>
      </c>
      <c r="U58" s="11" t="str">
        <f t="shared" si="83"/>
        <v/>
      </c>
      <c r="V58" s="12" t="str">
        <f t="shared" ref="V58:V59" si="93">IFERROR(U58/U$59,"")</f>
        <v/>
      </c>
      <c r="W58" s="13" t="str">
        <f t="shared" si="84"/>
        <v/>
      </c>
      <c r="X58" s="12" t="str">
        <f t="shared" ref="X58:X59" si="94">IFERROR(W58/W$59,"")</f>
        <v/>
      </c>
      <c r="Y58" s="13">
        <f t="shared" si="85"/>
        <v>0</v>
      </c>
      <c r="Z58" s="32" t="str">
        <f t="shared" ref="Z58:Z59" si="95">IFERROR(Y58/Y$59,"")</f>
        <v/>
      </c>
      <c r="AA58" s="7"/>
    </row>
    <row r="59" spans="1:27">
      <c r="A59" s="41"/>
      <c r="B59" s="17" t="s">
        <v>27</v>
      </c>
      <c r="C59" s="29">
        <f>SUM(C57:C58)</f>
        <v>164979</v>
      </c>
      <c r="D59" s="19">
        <f t="shared" si="86"/>
        <v>1</v>
      </c>
      <c r="E59" s="23">
        <f>SUM(E57:E58)</f>
        <v>-71336</v>
      </c>
      <c r="F59" s="19">
        <f t="shared" si="86"/>
        <v>1</v>
      </c>
      <c r="G59" s="23">
        <f>SUM(G57:G58)</f>
        <v>12829251.715399999</v>
      </c>
      <c r="H59" s="34">
        <f t="shared" si="87"/>
        <v>1</v>
      </c>
      <c r="I59" s="20">
        <f>SUM(I57:I58)</f>
        <v>127250</v>
      </c>
      <c r="J59" s="21">
        <f t="shared" si="88"/>
        <v>1</v>
      </c>
      <c r="K59" s="22">
        <f>SUM(K57:K58)</f>
        <v>-260516</v>
      </c>
      <c r="L59" s="21">
        <f t="shared" si="88"/>
        <v>1</v>
      </c>
      <c r="M59" s="22">
        <f>SUM(M57:M58)</f>
        <v>12983958.715399999</v>
      </c>
      <c r="N59" s="35">
        <f t="shared" si="89"/>
        <v>1</v>
      </c>
      <c r="O59" s="29">
        <f>SUM(O57:O58)</f>
        <v>246486</v>
      </c>
      <c r="P59" s="19">
        <f t="shared" si="90"/>
        <v>1</v>
      </c>
      <c r="Q59" s="23">
        <f>SUM(Q57:Q58)</f>
        <v>-305053</v>
      </c>
      <c r="R59" s="19">
        <f t="shared" si="91"/>
        <v>1</v>
      </c>
      <c r="S59" s="23">
        <f>SUM(S57:S58)</f>
        <v>12601614.715399999</v>
      </c>
      <c r="T59" s="34">
        <f t="shared" si="92"/>
        <v>1</v>
      </c>
      <c r="U59" s="20">
        <f>SUM(U57:U58)</f>
        <v>0</v>
      </c>
      <c r="V59" s="21" t="str">
        <f t="shared" si="93"/>
        <v/>
      </c>
      <c r="W59" s="22">
        <f>SUM(W57:W58)</f>
        <v>0</v>
      </c>
      <c r="X59" s="21" t="str">
        <f t="shared" si="94"/>
        <v/>
      </c>
      <c r="Y59" s="22">
        <f>SUM(Y57:Y58)</f>
        <v>0</v>
      </c>
      <c r="Z59" s="35" t="str">
        <f t="shared" si="95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topLeftCell="A19" workbookViewId="0">
      <selection activeCell="O15" sqref="O15"/>
    </sheetView>
  </sheetViews>
  <sheetFormatPr defaultColWidth="9" defaultRowHeight="14.25" zeroHeight="1"/>
  <cols>
    <col min="1" max="1" width="5.5" style="42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47"/>
      <c r="B1" s="48" t="s">
        <v>0</v>
      </c>
      <c r="C1" s="49"/>
      <c r="D1" s="50"/>
      <c r="E1" s="50"/>
      <c r="F1" s="50"/>
      <c r="G1" s="51"/>
      <c r="H1" s="51"/>
      <c r="I1" s="5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47"/>
      <c r="B2" s="48" t="str">
        <f>הנחיות!B21</f>
        <v>כלל ביטוח נוסטרו</v>
      </c>
      <c r="C2" s="50"/>
      <c r="D2" s="50"/>
      <c r="E2" s="50"/>
      <c r="F2" s="50"/>
      <c r="G2" s="51"/>
      <c r="H2" s="51"/>
      <c r="I2" s="5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47"/>
      <c r="B3" s="48" t="s">
        <v>38</v>
      </c>
      <c r="C3" s="52"/>
      <c r="D3" s="50"/>
      <c r="E3" s="50"/>
      <c r="F3" s="50"/>
      <c r="G3" s="51"/>
      <c r="H3" s="51"/>
      <c r="I3" s="51"/>
      <c r="J3" s="7"/>
      <c r="K3" s="7"/>
      <c r="M3" s="7"/>
      <c r="N3" s="7"/>
      <c r="O3" s="7"/>
      <c r="P3" s="7"/>
      <c r="Q3" s="7"/>
      <c r="R3" s="7"/>
      <c r="S3" s="36"/>
      <c r="T3" s="7"/>
      <c r="U3" s="7"/>
      <c r="V3" s="7"/>
      <c r="W3" s="7"/>
      <c r="X3" s="7"/>
      <c r="Y3" s="7"/>
      <c r="Z3" s="7"/>
      <c r="AA3" s="7"/>
    </row>
    <row r="4" spans="1:27">
      <c r="A4" s="4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74" customFormat="1" ht="15.75">
      <c r="A5" s="72"/>
      <c r="B5" s="79" t="s">
        <v>2</v>
      </c>
      <c r="C5" s="107" t="s">
        <v>3</v>
      </c>
      <c r="D5" s="105"/>
      <c r="E5" s="105"/>
      <c r="F5" s="105"/>
      <c r="G5" s="105"/>
      <c r="H5" s="106"/>
      <c r="I5" s="104" t="s">
        <v>4</v>
      </c>
      <c r="J5" s="105"/>
      <c r="K5" s="105"/>
      <c r="L5" s="105"/>
      <c r="M5" s="105"/>
      <c r="N5" s="106"/>
      <c r="O5" s="104" t="s">
        <v>5</v>
      </c>
      <c r="P5" s="105"/>
      <c r="Q5" s="105"/>
      <c r="R5" s="105"/>
      <c r="S5" s="105"/>
      <c r="T5" s="106"/>
      <c r="U5" s="104" t="s">
        <v>6</v>
      </c>
      <c r="V5" s="105"/>
      <c r="W5" s="105"/>
      <c r="X5" s="105"/>
      <c r="Y5" s="105"/>
      <c r="Z5" s="106"/>
      <c r="AA5" s="73"/>
    </row>
    <row r="6" spans="1:27" s="74" customFormat="1" ht="30" customHeight="1">
      <c r="A6" s="72"/>
      <c r="B6" s="102" t="str">
        <f>CONCATENATE("20",RIGHT(הנחיות!B20,2))</f>
        <v>2022</v>
      </c>
      <c r="C6" s="108" t="s">
        <v>7</v>
      </c>
      <c r="D6" s="99"/>
      <c r="E6" s="99" t="s">
        <v>8</v>
      </c>
      <c r="F6" s="99"/>
      <c r="G6" s="99" t="s">
        <v>9</v>
      </c>
      <c r="H6" s="100"/>
      <c r="I6" s="101" t="s">
        <v>7</v>
      </c>
      <c r="J6" s="99"/>
      <c r="K6" s="99" t="s">
        <v>8</v>
      </c>
      <c r="L6" s="99"/>
      <c r="M6" s="99" t="s">
        <v>9</v>
      </c>
      <c r="N6" s="100"/>
      <c r="O6" s="101" t="s">
        <v>7</v>
      </c>
      <c r="P6" s="99"/>
      <c r="Q6" s="99" t="s">
        <v>8</v>
      </c>
      <c r="R6" s="99"/>
      <c r="S6" s="99" t="s">
        <v>9</v>
      </c>
      <c r="T6" s="100"/>
      <c r="U6" s="101" t="s">
        <v>7</v>
      </c>
      <c r="V6" s="99"/>
      <c r="W6" s="99" t="s">
        <v>8</v>
      </c>
      <c r="X6" s="99"/>
      <c r="Y6" s="99" t="s">
        <v>9</v>
      </c>
      <c r="Z6" s="100"/>
      <c r="AA6" s="73"/>
    </row>
    <row r="7" spans="1:27" s="74" customFormat="1" ht="13.9" customHeight="1">
      <c r="A7" s="72"/>
      <c r="B7" s="103"/>
      <c r="C7" s="75" t="s">
        <v>10</v>
      </c>
      <c r="D7" s="76" t="s">
        <v>11</v>
      </c>
      <c r="E7" s="76" t="s">
        <v>10</v>
      </c>
      <c r="F7" s="76" t="s">
        <v>11</v>
      </c>
      <c r="G7" s="76" t="s">
        <v>10</v>
      </c>
      <c r="H7" s="77" t="s">
        <v>11</v>
      </c>
      <c r="I7" s="78" t="s">
        <v>10</v>
      </c>
      <c r="J7" s="76" t="s">
        <v>11</v>
      </c>
      <c r="K7" s="76" t="s">
        <v>10</v>
      </c>
      <c r="L7" s="76" t="s">
        <v>11</v>
      </c>
      <c r="M7" s="76" t="s">
        <v>10</v>
      </c>
      <c r="N7" s="77" t="s">
        <v>11</v>
      </c>
      <c r="O7" s="78" t="s">
        <v>10</v>
      </c>
      <c r="P7" s="76" t="s">
        <v>11</v>
      </c>
      <c r="Q7" s="76" t="s">
        <v>10</v>
      </c>
      <c r="R7" s="76" t="s">
        <v>11</v>
      </c>
      <c r="S7" s="76" t="s">
        <v>10</v>
      </c>
      <c r="T7" s="77" t="s">
        <v>11</v>
      </c>
      <c r="U7" s="78" t="s">
        <v>10</v>
      </c>
      <c r="V7" s="76" t="s">
        <v>11</v>
      </c>
      <c r="W7" s="76" t="s">
        <v>10</v>
      </c>
      <c r="X7" s="76" t="s">
        <v>11</v>
      </c>
      <c r="Y7" s="76" t="s">
        <v>10</v>
      </c>
      <c r="Z7" s="77" t="s">
        <v>11</v>
      </c>
      <c r="AA7" s="73"/>
    </row>
    <row r="8" spans="1:27">
      <c r="A8" s="43"/>
      <c r="B8" s="10" t="s">
        <v>12</v>
      </c>
      <c r="C8" s="30">
        <f>'נוסטרו חיים'!C8+'כללי והון'!C8</f>
        <v>3596</v>
      </c>
      <c r="D8" s="9">
        <f>IFERROR(C8/C$23,"")</f>
        <v>5.9127815394936318E-3</v>
      </c>
      <c r="E8" s="5">
        <f>'נוסטרו חיים'!E8+'כללי והון'!E8</f>
        <v>3596</v>
      </c>
      <c r="F8" s="9">
        <f>IFERROR(E8/E$23,"")</f>
        <v>1.0058544308223335E-2</v>
      </c>
      <c r="G8" s="5">
        <f>'נוסטרו חיים'!G8+'כללי והון'!G8</f>
        <v>3395290</v>
      </c>
      <c r="H8" s="9">
        <f>IFERROR(G8/G$23,"")</f>
        <v>9.3574615978599673E-2</v>
      </c>
      <c r="I8" s="11">
        <f>'נוסטרו חיים'!I8+'כללי והון'!I8</f>
        <v>40095</v>
      </c>
      <c r="J8" s="12">
        <f>IFERROR(I8/I$23,"")</f>
        <v>0.10352226135272187</v>
      </c>
      <c r="K8" s="13">
        <f>'נוסטרו חיים'!K8+'כללי והון'!K8</f>
        <v>40095</v>
      </c>
      <c r="L8" s="12">
        <f>IFERROR(K8/K$23,"")</f>
        <v>0.13314139985256321</v>
      </c>
      <c r="M8" s="13">
        <f>'נוסטרו חיים'!M8+'כללי והון'!M8</f>
        <v>3833463</v>
      </c>
      <c r="N8" s="12">
        <f>IFERROR(M8/M$23,"")</f>
        <v>0.10500501719828133</v>
      </c>
      <c r="O8" s="14">
        <f>'נוסטרו חיים'!O8+'כללי והון'!O8</f>
        <v>10067</v>
      </c>
      <c r="P8" s="9">
        <f>IFERROR(O8/O$23,"")</f>
        <v>1.912340456249062E-2</v>
      </c>
      <c r="Q8" s="6">
        <f>'נוסטרו חיים'!Q8+'כללי והון'!Q8</f>
        <v>10067</v>
      </c>
      <c r="R8" s="9">
        <f>IFERROR(Q8/Q$23,"")</f>
        <v>2.6412935962995127E-2</v>
      </c>
      <c r="S8" s="6">
        <f>'נוסטרו חיים'!S8+'כללי והון'!S8</f>
        <v>3407327</v>
      </c>
      <c r="T8" s="9">
        <f>IFERROR(S8/S$23,"")</f>
        <v>9.3516410664787913E-2</v>
      </c>
      <c r="U8" s="11">
        <f>'נוסטרו חיים'!U8+'כללי והון'!U8</f>
        <v>0</v>
      </c>
      <c r="V8" s="12" t="str">
        <f>IFERROR(U8/U$23,"")</f>
        <v/>
      </c>
      <c r="W8" s="13">
        <f>'נוסטרו חיים'!W8+'כללי והון'!W8</f>
        <v>0</v>
      </c>
      <c r="X8" s="12" t="str">
        <f>IFERROR(W8/W$23,"")</f>
        <v/>
      </c>
      <c r="Y8" s="13">
        <f>'נוסטרו חיים'!Y8+'כללי והון'!Y8</f>
        <v>0</v>
      </c>
      <c r="Z8" s="12" t="str">
        <f>IFERROR(Y8/Y$23,"")</f>
        <v/>
      </c>
      <c r="AA8" s="7"/>
    </row>
    <row r="9" spans="1:27">
      <c r="A9" s="43"/>
      <c r="B9" s="15" t="s">
        <v>13</v>
      </c>
      <c r="C9" s="14">
        <f>'נוסטרו חיים'!C9+'כללי והון'!C9</f>
        <v>21319</v>
      </c>
      <c r="D9" s="16">
        <f t="shared" ref="D9:F23" si="0">IFERROR(C9/C$23,"")</f>
        <v>3.505411280324381E-2</v>
      </c>
      <c r="E9" s="6">
        <f>'נוסטרו חיים'!E9+'כללי והון'!E9</f>
        <v>-89583</v>
      </c>
      <c r="F9" s="16">
        <f t="shared" si="0"/>
        <v>-0.25057691178074837</v>
      </c>
      <c r="G9" s="6">
        <f>'נוסטרו חיים'!G9+'כללי והון'!G9</f>
        <v>2438826</v>
      </c>
      <c r="H9" s="16">
        <f t="shared" ref="H9:H23" si="1">IFERROR(G9/G$23,"")</f>
        <v>6.7214348815159919E-2</v>
      </c>
      <c r="I9" s="11">
        <f>'נוסטרו חיים'!I9+'כללי והון'!I9</f>
        <v>47356</v>
      </c>
      <c r="J9" s="12">
        <f t="shared" ref="J9" si="2">IFERROR(I9/I$23,"")</f>
        <v>0.12226961488014707</v>
      </c>
      <c r="K9" s="13">
        <f>'נוסטרו חיים'!K9+'כללי והון'!K9</f>
        <v>-48587</v>
      </c>
      <c r="L9" s="12">
        <f t="shared" ref="L9" si="3">IFERROR(K9/K$23,"")</f>
        <v>-0.16134034654287288</v>
      </c>
      <c r="M9" s="13">
        <f>'נוסטרו חיים'!M9+'כללי והון'!M9</f>
        <v>3187375</v>
      </c>
      <c r="N9" s="12">
        <f t="shared" ref="N9:N23" si="4">IFERROR(M9/M$23,"")</f>
        <v>8.7307577167791084E-2</v>
      </c>
      <c r="O9" s="14">
        <f>'נוסטרו חיים'!O9+'כללי והון'!O9</f>
        <v>35736</v>
      </c>
      <c r="P9" s="16">
        <f t="shared" ref="P9" si="5">IFERROR(O9/O$23,"")</f>
        <v>6.7884571912701377E-2</v>
      </c>
      <c r="Q9" s="6">
        <f>'נוסטרו חיים'!Q9+'כללי והון'!Q9</f>
        <v>-83123</v>
      </c>
      <c r="R9" s="16">
        <f t="shared" ref="R9" si="6">IFERROR(Q9/Q$23,"")</f>
        <v>-0.21809103765292978</v>
      </c>
      <c r="S9" s="6">
        <f>'נוסטרו חיים'!S9+'כללי והון'!S9</f>
        <v>3011005</v>
      </c>
      <c r="T9" s="16">
        <f t="shared" ref="T9:T23" si="7">IFERROR(S9/S$23,"")</f>
        <v>8.2639083391095061E-2</v>
      </c>
      <c r="U9" s="11">
        <f>'נוסטרו חיים'!U9+'כללי והון'!U9</f>
        <v>0</v>
      </c>
      <c r="V9" s="12" t="str">
        <f t="shared" ref="V9" si="8">IFERROR(U9/U$23,"")</f>
        <v/>
      </c>
      <c r="W9" s="13">
        <f>'נוסטרו חיים'!W9+'כללי והון'!W9</f>
        <v>0</v>
      </c>
      <c r="X9" s="12" t="str">
        <f t="shared" ref="X9" si="9">IFERROR(W9/W$23,"")</f>
        <v/>
      </c>
      <c r="Y9" s="13">
        <f>'נוסטרו חיים'!Y9+'כללי והון'!Y9</f>
        <v>0</v>
      </c>
      <c r="Z9" s="12" t="str">
        <f t="shared" ref="Z9:Z23" si="10">IFERROR(Y9/Y$23,"")</f>
        <v/>
      </c>
      <c r="AA9" s="7"/>
    </row>
    <row r="10" spans="1:27">
      <c r="A10" s="43"/>
      <c r="B10" s="15" t="s">
        <v>14</v>
      </c>
      <c r="C10" s="14">
        <f>'נוסטרו חיים'!C10+'כללי והון'!C10</f>
        <v>333836</v>
      </c>
      <c r="D10" s="16">
        <f t="shared" si="0"/>
        <v>0.54891527753570524</v>
      </c>
      <c r="E10" s="6">
        <f>'נוסטרו חיים'!E10+'כללי והון'!E10</f>
        <v>333836</v>
      </c>
      <c r="F10" s="16">
        <f t="shared" si="0"/>
        <v>0.93378870903227074</v>
      </c>
      <c r="G10" s="6">
        <f>'נוסטרו חיים'!G10+'כללי והון'!G10</f>
        <v>14032048</v>
      </c>
      <c r="H10" s="16">
        <f t="shared" si="1"/>
        <v>0.38672499344482431</v>
      </c>
      <c r="I10" s="11">
        <f>'נוסטרו חיים'!I10+'כללי והון'!I10</f>
        <v>444623</v>
      </c>
      <c r="J10" s="12">
        <f t="shared" ref="J10" si="11">IFERROR(I10/I$23,"")</f>
        <v>1.1479830006093341</v>
      </c>
      <c r="K10" s="13">
        <f>'נוסטרו חיים'!K10+'כללי והון'!K10</f>
        <v>444623</v>
      </c>
      <c r="L10" s="12">
        <f t="shared" ref="L10" si="12">IFERROR(K10/K$23,"")</f>
        <v>1.4764366785545882</v>
      </c>
      <c r="M10" s="13">
        <f>'נוסטרו חיים'!M10+'כללי והון'!M10</f>
        <v>13965497</v>
      </c>
      <c r="N10" s="12">
        <f t="shared" si="4"/>
        <v>0.38253851743646572</v>
      </c>
      <c r="O10" s="14">
        <f>'נוסטרו חיים'!O10+'כללי והון'!O10</f>
        <v>343868</v>
      </c>
      <c r="P10" s="16">
        <f t="shared" ref="P10" si="13">IFERROR(O10/O$23,"")</f>
        <v>0.65321613987230798</v>
      </c>
      <c r="Q10" s="6">
        <f>'נוסטרו חיים'!Q10+'כללי והון'!Q10</f>
        <v>343868</v>
      </c>
      <c r="R10" s="16">
        <f t="shared" ref="R10" si="14">IFERROR(Q10/Q$23,"")</f>
        <v>0.90221152912716884</v>
      </c>
      <c r="S10" s="6">
        <f>'נוסטרו חיים'!S10+'כללי והון'!S10</f>
        <v>14305070</v>
      </c>
      <c r="T10" s="16">
        <f t="shared" si="7"/>
        <v>0.39261239109382157</v>
      </c>
      <c r="U10" s="11">
        <f>'נוסטרו חיים'!U10+'כללי והון'!U10</f>
        <v>0</v>
      </c>
      <c r="V10" s="12" t="str">
        <f t="shared" ref="V10" si="15">IFERROR(U10/U$23,"")</f>
        <v/>
      </c>
      <c r="W10" s="13">
        <f>'נוסטרו חיים'!W10+'כללי והון'!W10</f>
        <v>0</v>
      </c>
      <c r="X10" s="12" t="str">
        <f t="shared" ref="X10" si="16">IFERROR(W10/W$23,"")</f>
        <v/>
      </c>
      <c r="Y10" s="13">
        <f>'נוסטרו חיים'!Y10+'כללי והון'!Y10</f>
        <v>0</v>
      </c>
      <c r="Z10" s="12" t="str">
        <f t="shared" si="10"/>
        <v/>
      </c>
      <c r="AA10" s="7"/>
    </row>
    <row r="11" spans="1:27">
      <c r="A11" s="43"/>
      <c r="B11" s="15" t="s">
        <v>15</v>
      </c>
      <c r="C11" s="14">
        <f>'נוסטרו חיים'!C11+'כללי והון'!C11</f>
        <v>53477</v>
      </c>
      <c r="D11" s="16">
        <f t="shared" si="0"/>
        <v>8.7930427805200481E-2</v>
      </c>
      <c r="E11" s="6">
        <f>'נוסטרו חיים'!E11+'כללי והון'!E11</f>
        <v>-99484</v>
      </c>
      <c r="F11" s="16">
        <f t="shared" si="0"/>
        <v>-0.27827147440469696</v>
      </c>
      <c r="G11" s="6">
        <f>'נוסטרו חיים'!G11+'כללי והון'!G11</f>
        <v>2433315</v>
      </c>
      <c r="H11" s="16">
        <f t="shared" si="1"/>
        <v>6.7062464967636418E-2</v>
      </c>
      <c r="I11" s="11">
        <f>'נוסטרו חיים'!I11+'כללי והון'!I11</f>
        <v>8272</v>
      </c>
      <c r="J11" s="12">
        <f t="shared" ref="J11" si="17">IFERROR(I11/I$23,"")</f>
        <v>2.1357679159738501E-2</v>
      </c>
      <c r="K11" s="13">
        <f>'נוסטרו חיים'!K11+'כללי והון'!K11</f>
        <v>-72390</v>
      </c>
      <c r="L11" s="12">
        <f t="shared" ref="L11" si="18">IFERROR(K11/K$23,"")</f>
        <v>-0.24038174174652827</v>
      </c>
      <c r="M11" s="13">
        <f>'נוסטרו חיים'!M11+'כללי והון'!M11</f>
        <v>2236872</v>
      </c>
      <c r="N11" s="12">
        <f t="shared" si="4"/>
        <v>6.127169685225968E-2</v>
      </c>
      <c r="O11" s="14">
        <f>'נוסטרו חיים'!O11+'כללי והון'!O11</f>
        <v>23286</v>
      </c>
      <c r="P11" s="16">
        <f t="shared" ref="P11" si="19">IFERROR(O11/O$23,"")</f>
        <v>4.4234389454868045E-2</v>
      </c>
      <c r="Q11" s="6">
        <f>'נוסטרו חיים'!Q11+'כללי והון'!Q11</f>
        <v>-57107</v>
      </c>
      <c r="R11" s="16">
        <f t="shared" ref="R11" si="20">IFERROR(Q11/Q$23,"")</f>
        <v>-0.14983247581590969</v>
      </c>
      <c r="S11" s="6">
        <f>'נוסטרו חיים'!S11+'כללי והון'!S11</f>
        <v>2485153</v>
      </c>
      <c r="T11" s="16">
        <f t="shared" si="7"/>
        <v>6.8206717028576849E-2</v>
      </c>
      <c r="U11" s="11">
        <f>'נוסטרו חיים'!U11+'כללי והון'!U11</f>
        <v>0</v>
      </c>
      <c r="V11" s="12" t="str">
        <f t="shared" ref="V11" si="21">IFERROR(U11/U$23,"")</f>
        <v/>
      </c>
      <c r="W11" s="13">
        <f>'נוסטרו חיים'!W11+'כללי והון'!W11</f>
        <v>0</v>
      </c>
      <c r="X11" s="12" t="str">
        <f t="shared" ref="X11" si="22">IFERROR(W11/W$23,"")</f>
        <v/>
      </c>
      <c r="Y11" s="13">
        <f>'נוסטרו חיים'!Y11+'כללי והון'!Y11</f>
        <v>0</v>
      </c>
      <c r="Z11" s="12" t="str">
        <f t="shared" si="10"/>
        <v/>
      </c>
      <c r="AA11" s="7"/>
    </row>
    <row r="12" spans="1:27">
      <c r="A12" s="44"/>
      <c r="B12" s="15" t="s">
        <v>16</v>
      </c>
      <c r="C12" s="14">
        <f>'נוסטרו חיים'!C12+'כללי והון'!C12</f>
        <v>10931</v>
      </c>
      <c r="D12" s="16">
        <f t="shared" si="0"/>
        <v>1.7973474696386233E-2</v>
      </c>
      <c r="E12" s="6">
        <f>'נוסטרו חיים'!E12+'כללי והון'!E12</f>
        <v>10931</v>
      </c>
      <c r="F12" s="16">
        <f t="shared" si="0"/>
        <v>3.0575625092655528E-2</v>
      </c>
      <c r="G12" s="6">
        <f>'נוסטרו חיים'!G12+'כללי והון'!G12</f>
        <v>385235</v>
      </c>
      <c r="H12" s="16">
        <f t="shared" si="1"/>
        <v>1.0617124659901171E-2</v>
      </c>
      <c r="I12" s="11">
        <f>'נוסטרו חיים'!I12+'כללי והון'!I12</f>
        <v>14686</v>
      </c>
      <c r="J12" s="12">
        <f t="shared" ref="J12" si="23">IFERROR(I12/I$23,"")</f>
        <v>3.7918142666818137E-2</v>
      </c>
      <c r="K12" s="13">
        <f>'נוסטרו חיים'!K12+'כללי והון'!K12</f>
        <v>14686</v>
      </c>
      <c r="L12" s="12">
        <f t="shared" ref="L12" si="24">IFERROR(K12/K$23,"")</f>
        <v>4.8767043228201606E-2</v>
      </c>
      <c r="M12" s="13">
        <f>'נוסטרו חיים'!M12+'כללי והון'!M12</f>
        <v>355720</v>
      </c>
      <c r="N12" s="12">
        <f t="shared" si="4"/>
        <v>9.7437707675208114E-3</v>
      </c>
      <c r="O12" s="14">
        <f>'נוסטרו חיים'!O12+'כללי והון'!O12</f>
        <v>8252</v>
      </c>
      <c r="P12" s="16">
        <f t="shared" ref="P12" si="25">IFERROR(O12/O$23,"")</f>
        <v>1.5675606878878773E-2</v>
      </c>
      <c r="Q12" s="6">
        <f>'נוסטרו חיים'!Q12+'כללי והון'!Q12</f>
        <v>8252</v>
      </c>
      <c r="R12" s="16">
        <f t="shared" ref="R12" si="26">IFERROR(Q12/Q$23,"")</f>
        <v>2.1650893768415197E-2</v>
      </c>
      <c r="S12" s="6">
        <f>'נוסטרו חיים'!S12+'כללי והון'!S12</f>
        <v>307900</v>
      </c>
      <c r="T12" s="16">
        <f t="shared" si="7"/>
        <v>8.4505252485858277E-3</v>
      </c>
      <c r="U12" s="11">
        <f>'נוסטרו חיים'!U12+'כללי והון'!U12</f>
        <v>0</v>
      </c>
      <c r="V12" s="12" t="str">
        <f t="shared" ref="V12" si="27">IFERROR(U12/U$23,"")</f>
        <v/>
      </c>
      <c r="W12" s="13">
        <f>'נוסטרו חיים'!W12+'כללי והון'!W12</f>
        <v>0</v>
      </c>
      <c r="X12" s="12" t="str">
        <f t="shared" ref="X12" si="28">IFERROR(W12/W$23,"")</f>
        <v/>
      </c>
      <c r="Y12" s="13">
        <f>'נוסטרו חיים'!Y12+'כללי והון'!Y12</f>
        <v>0</v>
      </c>
      <c r="Z12" s="12" t="str">
        <f t="shared" si="10"/>
        <v/>
      </c>
      <c r="AA12" s="7"/>
    </row>
    <row r="13" spans="1:27">
      <c r="A13" s="45"/>
      <c r="B13" s="15" t="s">
        <v>17</v>
      </c>
      <c r="C13" s="14">
        <f>'נוסטרו חיים'!C13+'כללי והון'!C13</f>
        <v>77760</v>
      </c>
      <c r="D13" s="16">
        <f t="shared" si="0"/>
        <v>0.12785814585957309</v>
      </c>
      <c r="E13" s="6">
        <f>'נוסטרו חיים'!E13+'כללי והון'!E13</f>
        <v>24239</v>
      </c>
      <c r="F13" s="16">
        <f t="shared" si="0"/>
        <v>6.7800071047559904E-2</v>
      </c>
      <c r="G13" s="6">
        <f>'נוסטרו חיים'!G13+'כללי והון'!G13</f>
        <v>2095017</v>
      </c>
      <c r="H13" s="16">
        <f t="shared" si="1"/>
        <v>5.7738929883349568E-2</v>
      </c>
      <c r="I13" s="11">
        <f>'נוסטרו חיים'!I13+'כללי והון'!I13</f>
        <v>-14366</v>
      </c>
      <c r="J13" s="12">
        <f t="shared" ref="J13" si="29">IFERROR(I13/I$23,"")</f>
        <v>-3.7091926838588411E-2</v>
      </c>
      <c r="K13" s="13">
        <f>'נוסטרו חיים'!K13+'כללי והון'!K13</f>
        <v>-139316</v>
      </c>
      <c r="L13" s="12">
        <f t="shared" ref="L13" si="30">IFERROR(K13/K$23,"")</f>
        <v>-0.46261946032821288</v>
      </c>
      <c r="M13" s="13">
        <f>'נוסטרו חיים'!M13+'כללי והון'!M13</f>
        <v>1909752</v>
      </c>
      <c r="N13" s="12">
        <f t="shared" si="4"/>
        <v>5.2311328322316442E-2</v>
      </c>
      <c r="O13" s="14">
        <f>'נוסטרו חיים'!O13+'כללי והון'!O13</f>
        <v>42411</v>
      </c>
      <c r="P13" s="16">
        <f t="shared" ref="P13" si="31">IFERROR(O13/O$23,"")</f>
        <v>8.0564489013587925E-2</v>
      </c>
      <c r="Q13" s="6">
        <f>'נוסטרו חיים'!Q13+'כללי והון'!Q13</f>
        <v>68868</v>
      </c>
      <c r="R13" s="16">
        <f t="shared" ref="R13" si="32">IFERROR(Q13/Q$23,"")</f>
        <v>0.18068998449384607</v>
      </c>
      <c r="S13" s="6">
        <f>'נוסטרו חיים'!S13+'כללי והון'!S13</f>
        <v>1899420</v>
      </c>
      <c r="T13" s="16">
        <f t="shared" si="7"/>
        <v>5.2130875828739501E-2</v>
      </c>
      <c r="U13" s="11">
        <f>'נוסטרו חיים'!U13+'כללי והון'!U13</f>
        <v>0</v>
      </c>
      <c r="V13" s="12" t="str">
        <f t="shared" ref="V13" si="33">IFERROR(U13/U$23,"")</f>
        <v/>
      </c>
      <c r="W13" s="13">
        <f>'נוסטרו חיים'!W13+'כללי והון'!W13</f>
        <v>0</v>
      </c>
      <c r="X13" s="12" t="str">
        <f t="shared" ref="X13" si="34">IFERROR(W13/W$23,"")</f>
        <v/>
      </c>
      <c r="Y13" s="13">
        <f>'נוסטרו חיים'!Y13+'כללי והון'!Y13</f>
        <v>0</v>
      </c>
      <c r="Z13" s="12" t="str">
        <f t="shared" si="10"/>
        <v/>
      </c>
      <c r="AA13" s="7"/>
    </row>
    <row r="14" spans="1:27">
      <c r="A14" s="43"/>
      <c r="B14" s="15" t="s">
        <v>18</v>
      </c>
      <c r="C14" s="14">
        <f>'נוסטרו חיים'!C14+'כללי והון'!C14</f>
        <v>-6392</v>
      </c>
      <c r="D14" s="16">
        <f t="shared" si="0"/>
        <v>-1.0510150055740627E-2</v>
      </c>
      <c r="E14" s="6">
        <f>'נוסטרו חיים'!E14+'כללי והון'!E14</f>
        <v>-30187</v>
      </c>
      <c r="F14" s="16">
        <f t="shared" si="0"/>
        <v>-8.4437507517335322E-2</v>
      </c>
      <c r="G14" s="6">
        <f>'נוסטרו חיים'!G14+'כללי והון'!G14</f>
        <v>595733</v>
      </c>
      <c r="H14" s="16">
        <f t="shared" si="1"/>
        <v>1.6418475800529297E-2</v>
      </c>
      <c r="I14" s="11">
        <f>'נוסטרו חיים'!I14+'כללי והון'!I14</f>
        <v>-1823</v>
      </c>
      <c r="J14" s="12">
        <f t="shared" ref="J14" si="35">IFERROR(I14/I$23,"")</f>
        <v>-4.7068482964462395E-3</v>
      </c>
      <c r="K14" s="13">
        <f>'נוסטרו חיים'!K14+'כללי והון'!K14</f>
        <v>-38802</v>
      </c>
      <c r="L14" s="12">
        <f t="shared" ref="L14" si="36">IFERROR(K14/K$23,"")</f>
        <v>-0.12884780139865712</v>
      </c>
      <c r="M14" s="13">
        <f>'נוסטרו חיים'!M14+'כללי והון'!M14</f>
        <v>498270</v>
      </c>
      <c r="N14" s="12">
        <f t="shared" si="4"/>
        <v>1.3648455696425825E-2</v>
      </c>
      <c r="O14" s="14">
        <f>'נוסטרו חיים'!O14+'כללי והון'!O14</f>
        <v>-67987</v>
      </c>
      <c r="P14" s="16">
        <f t="shared" ref="P14" si="37">IFERROR(O14/O$23,"")</f>
        <v>-0.12914899235025826</v>
      </c>
      <c r="Q14" s="6">
        <f>'נוסטרו חיים'!Q14+'כללי והון'!Q14</f>
        <v>-21613</v>
      </c>
      <c r="R14" s="16">
        <f t="shared" ref="R14" si="38">IFERROR(Q14/Q$23,"")</f>
        <v>-5.6706345978763652E-2</v>
      </c>
      <c r="S14" s="6">
        <f>'נוסטרו חיים'!S14+'כללי והון'!S14</f>
        <v>419979</v>
      </c>
      <c r="T14" s="16">
        <f t="shared" si="7"/>
        <v>1.1526609754387226E-2</v>
      </c>
      <c r="U14" s="11">
        <f>'נוסטרו חיים'!U14+'כללי והון'!U14</f>
        <v>0</v>
      </c>
      <c r="V14" s="12" t="str">
        <f t="shared" ref="V14" si="39">IFERROR(U14/U$23,"")</f>
        <v/>
      </c>
      <c r="W14" s="13">
        <f>'נוסטרו חיים'!W14+'כללי והון'!W14</f>
        <v>0</v>
      </c>
      <c r="X14" s="12" t="str">
        <f t="shared" ref="X14" si="40">IFERROR(W14/W$23,"")</f>
        <v/>
      </c>
      <c r="Y14" s="13">
        <f>'נוסטרו חיים'!Y14+'כללי והון'!Y14</f>
        <v>0</v>
      </c>
      <c r="Z14" s="12" t="str">
        <f t="shared" si="10"/>
        <v/>
      </c>
      <c r="AA14" s="7"/>
    </row>
    <row r="15" spans="1:27">
      <c r="A15" s="45"/>
      <c r="B15" s="15" t="s">
        <v>19</v>
      </c>
      <c r="C15" s="14">
        <f>'נוסטרו חיים'!C15+'כללי והון'!C15</f>
        <v>13106</v>
      </c>
      <c r="D15" s="16">
        <f t="shared" si="0"/>
        <v>2.1549753853338027E-2</v>
      </c>
      <c r="E15" s="6">
        <f>'נוסטרו חיים'!E15+'כללי והון'!E15</f>
        <v>13106</v>
      </c>
      <c r="F15" s="16">
        <f t="shared" si="0"/>
        <v>3.6659422053274479E-2</v>
      </c>
      <c r="G15" s="6">
        <f>'נוסטרו חיים'!G15+'כללי והון'!G15</f>
        <v>467277</v>
      </c>
      <c r="H15" s="16">
        <f t="shared" si="1"/>
        <v>1.2878212415031447E-2</v>
      </c>
      <c r="I15" s="11">
        <f>'נוסטרו חיים'!I15+'כללי והון'!I15</f>
        <v>27070</v>
      </c>
      <c r="J15" s="12">
        <f t="shared" ref="J15" si="41">IFERROR(I15/I$23,"")</f>
        <v>6.9892695219308659E-2</v>
      </c>
      <c r="K15" s="13">
        <f>'נוסטרו חיים'!K15+'כללי והון'!K15</f>
        <v>27070</v>
      </c>
      <c r="L15" s="12">
        <f t="shared" ref="L15" si="42">IFERROR(K15/K$23,"")</f>
        <v>8.9889953710160522E-2</v>
      </c>
      <c r="M15" s="13">
        <f>'נוסטרו חיים'!M15+'כללי והון'!M15</f>
        <v>256819</v>
      </c>
      <c r="N15" s="12">
        <f t="shared" si="4"/>
        <v>7.0347055682669721E-3</v>
      </c>
      <c r="O15" s="14">
        <f>'נוסטרו חיים'!O15+'כללי והון'!O15</f>
        <v>-2925</v>
      </c>
      <c r="P15" s="16">
        <f t="shared" ref="P15" si="43">IFERROR(O15/O$23,"")</f>
        <v>-5.5563681678042183E-3</v>
      </c>
      <c r="Q15" s="6">
        <f>'נוסטרו חיים'!Q15+'כללי והון'!Q15</f>
        <v>-2925</v>
      </c>
      <c r="R15" s="16">
        <f t="shared" ref="R15" si="44">IFERROR(Q15/Q$23,"")</f>
        <v>-7.6743655201907965E-3</v>
      </c>
      <c r="S15" s="6">
        <f>'נוסטרו חיים'!S15+'כללי והון'!S15</f>
        <v>154716</v>
      </c>
      <c r="T15" s="16">
        <f t="shared" si="7"/>
        <v>4.2462860161097916E-3</v>
      </c>
      <c r="U15" s="11">
        <f>'נוסטרו חיים'!U15+'כללי והון'!U15</f>
        <v>0</v>
      </c>
      <c r="V15" s="12" t="str">
        <f t="shared" ref="V15" si="45">IFERROR(U15/U$23,"")</f>
        <v/>
      </c>
      <c r="W15" s="13">
        <f>'נוסטרו חיים'!W15+'כללי והון'!W15</f>
        <v>0</v>
      </c>
      <c r="X15" s="12" t="str">
        <f t="shared" ref="X15" si="46">IFERROR(W15/W$23,"")</f>
        <v/>
      </c>
      <c r="Y15" s="13">
        <f>'נוסטרו חיים'!Y15+'כללי והון'!Y15</f>
        <v>0</v>
      </c>
      <c r="Z15" s="12" t="str">
        <f t="shared" si="10"/>
        <v/>
      </c>
      <c r="AA15" s="7"/>
    </row>
    <row r="16" spans="1:27">
      <c r="A16" s="43"/>
      <c r="B16" s="15" t="s">
        <v>20</v>
      </c>
      <c r="C16" s="14">
        <f>'נוסטרו חיים'!C16+'כללי והון'!C16</f>
        <v>84266</v>
      </c>
      <c r="D16" s="16">
        <f t="shared" si="0"/>
        <v>0.13855574227112635</v>
      </c>
      <c r="E16" s="6">
        <f>'נוסטרו חיים'!E16+'כללי והון'!E16</f>
        <v>84266</v>
      </c>
      <c r="F16" s="16">
        <f t="shared" si="0"/>
        <v>0.23570447571655939</v>
      </c>
      <c r="G16" s="6">
        <f>'נוסטרו חיים'!G16+'כללי והון'!G16</f>
        <v>4982933</v>
      </c>
      <c r="H16" s="16">
        <f t="shared" si="1"/>
        <v>0.13733025512462604</v>
      </c>
      <c r="I16" s="11">
        <f>'נוסטרו חיים'!I16+'כללי והון'!I16</f>
        <v>131755</v>
      </c>
      <c r="J16" s="12">
        <f t="shared" ref="J16" si="47">IFERROR(I16/I$23,"")</f>
        <v>0.34018145765127494</v>
      </c>
      <c r="K16" s="13">
        <f>'נוסטרו חיים'!K16+'כללי והון'!K16</f>
        <v>131755</v>
      </c>
      <c r="L16" s="12">
        <f t="shared" ref="L16" si="48">IFERROR(K16/K$23,"")</f>
        <v>0.43751203735065386</v>
      </c>
      <c r="M16" s="13">
        <f>'נוסטרו חיים'!M16+'כללי והון'!M16</f>
        <v>5180901</v>
      </c>
      <c r="N16" s="12">
        <f t="shared" si="4"/>
        <v>0.14191361664573074</v>
      </c>
      <c r="O16" s="14">
        <f>'נוסטרו חיים'!O16+'כללי והון'!O16</f>
        <v>98559</v>
      </c>
      <c r="P16" s="16">
        <f t="shared" ref="P16" si="49">IFERROR(O16/O$23,"")</f>
        <v>0.18722396247884307</v>
      </c>
      <c r="Q16" s="6">
        <f>'נוסטרו חיים'!Q16+'כללי והון'!Q16</f>
        <v>98559</v>
      </c>
      <c r="R16" s="16">
        <f t="shared" ref="R16" si="50">IFERROR(Q16/Q$23,"")</f>
        <v>0.25859069788187511</v>
      </c>
      <c r="S16" s="6">
        <f>'נוסטרו חיים'!S16+'כללי והון'!S16</f>
        <v>5395054</v>
      </c>
      <c r="T16" s="16">
        <f t="shared" si="7"/>
        <v>0.1480709322652938</v>
      </c>
      <c r="U16" s="11">
        <f>'נוסטרו חיים'!U16+'כללי והון'!U16</f>
        <v>0</v>
      </c>
      <c r="V16" s="12" t="str">
        <f t="shared" ref="V16" si="51">IFERROR(U16/U$23,"")</f>
        <v/>
      </c>
      <c r="W16" s="13">
        <f>'נוסטרו חיים'!W16+'כללי והון'!W16</f>
        <v>0</v>
      </c>
      <c r="X16" s="12" t="str">
        <f t="shared" ref="X16" si="52">IFERROR(W16/W$23,"")</f>
        <v/>
      </c>
      <c r="Y16" s="13">
        <f>'נוסטרו חיים'!Y16+'כללי והון'!Y16</f>
        <v>0</v>
      </c>
      <c r="Z16" s="12" t="str">
        <f t="shared" si="10"/>
        <v/>
      </c>
      <c r="AA16" s="7"/>
    </row>
    <row r="17" spans="1:27">
      <c r="A17" s="43"/>
      <c r="B17" s="15" t="s">
        <v>21</v>
      </c>
      <c r="C17" s="14">
        <f>'נוסטרו חיים'!C17+'כללי והון'!C17</f>
        <v>9787</v>
      </c>
      <c r="D17" s="16">
        <f t="shared" si="0"/>
        <v>1.6092434073143543E-2</v>
      </c>
      <c r="E17" s="6">
        <f>'נוסטרו חיים'!E17+'כללי והון'!E17</f>
        <v>9787</v>
      </c>
      <c r="F17" s="16">
        <f t="shared" si="0"/>
        <v>2.7375687748771353E-2</v>
      </c>
      <c r="G17" s="6">
        <f>'נוסטרו חיים'!G17+'כללי והון'!G17</f>
        <v>836585</v>
      </c>
      <c r="H17" s="16">
        <f t="shared" si="1"/>
        <v>2.3056386967963506E-2</v>
      </c>
      <c r="I17" s="11">
        <f>'נוסטרו חיים'!I17+'כללי והון'!I17</f>
        <v>13363</v>
      </c>
      <c r="J17" s="12">
        <f t="shared" ref="J17" si="53">IFERROR(I17/I$23,"")</f>
        <v>3.4502256601980849E-2</v>
      </c>
      <c r="K17" s="13">
        <f>'נוסטרו חיים'!K17+'כללי והון'!K17</f>
        <v>13363</v>
      </c>
      <c r="L17" s="12">
        <f t="shared" ref="L17" si="54">IFERROR(K17/K$23,"")</f>
        <v>4.4373825320608608E-2</v>
      </c>
      <c r="M17" s="13">
        <f>'נוסטרו חיים'!M17+'כללי והון'!M17</f>
        <v>496529</v>
      </c>
      <c r="N17" s="12">
        <f t="shared" si="4"/>
        <v>1.3600766770005457E-2</v>
      </c>
      <c r="O17" s="14">
        <f>'נוסטרו חיים'!O17+'כללי והון'!O17</f>
        <v>9685</v>
      </c>
      <c r="P17" s="16">
        <f t="shared" ref="P17" si="55">IFERROR(O17/O$23,"")</f>
        <v>1.8397752377840634E-2</v>
      </c>
      <c r="Q17" s="6">
        <f>'נוסטרו חיים'!Q17+'כללי והון'!Q17</f>
        <v>9685</v>
      </c>
      <c r="R17" s="16">
        <f t="shared" ref="R17" si="56">IFERROR(Q17/Q$23,"")</f>
        <v>2.5410676944631748E-2</v>
      </c>
      <c r="S17" s="6">
        <f>'נוסטרו חיים'!S17+'כללי והון'!S17</f>
        <v>492527</v>
      </c>
      <c r="T17" s="16">
        <f t="shared" si="7"/>
        <v>1.3517739035759115E-2</v>
      </c>
      <c r="U17" s="11">
        <f>'נוסטרו חיים'!U17+'כללי והון'!U17</f>
        <v>0</v>
      </c>
      <c r="V17" s="12" t="str">
        <f t="shared" ref="V17" si="57">IFERROR(U17/U$23,"")</f>
        <v/>
      </c>
      <c r="W17" s="13">
        <f>'נוסטרו חיים'!W17+'כללי והון'!W17</f>
        <v>0</v>
      </c>
      <c r="X17" s="12" t="str">
        <f t="shared" ref="X17" si="58">IFERROR(W17/W$23,"")</f>
        <v/>
      </c>
      <c r="Y17" s="13">
        <f>'נוסטרו חיים'!Y17+'כללי והון'!Y17</f>
        <v>0</v>
      </c>
      <c r="Z17" s="12" t="str">
        <f t="shared" si="10"/>
        <v/>
      </c>
      <c r="AA17" s="7"/>
    </row>
    <row r="18" spans="1:27">
      <c r="A18" s="43"/>
      <c r="B18" s="15" t="s">
        <v>22</v>
      </c>
      <c r="C18" s="14">
        <f>'נוסטרו חיים'!C18+'כללי והון'!C18</f>
        <v>-39155</v>
      </c>
      <c r="D18" s="16">
        <f t="shared" si="0"/>
        <v>-6.4381246156527572E-2</v>
      </c>
      <c r="E18" s="6">
        <f>'נוסטרו חיים'!E18+'כללי והון'!E18</f>
        <v>-39155</v>
      </c>
      <c r="F18" s="16">
        <f t="shared" si="0"/>
        <v>-0.10952233103128051</v>
      </c>
      <c r="G18" s="6">
        <f>'נוסטרו חיים'!G18+'כללי והון'!G18</f>
        <v>148096</v>
      </c>
      <c r="H18" s="16">
        <f t="shared" si="1"/>
        <v>4.0815442356813992E-3</v>
      </c>
      <c r="I18" s="11">
        <f>'נוסטרו חיים'!I18+'כללי והון'!I18</f>
        <v>-369621</v>
      </c>
      <c r="J18" s="12">
        <f t="shared" ref="J18" si="59">IFERROR(I18/I$23,"")</f>
        <v>-0.95433350201906497</v>
      </c>
      <c r="K18" s="13">
        <f>'נוסטרו חיים'!K18+'כללי והון'!K18</f>
        <v>-369621</v>
      </c>
      <c r="L18" s="12">
        <f t="shared" ref="L18" si="60">IFERROR(K18/K$23,"")</f>
        <v>-1.2273814030403858</v>
      </c>
      <c r="M18" s="13">
        <f>'נוסטרו חיים'!M18+'כללי והון'!M18</f>
        <v>-342546</v>
      </c>
      <c r="N18" s="12">
        <f t="shared" si="4"/>
        <v>-9.3829126878758121E-3</v>
      </c>
      <c r="O18" s="14">
        <f>'נוסטרו חיים'!O18+'כללי והון'!O18</f>
        <v>-77934</v>
      </c>
      <c r="P18" s="16">
        <f t="shared" ref="P18" si="61">IFERROR(O18/O$23,"")</f>
        <v>-0.14804444334689024</v>
      </c>
      <c r="Q18" s="6">
        <f>'נוסטרו חיים'!Q18+'כללי והון'!Q18</f>
        <v>-77934</v>
      </c>
      <c r="R18" s="16">
        <f t="shared" ref="R18" si="62">IFERROR(Q18/Q$23,"")</f>
        <v>-0.20447658203437591</v>
      </c>
      <c r="S18" s="6">
        <f>'נוסטרו חיים'!S18+'כללי והון'!S18</f>
        <v>-394574</v>
      </c>
      <c r="T18" s="16">
        <f t="shared" si="7"/>
        <v>-1.0829352222914921E-2</v>
      </c>
      <c r="U18" s="11">
        <f>'נוסטרו חיים'!U18+'כללי והון'!U18</f>
        <v>0</v>
      </c>
      <c r="V18" s="12" t="str">
        <f t="shared" ref="V18" si="63">IFERROR(U18/U$23,"")</f>
        <v/>
      </c>
      <c r="W18" s="13">
        <f>'נוסטרו חיים'!W18+'כללי והון'!W18</f>
        <v>0</v>
      </c>
      <c r="X18" s="12" t="str">
        <f t="shared" ref="X18" si="64">IFERROR(W18/W$23,"")</f>
        <v/>
      </c>
      <c r="Y18" s="13">
        <f>'נוסטרו חיים'!Y18+'כללי והון'!Y18</f>
        <v>0</v>
      </c>
      <c r="Z18" s="12" t="str">
        <f t="shared" si="10"/>
        <v/>
      </c>
      <c r="AA18" s="7"/>
    </row>
    <row r="19" spans="1:27">
      <c r="A19" s="45"/>
      <c r="B19" s="15" t="s">
        <v>23</v>
      </c>
      <c r="C19" s="14">
        <f>'נוסטרו חיים'!C19+'כללי והון'!C19</f>
        <v>-3792</v>
      </c>
      <c r="D19" s="16">
        <f t="shared" si="0"/>
        <v>-6.2350577301890581E-3</v>
      </c>
      <c r="E19" s="6">
        <f>'נוסטרו חיים'!E19+'כללי והון'!E19</f>
        <v>-3325</v>
      </c>
      <c r="F19" s="16">
        <f t="shared" si="0"/>
        <v>-9.3005171926703531E-3</v>
      </c>
      <c r="G19" s="6">
        <f>'נוסטרו חיים'!G19+'כללי והון'!G19</f>
        <v>80069</v>
      </c>
      <c r="H19" s="16">
        <f t="shared" si="1"/>
        <v>2.2067116289891282E-3</v>
      </c>
      <c r="I19" s="11">
        <f>'נוסטרו חיים'!I19+'כללי והון'!I19</f>
        <v>4390</v>
      </c>
      <c r="J19" s="12">
        <f t="shared" ref="J19" si="65">IFERROR(I19/I$23,"")</f>
        <v>1.1334648393526599E-2</v>
      </c>
      <c r="K19" s="13">
        <f>'נוסטרו חיים'!K19+'כללי והון'!K19</f>
        <v>7747</v>
      </c>
      <c r="L19" s="12">
        <f t="shared" ref="L19" si="66">IFERROR(K19/K$23,"")</f>
        <v>2.5725063590417936E-2</v>
      </c>
      <c r="M19" s="13">
        <f>'נוסטרו חיים'!M19+'כללי והון'!M19</f>
        <v>87801</v>
      </c>
      <c r="N19" s="12">
        <f t="shared" si="4"/>
        <v>2.4050174776765287E-3</v>
      </c>
      <c r="O19" s="14">
        <f>'נוסטרו חיים'!O19+'כללי והון'!O19</f>
        <v>1323</v>
      </c>
      <c r="P19" s="16">
        <f t="shared" ref="P19" si="67">IFERROR(O19/O$23,"")</f>
        <v>2.5131880635914463E-3</v>
      </c>
      <c r="Q19" s="6">
        <f>'נוסטרו חיים'!Q19+'כללי והון'!Q19</f>
        <v>245</v>
      </c>
      <c r="R19" s="16">
        <f t="shared" ref="R19" si="68">IFERROR(Q19/Q$23,"")</f>
        <v>6.4281010340059663E-4</v>
      </c>
      <c r="S19" s="6">
        <f>'נוסטרו חיים'!S19+'כללי והון'!S19</f>
        <v>59447</v>
      </c>
      <c r="T19" s="16">
        <f t="shared" si="7"/>
        <v>1.6315634116683393E-3</v>
      </c>
      <c r="U19" s="11">
        <f>'נוסטרו חיים'!U19+'כללי והון'!U19</f>
        <v>0</v>
      </c>
      <c r="V19" s="12" t="str">
        <f t="shared" ref="V19" si="69">IFERROR(U19/U$23,"")</f>
        <v/>
      </c>
      <c r="W19" s="13">
        <f>'נוסטרו חיים'!W19+'כללי והון'!W19</f>
        <v>0</v>
      </c>
      <c r="X19" s="12" t="str">
        <f t="shared" ref="X19" si="70">IFERROR(W19/W$23,"")</f>
        <v/>
      </c>
      <c r="Y19" s="13">
        <f>'נוסטרו חיים'!Y19+'כללי והון'!Y19</f>
        <v>0</v>
      </c>
      <c r="Z19" s="12" t="str">
        <f t="shared" si="10"/>
        <v/>
      </c>
      <c r="AA19" s="7"/>
    </row>
    <row r="20" spans="1:27">
      <c r="A20" s="43"/>
      <c r="B20" s="15" t="s">
        <v>24</v>
      </c>
      <c r="C20" s="14">
        <f>'נוסטרו חיים'!C20+'כללי והון'!C20</f>
        <v>41139</v>
      </c>
      <c r="D20" s="16">
        <f t="shared" si="0"/>
        <v>6.7643470454179233E-2</v>
      </c>
      <c r="E20" s="6">
        <f>'נוסטרו חיים'!E20+'כללי והון'!E20</f>
        <v>129200</v>
      </c>
      <c r="F20" s="16">
        <f t="shared" si="0"/>
        <v>0.36139152520090517</v>
      </c>
      <c r="G20" s="6">
        <f>'נוסטרו חיים'!G20+'כללי והון'!G20</f>
        <v>3092021</v>
      </c>
      <c r="H20" s="16">
        <f t="shared" si="1"/>
        <v>8.521648450434742E-2</v>
      </c>
      <c r="I20" s="11">
        <f>'נוסטרו חיים'!I20+'כללי והון'!I20</f>
        <v>24174</v>
      </c>
      <c r="J20" s="12">
        <f t="shared" ref="J20" si="71">IFERROR(I20/I$23,"")</f>
        <v>6.2415441973829616E-2</v>
      </c>
      <c r="K20" s="13">
        <f>'נוסטרו חיים'!K20+'כללי והון'!K20</f>
        <v>262450</v>
      </c>
      <c r="L20" s="12">
        <f t="shared" ref="L20" si="72">IFERROR(K20/K$23,"")</f>
        <v>0.8715041873377033</v>
      </c>
      <c r="M20" s="13">
        <f>'נוסטרו חיים'!M20+'כללי והון'!M20</f>
        <v>3484087</v>
      </c>
      <c r="N20" s="12">
        <f t="shared" si="4"/>
        <v>9.5435019290732268E-2</v>
      </c>
      <c r="O20" s="14">
        <f>'נוסטרו חיים'!O20+'כללי והון'!O20</f>
        <v>40502</v>
      </c>
      <c r="P20" s="16">
        <f t="shared" ref="P20" si="73">IFERROR(O20/O$23,"")</f>
        <v>7.6938127703386816E-2</v>
      </c>
      <c r="Q20" s="6">
        <f>'נוסטרו חיים'!Q20+'כללי והון'!Q20</f>
        <v>22492</v>
      </c>
      <c r="R20" s="16">
        <f t="shared" ref="R20" si="74">IFERROR(Q20/Q$23,"")</f>
        <v>5.9012591206882528E-2</v>
      </c>
      <c r="S20" s="6">
        <f>'נוסטרו חיים'!S20+'כללי והון'!S20</f>
        <v>3482066</v>
      </c>
      <c r="T20" s="16">
        <f t="shared" si="7"/>
        <v>9.5567673433719566E-2</v>
      </c>
      <c r="U20" s="11">
        <f>'נוסטרו חיים'!U20+'כללי והון'!U20</f>
        <v>0</v>
      </c>
      <c r="V20" s="12" t="str">
        <f t="shared" ref="V20" si="75">IFERROR(U20/U$23,"")</f>
        <v/>
      </c>
      <c r="W20" s="13">
        <f>'נוסטרו חיים'!W20+'כללי והון'!W20</f>
        <v>0</v>
      </c>
      <c r="X20" s="12" t="str">
        <f t="shared" ref="X20" si="76">IFERROR(W20/W$23,"")</f>
        <v/>
      </c>
      <c r="Y20" s="13">
        <f>'נוסטרו חיים'!Y20+'כללי והון'!Y20</f>
        <v>0</v>
      </c>
      <c r="Z20" s="12" t="str">
        <f t="shared" si="10"/>
        <v/>
      </c>
      <c r="AA20" s="7"/>
    </row>
    <row r="21" spans="1:27">
      <c r="A21" s="43"/>
      <c r="B21" s="15" t="s">
        <v>25</v>
      </c>
      <c r="C21" s="14">
        <f>'נוסטרו חיים'!C21+'כללי והון'!C21</f>
        <v>23223</v>
      </c>
      <c r="D21" s="16">
        <f t="shared" si="0"/>
        <v>3.81847957985708E-2</v>
      </c>
      <c r="E21" s="6">
        <f>'נוסטרו חיים'!E21+'כללי והון'!E21</f>
        <v>25207</v>
      </c>
      <c r="F21" s="16">
        <f t="shared" si="0"/>
        <v>7.0507710338538823E-2</v>
      </c>
      <c r="G21" s="6">
        <f>'נוסטרו חיים'!G21+'כללי והון'!G21</f>
        <v>1301861</v>
      </c>
      <c r="H21" s="16">
        <f t="shared" si="1"/>
        <v>3.5879451573360671E-2</v>
      </c>
      <c r="I21" s="11">
        <f>'נוסטרו חיים'!I21+'כללי והון'!I21</f>
        <v>21063</v>
      </c>
      <c r="J21" s="12">
        <f t="shared" ref="J21" si="77">IFERROR(I21/I$23,"")</f>
        <v>5.4383074968758716E-2</v>
      </c>
      <c r="K21" s="13">
        <f>'נוסטרו חיים'!K21+'כללי והון'!K21</f>
        <v>31802</v>
      </c>
      <c r="L21" s="12">
        <f t="shared" ref="L21" si="78">IFERROR(K21/K$23,"")</f>
        <v>0.1056032622050434</v>
      </c>
      <c r="M21" s="13">
        <f>'נוסטרו חיים'!M21+'כללי והון'!M21</f>
        <v>1356887</v>
      </c>
      <c r="N21" s="12">
        <f t="shared" si="4"/>
        <v>3.7167423494402933E-2</v>
      </c>
      <c r="O21" s="14">
        <f>'נוסטרו חיים'!O21+'כללי והון'!O21</f>
        <v>42384</v>
      </c>
      <c r="P21" s="16">
        <f t="shared" ref="P21" si="79">IFERROR(O21/O$23,"")</f>
        <v>8.0513199461269738E-2</v>
      </c>
      <c r="Q21" s="6">
        <f>'נוסטרו חיים'!Q21+'כללי והון'!Q21</f>
        <v>42609</v>
      </c>
      <c r="R21" s="16">
        <f t="shared" ref="R21" si="80">IFERROR(Q21/Q$23,"")</f>
        <v>0.1117938599828409</v>
      </c>
      <c r="S21" s="6">
        <f>'נוסטרו חיים'!S21+'כללי והון'!S21</f>
        <v>1410515</v>
      </c>
      <c r="T21" s="16">
        <f t="shared" si="7"/>
        <v>3.8712545050370376E-2</v>
      </c>
      <c r="U21" s="11">
        <f>'נוסטרו חיים'!U21+'כללי והון'!U21</f>
        <v>0</v>
      </c>
      <c r="V21" s="12" t="str">
        <f t="shared" ref="V21" si="81">IFERROR(U21/U$23,"")</f>
        <v/>
      </c>
      <c r="W21" s="13">
        <f>'נוסטרו חיים'!W21+'כללי והון'!W21</f>
        <v>0</v>
      </c>
      <c r="X21" s="12" t="str">
        <f t="shared" ref="X21" si="82">IFERROR(W21/W$23,"")</f>
        <v/>
      </c>
      <c r="Y21" s="13">
        <f>'נוסטרו חיים'!Y21+'כללי והון'!Y21</f>
        <v>0</v>
      </c>
      <c r="Z21" s="12" t="str">
        <f t="shared" si="10"/>
        <v/>
      </c>
      <c r="AA21" s="7"/>
    </row>
    <row r="22" spans="1:27">
      <c r="A22" s="43"/>
      <c r="B22" s="15" t="s">
        <v>26</v>
      </c>
      <c r="C22" s="14">
        <f>'נוסטרו חיים'!C22+'כללי והון'!C22</f>
        <v>-14927</v>
      </c>
      <c r="D22" s="16">
        <f t="shared" si="0"/>
        <v>-2.4543962747503183E-2</v>
      </c>
      <c r="E22" s="6">
        <f>'נוסטרו חיים'!E22+'כללי והון'!E22</f>
        <v>-14927</v>
      </c>
      <c r="F22" s="16">
        <f t="shared" si="0"/>
        <v>-4.1753028612027177E-2</v>
      </c>
      <c r="G22" s="6">
        <f>'נוסטרו חיים'!G22+'כללי והון'!G22</f>
        <v>0</v>
      </c>
      <c r="H22" s="16">
        <f t="shared" si="1"/>
        <v>0</v>
      </c>
      <c r="I22" s="11">
        <f>'נוסטרו חיים'!I22+'כללי והון'!I22</f>
        <v>-3729</v>
      </c>
      <c r="J22" s="12">
        <f t="shared" ref="J22" si="83">IFERROR(I22/I$23,"")</f>
        <v>-9.627996323339565E-3</v>
      </c>
      <c r="K22" s="13">
        <f>'נוסטרו חיים'!K22+'כללי והון'!K22</f>
        <v>-3729</v>
      </c>
      <c r="L22" s="12">
        <f t="shared" ref="L22" si="84">IFERROR(K22/K$23,"")</f>
        <v>-1.2382698093283656E-2</v>
      </c>
      <c r="M22" s="13">
        <f>'נוסטרו חיים'!M22+'כללי והון'!M22</f>
        <v>0</v>
      </c>
      <c r="N22" s="12">
        <f t="shared" si="4"/>
        <v>0</v>
      </c>
      <c r="O22" s="14">
        <f>'נוסטרו חיים'!O22+'כללי והון'!O22</f>
        <v>19196</v>
      </c>
      <c r="P22" s="16">
        <f t="shared" ref="P22" si="85">IFERROR(O22/O$23,"")</f>
        <v>3.6464972085186245E-2</v>
      </c>
      <c r="Q22" s="6">
        <f>'נוסטרו חיים'!Q22+'כללי והון'!Q22</f>
        <v>19196</v>
      </c>
      <c r="R22" s="16">
        <f t="shared" ref="R22" si="86">IFERROR(Q22/Q$23,"")</f>
        <v>5.0364827530113683E-2</v>
      </c>
      <c r="S22" s="6">
        <f>'נוסטרו חיים'!S22+'כללי והון'!S22</f>
        <v>0</v>
      </c>
      <c r="T22" s="16">
        <f t="shared" si="7"/>
        <v>0</v>
      </c>
      <c r="U22" s="11">
        <f>'נוסטרו חיים'!U22+'כללי והון'!U22</f>
        <v>0</v>
      </c>
      <c r="V22" s="12" t="str">
        <f t="shared" ref="V22" si="87">IFERROR(U22/U$23,"")</f>
        <v/>
      </c>
      <c r="W22" s="13">
        <f>'נוסטרו חיים'!W22+'כללי והון'!W22</f>
        <v>0</v>
      </c>
      <c r="X22" s="12" t="str">
        <f t="shared" ref="X22" si="88">IFERROR(W22/W$23,"")</f>
        <v/>
      </c>
      <c r="Y22" s="13">
        <f>'נוסטרו חיים'!Y22+'כללי והון'!Y22</f>
        <v>0</v>
      </c>
      <c r="Z22" s="12" t="str">
        <f t="shared" si="10"/>
        <v/>
      </c>
      <c r="AA22" s="7"/>
    </row>
    <row r="23" spans="1:27">
      <c r="A23" s="46"/>
      <c r="B23" s="17" t="s">
        <v>27</v>
      </c>
      <c r="C23" s="18">
        <f>SUM(C8:C22)</f>
        <v>608174</v>
      </c>
      <c r="D23" s="19">
        <f t="shared" si="0"/>
        <v>1</v>
      </c>
      <c r="E23" s="18">
        <f>SUM(E8:E22)</f>
        <v>357507</v>
      </c>
      <c r="F23" s="19">
        <f t="shared" si="0"/>
        <v>1</v>
      </c>
      <c r="G23" s="18">
        <f>SUM(G8:G22)</f>
        <v>36284306</v>
      </c>
      <c r="H23" s="19">
        <f t="shared" si="1"/>
        <v>1</v>
      </c>
      <c r="I23" s="20">
        <f>SUM(I8:I22)</f>
        <v>387308</v>
      </c>
      <c r="J23" s="21">
        <f t="shared" ref="J23" si="89">IFERROR(I23/I$23,"")</f>
        <v>1</v>
      </c>
      <c r="K23" s="22">
        <f>SUM(K8:K22)</f>
        <v>301146</v>
      </c>
      <c r="L23" s="21">
        <f t="shared" ref="L23" si="90">IFERROR(K23/K$23,"")</f>
        <v>1</v>
      </c>
      <c r="M23" s="22">
        <f>SUM(M8:M22)</f>
        <v>36507427</v>
      </c>
      <c r="N23" s="21">
        <f t="shared" si="4"/>
        <v>1</v>
      </c>
      <c r="O23" s="18">
        <f>SUM(O8:O22)</f>
        <v>526423</v>
      </c>
      <c r="P23" s="19">
        <f t="shared" ref="P23" si="91">IFERROR(O23/O$23,"")</f>
        <v>1</v>
      </c>
      <c r="Q23" s="23">
        <f>SUM(Q8:Q22)</f>
        <v>381139</v>
      </c>
      <c r="R23" s="19">
        <f t="shared" ref="R23" si="92">IFERROR(Q23/Q$23,"")</f>
        <v>1</v>
      </c>
      <c r="S23" s="23">
        <f>SUM(S8:S22)</f>
        <v>36435605</v>
      </c>
      <c r="T23" s="19">
        <f t="shared" si="7"/>
        <v>1</v>
      </c>
      <c r="U23" s="20">
        <f>SUM(U8:U22)</f>
        <v>0</v>
      </c>
      <c r="V23" s="21" t="str">
        <f t="shared" ref="V23" si="93">IFERROR(U23/U$23,"")</f>
        <v/>
      </c>
      <c r="W23" s="22">
        <f>SUM(W8:W22)</f>
        <v>0</v>
      </c>
      <c r="X23" s="21" t="str">
        <f t="shared" ref="X23" si="94">IFERROR(W23/W$23,"")</f>
        <v/>
      </c>
      <c r="Y23" s="22">
        <f>SUM(Y8:Y22)</f>
        <v>0</v>
      </c>
      <c r="Z23" s="21" t="str">
        <f t="shared" si="10"/>
        <v/>
      </c>
      <c r="AA23" s="7"/>
    </row>
    <row r="24" spans="1:27">
      <c r="A24" s="41"/>
      <c r="B24" s="7"/>
      <c r="C24" s="24"/>
      <c r="D24" s="25"/>
      <c r="E24" s="24"/>
      <c r="F24" s="25"/>
      <c r="G24" s="26"/>
      <c r="H24" s="25"/>
      <c r="I24" s="24"/>
      <c r="J24" s="25"/>
      <c r="K24" s="24"/>
      <c r="L24" s="25"/>
      <c r="M24" s="26"/>
      <c r="N24" s="25"/>
      <c r="O24" s="24"/>
      <c r="P24" s="25"/>
      <c r="Q24" s="24"/>
      <c r="R24" s="25"/>
      <c r="S24" s="26"/>
      <c r="T24" s="25"/>
      <c r="U24" s="24"/>
      <c r="V24" s="25"/>
      <c r="W24" s="24"/>
      <c r="X24" s="25"/>
      <c r="Y24" s="26"/>
      <c r="Z24" s="25"/>
      <c r="AA24" s="7"/>
    </row>
    <row r="25" spans="1:27">
      <c r="A25" s="41"/>
      <c r="B25" s="10" t="s">
        <v>28</v>
      </c>
      <c r="C25" s="27">
        <f>'נוסטרו חיים'!C25+'כללי והון'!C25</f>
        <v>619090</v>
      </c>
      <c r="D25" s="9">
        <f>IFERROR(C25/C$27,"")</f>
        <v>1.0179488107022003</v>
      </c>
      <c r="E25" s="5">
        <f>'נוסטרו חיים'!E25+'כללי והון'!E25</f>
        <v>292071</v>
      </c>
      <c r="F25" s="9">
        <f>IFERROR(E25/E$27,"")</f>
        <v>0.81696582164824749</v>
      </c>
      <c r="G25" s="5">
        <f>'נוסטרו חיים'!G25+'כללי והון'!G25</f>
        <v>31966811</v>
      </c>
      <c r="H25" s="9">
        <f>IFERROR(G25/G$27,"")</f>
        <v>0.88100929917193405</v>
      </c>
      <c r="I25" s="54">
        <f>'נוסטרו חיים'!I25+'כללי והון'!I25</f>
        <v>591487</v>
      </c>
      <c r="J25" s="55">
        <f>IFERROR(I25/I$27,"")</f>
        <v>1.5271747549753685</v>
      </c>
      <c r="K25" s="56">
        <f>'נוסטרו חיים'!K25+'כללי והון'!K25</f>
        <v>350676</v>
      </c>
      <c r="L25" s="55">
        <f>IFERROR(K25/K$27,"")</f>
        <v>1.1644717180370983</v>
      </c>
      <c r="M25" s="56">
        <f>'נוסטרו חיים'!M25+'כללי והון'!M25</f>
        <v>32428433</v>
      </c>
      <c r="N25" s="57">
        <f>IFERROR(M25/M$27,"")</f>
        <v>0.88826947459211514</v>
      </c>
      <c r="O25" s="27">
        <f>'נוסטרו חיים'!O25+'כללי והון'!O25</f>
        <v>609188</v>
      </c>
      <c r="P25" s="9">
        <f>IFERROR(O25/O$27,"")</f>
        <v>1.1572214739857491</v>
      </c>
      <c r="Q25" s="5">
        <f>'נוסטרו חיים'!Q25+'כללי והון'!Q25</f>
        <v>358940</v>
      </c>
      <c r="R25" s="9">
        <f>IFERROR(Q25/Q$27,"")</f>
        <v>0.9417561572024904</v>
      </c>
      <c r="S25" s="5">
        <f>'נוסטרו חיים'!S25+'כללי והון'!S25</f>
        <v>32558726</v>
      </c>
      <c r="T25" s="31">
        <f>IFERROR(S25/S$27,"")</f>
        <v>0.89359641482555319</v>
      </c>
      <c r="U25" s="54">
        <f>'נוסטרו חיים'!U25+'כללי והון'!U25</f>
        <v>0</v>
      </c>
      <c r="V25" s="55" t="str">
        <f>IFERROR(U25/U$27,"")</f>
        <v/>
      </c>
      <c r="W25" s="56">
        <f>'נוסטרו חיים'!W25+'כללי והון'!W25</f>
        <v>0</v>
      </c>
      <c r="X25" s="55" t="str">
        <f>IFERROR(W25/W$27,"")</f>
        <v/>
      </c>
      <c r="Y25" s="56">
        <f>'נוסטרו חיים'!Y25+'כללי והון'!Y25</f>
        <v>0</v>
      </c>
      <c r="Z25" s="57" t="str">
        <f>IFERROR(Y25/Y$27,"")</f>
        <v/>
      </c>
      <c r="AA25" s="7"/>
    </row>
    <row r="26" spans="1:27">
      <c r="A26" s="41"/>
      <c r="B26" s="15" t="s">
        <v>29</v>
      </c>
      <c r="C26" s="28">
        <f>'נוסטרו חיים'!C26+'כללי והון'!C26</f>
        <v>-10916</v>
      </c>
      <c r="D26" s="16">
        <f t="shared" ref="D26:F27" si="95">IFERROR(C26/C$27,"")</f>
        <v>-1.7948810702200356E-2</v>
      </c>
      <c r="E26" s="6">
        <f>'נוסטרו חיים'!E26+'כללי והון'!E26</f>
        <v>65436</v>
      </c>
      <c r="F26" s="16">
        <f t="shared" si="95"/>
        <v>0.18303417835175256</v>
      </c>
      <c r="G26" s="6">
        <f>'נוסטרו חיים'!G26+'כללי והון'!G26</f>
        <v>4317495</v>
      </c>
      <c r="H26" s="16">
        <f t="shared" ref="H26:H27" si="96">IFERROR(G26/G$27,"")</f>
        <v>0.118990700828066</v>
      </c>
      <c r="I26" s="11">
        <f>'נוסטרו חיים'!I26+'כללי והון'!I26</f>
        <v>-204179</v>
      </c>
      <c r="J26" s="12">
        <f t="shared" ref="J26" si="97">IFERROR(I26/I$27,"")</f>
        <v>-0.52717475497536848</v>
      </c>
      <c r="K26" s="13">
        <f>'נוסטרו חיים'!K26+'כללי והון'!K26</f>
        <v>-49530</v>
      </c>
      <c r="L26" s="12">
        <f t="shared" ref="L26" si="98">IFERROR(K26/K$27,"")</f>
        <v>-0.16447171803709829</v>
      </c>
      <c r="M26" s="13">
        <f>'נוסטרו חיים'!M26+'כללי והון'!M26</f>
        <v>4078994</v>
      </c>
      <c r="N26" s="32">
        <f t="shared" ref="N26:N27" si="99">IFERROR(M26/M$27,"")</f>
        <v>0.11173052540788481</v>
      </c>
      <c r="O26" s="28">
        <f>'נוסטרו חיים'!O26+'כללי והון'!O26</f>
        <v>-82765</v>
      </c>
      <c r="P26" s="16">
        <f t="shared" ref="P26" si="100">IFERROR(O26/O$27,"")</f>
        <v>-0.15722147398574909</v>
      </c>
      <c r="Q26" s="6">
        <f>'נוסטרו חיים'!Q26+'כללי והון'!Q26</f>
        <v>22199</v>
      </c>
      <c r="R26" s="16">
        <f t="shared" ref="R26" si="101">IFERROR(Q26/Q$27,"")</f>
        <v>5.8243842797509569E-2</v>
      </c>
      <c r="S26" s="6">
        <f>'נוסטרו חיים'!S26+'כללי והון'!S26</f>
        <v>3876879</v>
      </c>
      <c r="T26" s="33">
        <f t="shared" ref="T26:T27" si="102">IFERROR(S26/S$27,"")</f>
        <v>0.10640358517444681</v>
      </c>
      <c r="U26" s="11">
        <f>'נוסטרו חיים'!U26+'כללי והון'!U26</f>
        <v>0</v>
      </c>
      <c r="V26" s="12" t="str">
        <f t="shared" ref="V26" si="103">IFERROR(U26/U$27,"")</f>
        <v/>
      </c>
      <c r="W26" s="13">
        <f>'נוסטרו חיים'!W26+'כללי והון'!W26</f>
        <v>0</v>
      </c>
      <c r="X26" s="12" t="str">
        <f t="shared" ref="X26" si="104">IFERROR(W26/W$27,"")</f>
        <v/>
      </c>
      <c r="Y26" s="13">
        <f>'נוסטרו חיים'!Y26+'כללי והון'!Y26</f>
        <v>0</v>
      </c>
      <c r="Z26" s="32" t="str">
        <f t="shared" ref="Z26:Z27" si="105">IFERROR(Y26/Y$27,"")</f>
        <v/>
      </c>
      <c r="AA26" s="7"/>
    </row>
    <row r="27" spans="1:27">
      <c r="A27" s="41"/>
      <c r="B27" s="17" t="s">
        <v>27</v>
      </c>
      <c r="C27" s="29">
        <f>SUM(C25:C26)</f>
        <v>608174</v>
      </c>
      <c r="D27" s="19">
        <f t="shared" si="95"/>
        <v>1</v>
      </c>
      <c r="E27" s="29">
        <f>SUM(E25:E26)</f>
        <v>357507</v>
      </c>
      <c r="F27" s="19">
        <f t="shared" si="95"/>
        <v>1</v>
      </c>
      <c r="G27" s="23">
        <f>SUM(G25:G26)</f>
        <v>36284306</v>
      </c>
      <c r="H27" s="19">
        <f t="shared" si="96"/>
        <v>1</v>
      </c>
      <c r="I27" s="20">
        <f>SUM(I25:I26)</f>
        <v>387308</v>
      </c>
      <c r="J27" s="21">
        <f t="shared" ref="J27" si="106">IFERROR(I27/I$27,"")</f>
        <v>1</v>
      </c>
      <c r="K27" s="22">
        <f>SUM(K25:K26)</f>
        <v>301146</v>
      </c>
      <c r="L27" s="21">
        <f t="shared" ref="L27" si="107">IFERROR(K27/K$27,"")</f>
        <v>1</v>
      </c>
      <c r="M27" s="22">
        <f>SUM(M25:M26)</f>
        <v>36507427</v>
      </c>
      <c r="N27" s="35">
        <f t="shared" si="99"/>
        <v>1</v>
      </c>
      <c r="O27" s="29">
        <f>SUM(O25:O26)</f>
        <v>526423</v>
      </c>
      <c r="P27" s="19">
        <f t="shared" ref="P27" si="108">IFERROR(O27/O$27,"")</f>
        <v>1</v>
      </c>
      <c r="Q27" s="23">
        <f>SUM(Q25:Q26)</f>
        <v>381139</v>
      </c>
      <c r="R27" s="53">
        <f t="shared" ref="R27" si="109">IFERROR(Q27/Q$27,"")</f>
        <v>1</v>
      </c>
      <c r="S27" s="23">
        <f>SUM(S25:S26)</f>
        <v>36435605</v>
      </c>
      <c r="T27" s="34">
        <f t="shared" si="102"/>
        <v>1</v>
      </c>
      <c r="U27" s="20">
        <f>SUM(U25:U26)</f>
        <v>0</v>
      </c>
      <c r="V27" s="21" t="str">
        <f t="shared" ref="V27" si="110">IFERROR(U27/U$27,"")</f>
        <v/>
      </c>
      <c r="W27" s="22">
        <f>SUM(W25:W26)</f>
        <v>0</v>
      </c>
      <c r="X27" s="21" t="str">
        <f t="shared" ref="X27" si="111">IFERROR(W27/W$27,"")</f>
        <v/>
      </c>
      <c r="Y27" s="22">
        <f>SUM(Y25:Y26)</f>
        <v>0</v>
      </c>
      <c r="Z27" s="35" t="str">
        <f t="shared" si="105"/>
        <v/>
      </c>
      <c r="AA27" s="7"/>
    </row>
    <row r="28" spans="1:27">
      <c r="A28" s="41"/>
      <c r="B28" s="7"/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7"/>
    </row>
    <row r="29" spans="1:27">
      <c r="A29" s="41"/>
      <c r="B29" s="10" t="s">
        <v>30</v>
      </c>
      <c r="C29" s="27">
        <f>'נוסטרו חיים'!C29+'כללי והון'!C29</f>
        <v>168260</v>
      </c>
      <c r="D29" s="9">
        <f>IFERROR(C29/C$31,"")</f>
        <v>0.27666424411434887</v>
      </c>
      <c r="E29" s="5">
        <f>'נוסטרו חיים'!E29+'כללי והון'!E29</f>
        <v>-189408</v>
      </c>
      <c r="F29" s="9">
        <f>IFERROR(E29/E$31,"")</f>
        <v>-0.52980221366294922</v>
      </c>
      <c r="G29" s="5">
        <f>'נוסטרו חיים'!G29+'כללי והון'!G29</f>
        <v>11521658</v>
      </c>
      <c r="H29" s="9">
        <f>IFERROR(G29/G$31,"")</f>
        <v>0.31753833186171454</v>
      </c>
      <c r="I29" s="54">
        <f>'נוסטרו חיים'!I29+'כללי והון'!I29</f>
        <v>123184</v>
      </c>
      <c r="J29" s="55">
        <f>IFERROR(I29/I$31,"")</f>
        <v>0.3180517830770343</v>
      </c>
      <c r="K29" s="56">
        <f>'נוסטרו חיים'!K29+'כללי והון'!K29</f>
        <v>-262759</v>
      </c>
      <c r="L29" s="55">
        <f>IFERROR(K29/K$31,"")</f>
        <v>-0.87253026771067854</v>
      </c>
      <c r="M29" s="56">
        <f>'נוסטרו חיים'!M29+'כללי והון'!M29</f>
        <v>11532046</v>
      </c>
      <c r="N29" s="57">
        <f>IFERROR(M29/M$31,"")</f>
        <v>0.31588219021844516</v>
      </c>
      <c r="O29" s="27">
        <f>'נוסטרו חיים'!O29+'כללי והון'!O29</f>
        <v>4520</v>
      </c>
      <c r="P29" s="9">
        <f>IFERROR(O29/O$31,"")</f>
        <v>8.5862509806752356E-3</v>
      </c>
      <c r="Q29" s="5">
        <f>'נוסטרו חיים'!Q29+'כללי והון'!Q29</f>
        <v>-231736</v>
      </c>
      <c r="R29" s="9">
        <f>IFERROR(Q29/Q$31,"")</f>
        <v>-0.6080091515169006</v>
      </c>
      <c r="S29" s="5">
        <f>'נוסטרו חיים'!S29+'כללי והון'!S29</f>
        <v>10652634</v>
      </c>
      <c r="T29" s="31">
        <f>IFERROR(S29/S$31,"")</f>
        <v>0.29236879695012613</v>
      </c>
      <c r="U29" s="54">
        <f>'נוסטרו חיים'!U29+'כללי והון'!U29</f>
        <v>0</v>
      </c>
      <c r="V29" s="55" t="str">
        <f>IFERROR(U29/U$31,"")</f>
        <v/>
      </c>
      <c r="W29" s="56">
        <f>'נוסטרו חיים'!W29+'כללי והון'!W29</f>
        <v>0</v>
      </c>
      <c r="X29" s="55" t="str">
        <f>IFERROR(W29/W$31,"")</f>
        <v/>
      </c>
      <c r="Y29" s="56">
        <f>'נוסטרו חיים'!Y29+'כללי והון'!Y29</f>
        <v>0</v>
      </c>
      <c r="Z29" s="57" t="str">
        <f>IFERROR(Y29/Y$31,"")</f>
        <v/>
      </c>
      <c r="AA29" s="7"/>
    </row>
    <row r="30" spans="1:27">
      <c r="A30" s="41"/>
      <c r="B30" s="15" t="s">
        <v>31</v>
      </c>
      <c r="C30" s="28">
        <f>'נוסטרו חיים'!C30+'כללי והון'!C30</f>
        <v>439914</v>
      </c>
      <c r="D30" s="16">
        <f t="shared" ref="D30:F31" si="112">IFERROR(C30/C$31,"")</f>
        <v>0.72333575588565113</v>
      </c>
      <c r="E30" s="6">
        <f>'נוסטרו חיים'!E30+'כללי והון'!E30</f>
        <v>546915</v>
      </c>
      <c r="F30" s="16">
        <f t="shared" si="112"/>
        <v>1.5298022136629492</v>
      </c>
      <c r="G30" s="6">
        <f>'נוסטרו חיים'!G30+'כללי והון'!G30</f>
        <v>24762648</v>
      </c>
      <c r="H30" s="16">
        <f t="shared" ref="H30:H31" si="113">IFERROR(G30/G$31,"")</f>
        <v>0.68246166813828546</v>
      </c>
      <c r="I30" s="11">
        <f>'נוסטרו חיים'!I30+'כללי והון'!I30</f>
        <v>264124</v>
      </c>
      <c r="J30" s="12">
        <f t="shared" ref="J30" si="114">IFERROR(I30/I$31,"")</f>
        <v>0.6819482169229657</v>
      </c>
      <c r="K30" s="13">
        <f>'נוסטרו חיים'!K30+'כללי והון'!K30</f>
        <v>563905</v>
      </c>
      <c r="L30" s="12">
        <f t="shared" ref="L30" si="115">IFERROR(K30/K$31,"")</f>
        <v>1.8725302677106785</v>
      </c>
      <c r="M30" s="13">
        <f>'נוסטרו חיים'!M30+'כללי והון'!M30</f>
        <v>24975381</v>
      </c>
      <c r="N30" s="32">
        <f t="shared" ref="N30:N31" si="116">IFERROR(M30/M$31,"")</f>
        <v>0.6841178097815549</v>
      </c>
      <c r="O30" s="28">
        <f>'נוסטרו חיים'!O30+'כללי והון'!O30</f>
        <v>521903</v>
      </c>
      <c r="P30" s="16">
        <f t="shared" ref="P30" si="117">IFERROR(O30/O$31,"")</f>
        <v>0.99141374901932477</v>
      </c>
      <c r="Q30" s="6">
        <f>'נוסטרו חיים'!Q30+'כללי והון'!Q30</f>
        <v>612875</v>
      </c>
      <c r="R30" s="16">
        <f t="shared" ref="R30" si="118">IFERROR(Q30/Q$31,"")</f>
        <v>1.6080091515169006</v>
      </c>
      <c r="S30" s="6">
        <f>'נוסטרו חיים'!S30+'כללי והון'!S30</f>
        <v>25782971</v>
      </c>
      <c r="T30" s="33">
        <f t="shared" ref="T30:T31" si="119">IFERROR(S30/S$31,"")</f>
        <v>0.70763120304987392</v>
      </c>
      <c r="U30" s="11">
        <f>'נוסטרו חיים'!U30+'כללי והון'!U30</f>
        <v>0</v>
      </c>
      <c r="V30" s="12" t="str">
        <f t="shared" ref="V30" si="120">IFERROR(U30/U$31,"")</f>
        <v/>
      </c>
      <c r="W30" s="13">
        <f>'נוסטרו חיים'!W30+'כללי והון'!W30</f>
        <v>0</v>
      </c>
      <c r="X30" s="12" t="str">
        <f t="shared" ref="X30" si="121">IFERROR(W30/W$31,"")</f>
        <v/>
      </c>
      <c r="Y30" s="13">
        <f>'נוסטרו חיים'!Y30+'כללי והון'!Y30</f>
        <v>0</v>
      </c>
      <c r="Z30" s="32" t="str">
        <f t="shared" ref="Z30:Z31" si="122">IFERROR(Y30/Y$31,"")</f>
        <v/>
      </c>
      <c r="AA30" s="7"/>
    </row>
    <row r="31" spans="1:27">
      <c r="A31" s="41"/>
      <c r="B31" s="17" t="s">
        <v>27</v>
      </c>
      <c r="C31" s="29">
        <f>SUM(C29:C30)</f>
        <v>608174</v>
      </c>
      <c r="D31" s="19">
        <f t="shared" si="112"/>
        <v>1</v>
      </c>
      <c r="E31" s="29">
        <f>SUM(E29:E30)</f>
        <v>357507</v>
      </c>
      <c r="F31" s="19">
        <f t="shared" si="112"/>
        <v>1</v>
      </c>
      <c r="G31" s="29">
        <f>SUM(G29:G30)</f>
        <v>36284306</v>
      </c>
      <c r="H31" s="19">
        <f t="shared" si="113"/>
        <v>1</v>
      </c>
      <c r="I31" s="20">
        <f>SUM(I29:I30)</f>
        <v>387308</v>
      </c>
      <c r="J31" s="21">
        <f t="shared" ref="J31" si="123">IFERROR(I31/I$31,"")</f>
        <v>1</v>
      </c>
      <c r="K31" s="22">
        <f>SUM(K29:K30)</f>
        <v>301146</v>
      </c>
      <c r="L31" s="21">
        <f t="shared" ref="L31" si="124">IFERROR(K31/K$31,"")</f>
        <v>1</v>
      </c>
      <c r="M31" s="22">
        <f>SUM(M29:M30)</f>
        <v>36507427</v>
      </c>
      <c r="N31" s="35">
        <f t="shared" si="116"/>
        <v>1</v>
      </c>
      <c r="O31" s="29">
        <f>SUM(O29:O30)</f>
        <v>526423</v>
      </c>
      <c r="P31" s="19">
        <f t="shared" ref="P31" si="125">IFERROR(O31/O$31,"")</f>
        <v>1</v>
      </c>
      <c r="Q31" s="23">
        <f>SUM(Q29:Q30)</f>
        <v>381139</v>
      </c>
      <c r="R31" s="19">
        <f t="shared" ref="R31" si="126">IFERROR(Q31/Q$31,"")</f>
        <v>1</v>
      </c>
      <c r="S31" s="23">
        <f>SUM(S29:S30)</f>
        <v>36435605</v>
      </c>
      <c r="T31" s="34">
        <f t="shared" si="119"/>
        <v>1</v>
      </c>
      <c r="U31" s="20">
        <f>SUM(U29:U30)</f>
        <v>0</v>
      </c>
      <c r="V31" s="21" t="str">
        <f t="shared" ref="V31" si="127">IFERROR(U31/U$31,"")</f>
        <v/>
      </c>
      <c r="W31" s="22">
        <f>SUM(W29:W30)</f>
        <v>0</v>
      </c>
      <c r="X31" s="21" t="str">
        <f t="shared" ref="X31" si="128">IFERROR(W31/W$31,"")</f>
        <v/>
      </c>
      <c r="Y31" s="22">
        <f>SUM(Y29:Y30)</f>
        <v>0</v>
      </c>
      <c r="Z31" s="35" t="str">
        <f t="shared" si="122"/>
        <v/>
      </c>
      <c r="AA31" s="7"/>
    </row>
    <row r="32" spans="1:27">
      <c r="A32" s="4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4" customFormat="1" ht="15.75">
      <c r="A33" s="72"/>
      <c r="B33" s="79" t="s">
        <v>37</v>
      </c>
      <c r="C33" s="104" t="s">
        <v>3</v>
      </c>
      <c r="D33" s="105"/>
      <c r="E33" s="105"/>
      <c r="F33" s="105"/>
      <c r="G33" s="105"/>
      <c r="H33" s="106"/>
      <c r="I33" s="104" t="s">
        <v>32</v>
      </c>
      <c r="J33" s="105"/>
      <c r="K33" s="105"/>
      <c r="L33" s="105"/>
      <c r="M33" s="105"/>
      <c r="N33" s="106"/>
      <c r="O33" s="104" t="s">
        <v>33</v>
      </c>
      <c r="P33" s="105"/>
      <c r="Q33" s="105"/>
      <c r="R33" s="105"/>
      <c r="S33" s="105"/>
      <c r="T33" s="106"/>
      <c r="U33" s="104" t="s">
        <v>34</v>
      </c>
      <c r="V33" s="105"/>
      <c r="W33" s="105"/>
      <c r="X33" s="105"/>
      <c r="Y33" s="105"/>
      <c r="Z33" s="106"/>
      <c r="AA33" s="73"/>
    </row>
    <row r="34" spans="1:27" s="74" customFormat="1" ht="30" customHeight="1">
      <c r="A34" s="72"/>
      <c r="B34" s="102" t="str">
        <f>CONCATENATE("20",RIGHT(הנחיות!B20,2))</f>
        <v>2022</v>
      </c>
      <c r="C34" s="101" t="s">
        <v>7</v>
      </c>
      <c r="D34" s="99"/>
      <c r="E34" s="99" t="s">
        <v>8</v>
      </c>
      <c r="F34" s="99"/>
      <c r="G34" s="99" t="s">
        <v>9</v>
      </c>
      <c r="H34" s="100"/>
      <c r="I34" s="101" t="s">
        <v>7</v>
      </c>
      <c r="J34" s="99"/>
      <c r="K34" s="99" t="s">
        <v>8</v>
      </c>
      <c r="L34" s="99"/>
      <c r="M34" s="99" t="s">
        <v>9</v>
      </c>
      <c r="N34" s="100"/>
      <c r="O34" s="101" t="s">
        <v>7</v>
      </c>
      <c r="P34" s="99"/>
      <c r="Q34" s="99" t="s">
        <v>8</v>
      </c>
      <c r="R34" s="99"/>
      <c r="S34" s="99" t="s">
        <v>9</v>
      </c>
      <c r="T34" s="100"/>
      <c r="U34" s="101" t="s">
        <v>7</v>
      </c>
      <c r="V34" s="99"/>
      <c r="W34" s="99" t="s">
        <v>8</v>
      </c>
      <c r="X34" s="99"/>
      <c r="Y34" s="99" t="s">
        <v>9</v>
      </c>
      <c r="Z34" s="100"/>
      <c r="AA34" s="73"/>
    </row>
    <row r="35" spans="1:27" s="74" customFormat="1" ht="14.25" customHeight="1">
      <c r="A35" s="72"/>
      <c r="B35" s="103"/>
      <c r="C35" s="78" t="s">
        <v>10</v>
      </c>
      <c r="D35" s="76" t="s">
        <v>11</v>
      </c>
      <c r="E35" s="76" t="s">
        <v>10</v>
      </c>
      <c r="F35" s="76" t="s">
        <v>11</v>
      </c>
      <c r="G35" s="76" t="s">
        <v>10</v>
      </c>
      <c r="H35" s="77" t="s">
        <v>11</v>
      </c>
      <c r="I35" s="78" t="s">
        <v>10</v>
      </c>
      <c r="J35" s="76" t="s">
        <v>11</v>
      </c>
      <c r="K35" s="76" t="s">
        <v>10</v>
      </c>
      <c r="L35" s="76" t="s">
        <v>11</v>
      </c>
      <c r="M35" s="76" t="s">
        <v>10</v>
      </c>
      <c r="N35" s="77" t="s">
        <v>11</v>
      </c>
      <c r="O35" s="78" t="s">
        <v>10</v>
      </c>
      <c r="P35" s="76" t="s">
        <v>11</v>
      </c>
      <c r="Q35" s="76" t="s">
        <v>10</v>
      </c>
      <c r="R35" s="76" t="s">
        <v>11</v>
      </c>
      <c r="S35" s="76" t="s">
        <v>10</v>
      </c>
      <c r="T35" s="77" t="s">
        <v>11</v>
      </c>
      <c r="U35" s="78" t="s">
        <v>10</v>
      </c>
      <c r="V35" s="76" t="s">
        <v>11</v>
      </c>
      <c r="W35" s="76" t="s">
        <v>10</v>
      </c>
      <c r="X35" s="76" t="s">
        <v>11</v>
      </c>
      <c r="Y35" s="76" t="s">
        <v>10</v>
      </c>
      <c r="Z35" s="77" t="s">
        <v>11</v>
      </c>
      <c r="AA35" s="73"/>
    </row>
    <row r="36" spans="1:27">
      <c r="A36" s="41"/>
      <c r="B36" s="10" t="s">
        <v>12</v>
      </c>
      <c r="C36" s="27">
        <f>C8</f>
        <v>3596</v>
      </c>
      <c r="D36" s="9">
        <f>IFERROR(C36/C$51,"")</f>
        <v>5.9127815394936318E-3</v>
      </c>
      <c r="E36" s="5">
        <f>E8</f>
        <v>3596</v>
      </c>
      <c r="F36" s="9">
        <f>IFERROR(E36/E$51,"")</f>
        <v>1.0058544308223335E-2</v>
      </c>
      <c r="G36" s="5">
        <f>G8</f>
        <v>3395290</v>
      </c>
      <c r="H36" s="31">
        <f>IFERROR(G36/G$51,"")</f>
        <v>9.3574615978599673E-2</v>
      </c>
      <c r="I36" s="54">
        <f>IF(I$23=0,"",I8+C36)</f>
        <v>43691</v>
      </c>
      <c r="J36" s="55">
        <f>IFERROR(I36/I$51,"")</f>
        <v>4.3889291820444772E-2</v>
      </c>
      <c r="K36" s="56">
        <f>IF(K$23=0,"",K8+E36)</f>
        <v>43691</v>
      </c>
      <c r="L36" s="55">
        <f>IFERROR(K36/K$51,"")</f>
        <v>6.6333866239127431E-2</v>
      </c>
      <c r="M36" s="56">
        <f>M8</f>
        <v>3833463</v>
      </c>
      <c r="N36" s="57">
        <f>IFERROR(M36/M$51,"")</f>
        <v>0.10500501719828133</v>
      </c>
      <c r="O36" s="58">
        <f>IF(O$23=0,"",O8+I36)</f>
        <v>53758</v>
      </c>
      <c r="P36" s="9">
        <f>IFERROR(O36/O$51,"")</f>
        <v>3.5322835525213467E-2</v>
      </c>
      <c r="Q36" s="5">
        <f>IF(Q$23=0,"",Q8+K36)</f>
        <v>53758</v>
      </c>
      <c r="R36" s="9">
        <f>IFERROR(Q36/Q$51,"")</f>
        <v>5.1700724760336686E-2</v>
      </c>
      <c r="S36" s="5">
        <f>S8</f>
        <v>3407327</v>
      </c>
      <c r="T36" s="31">
        <f>IFERROR(S36/S$51,"")</f>
        <v>9.3516410664787913E-2</v>
      </c>
      <c r="U36" s="54" t="str">
        <f>IF(U$23=0,"",U8+O36)</f>
        <v/>
      </c>
      <c r="V36" s="55" t="str">
        <f>IFERROR(U36/U$51,"")</f>
        <v/>
      </c>
      <c r="W36" s="56" t="str">
        <f>IF(W$23=0,"",W8+Q36)</f>
        <v/>
      </c>
      <c r="X36" s="55" t="str">
        <f>IFERROR(W36/W$51,"")</f>
        <v/>
      </c>
      <c r="Y36" s="56">
        <f>Y8</f>
        <v>0</v>
      </c>
      <c r="Z36" s="57" t="str">
        <f>IFERROR(Y36/Y$51,"")</f>
        <v/>
      </c>
      <c r="AA36" s="7"/>
    </row>
    <row r="37" spans="1:27">
      <c r="A37" s="41"/>
      <c r="B37" s="15" t="s">
        <v>13</v>
      </c>
      <c r="C37" s="28">
        <f t="shared" ref="C37:E50" si="129">C9</f>
        <v>21319</v>
      </c>
      <c r="D37" s="16">
        <f t="shared" ref="D37:F51" si="130">IFERROR(C37/C$51,"")</f>
        <v>3.505411280324381E-2</v>
      </c>
      <c r="E37" s="6">
        <f t="shared" si="129"/>
        <v>-89583</v>
      </c>
      <c r="F37" s="16">
        <f t="shared" si="130"/>
        <v>-0.25057691178074837</v>
      </c>
      <c r="G37" s="6">
        <f t="shared" ref="G37:G50" si="131">G9</f>
        <v>2438826</v>
      </c>
      <c r="H37" s="33">
        <f t="shared" ref="H37:H51" si="132">IFERROR(G37/G$51,"")</f>
        <v>6.7214348815159919E-2</v>
      </c>
      <c r="I37" s="11">
        <f t="shared" ref="I37:I50" si="133">IF(I$23=0,"",I9+C37)</f>
        <v>68675</v>
      </c>
      <c r="J37" s="12">
        <f t="shared" ref="J37:L51" si="134">IFERROR(I37/I$51,"")</f>
        <v>6.8986681828501165E-2</v>
      </c>
      <c r="K37" s="13">
        <f t="shared" ref="K37:K50" si="135">IF(K$23=0,"",K9+E37)</f>
        <v>-138170</v>
      </c>
      <c r="L37" s="12">
        <f t="shared" si="134"/>
        <v>-0.2097766198590153</v>
      </c>
      <c r="M37" s="13">
        <f t="shared" ref="M37:M50" si="136">M9</f>
        <v>3187375</v>
      </c>
      <c r="N37" s="32">
        <f t="shared" ref="N37:N51" si="137">IFERROR(M37/M$51,"")</f>
        <v>8.7307577167791084E-2</v>
      </c>
      <c r="O37" s="59">
        <f t="shared" ref="O37:O50" si="138">IF(O$23=0,"",O9+I37)</f>
        <v>104411</v>
      </c>
      <c r="P37" s="16">
        <f t="shared" ref="P37:P51" si="139">IFERROR(O37/O$51,"")</f>
        <v>6.8605464861472953E-2</v>
      </c>
      <c r="Q37" s="6">
        <f t="shared" ref="Q37:Q50" si="140">IF(Q$23=0,"",Q9+K37)</f>
        <v>-221293</v>
      </c>
      <c r="R37" s="16">
        <f t="shared" ref="R37:R51" si="141">IFERROR(Q37/Q$51,"")</f>
        <v>-0.21282429562835645</v>
      </c>
      <c r="S37" s="6">
        <f t="shared" ref="S37:S50" si="142">S9</f>
        <v>3011005</v>
      </c>
      <c r="T37" s="33">
        <f t="shared" ref="T37:T51" si="143">IFERROR(S37/S$51,"")</f>
        <v>8.2639083391095061E-2</v>
      </c>
      <c r="U37" s="11" t="str">
        <f t="shared" ref="U37:U50" si="144">IF(U$23=0,"",U9+O37)</f>
        <v/>
      </c>
      <c r="V37" s="12" t="str">
        <f t="shared" ref="V37:V51" si="145">IFERROR(U37/U$51,"")</f>
        <v/>
      </c>
      <c r="W37" s="13" t="str">
        <f t="shared" ref="W37:W50" si="146">IF(W$23=0,"",W9+Q37)</f>
        <v/>
      </c>
      <c r="X37" s="12" t="str">
        <f t="shared" ref="X37:X51" si="147">IFERROR(W37/W$51,"")</f>
        <v/>
      </c>
      <c r="Y37" s="13">
        <f t="shared" ref="Y37:Y50" si="148">Y9</f>
        <v>0</v>
      </c>
      <c r="Z37" s="32" t="str">
        <f t="shared" ref="Z37:Z51" si="149">IFERROR(Y37/Y$51,"")</f>
        <v/>
      </c>
      <c r="AA37" s="7"/>
    </row>
    <row r="38" spans="1:27">
      <c r="A38" s="41"/>
      <c r="B38" s="15" t="s">
        <v>14</v>
      </c>
      <c r="C38" s="28">
        <f t="shared" si="129"/>
        <v>333836</v>
      </c>
      <c r="D38" s="16">
        <f t="shared" si="130"/>
        <v>0.54891527753570524</v>
      </c>
      <c r="E38" s="6">
        <f t="shared" si="129"/>
        <v>333836</v>
      </c>
      <c r="F38" s="16">
        <f t="shared" si="130"/>
        <v>0.93378870903227074</v>
      </c>
      <c r="G38" s="6">
        <f t="shared" si="131"/>
        <v>14032048</v>
      </c>
      <c r="H38" s="33">
        <f t="shared" si="132"/>
        <v>0.38672499344482431</v>
      </c>
      <c r="I38" s="11">
        <f t="shared" si="133"/>
        <v>778459</v>
      </c>
      <c r="J38" s="12">
        <f t="shared" si="134"/>
        <v>0.7819920400368866</v>
      </c>
      <c r="K38" s="13">
        <f t="shared" si="135"/>
        <v>778459</v>
      </c>
      <c r="L38" s="12">
        <f t="shared" si="134"/>
        <v>1.1818954745518506</v>
      </c>
      <c r="M38" s="13">
        <f t="shared" si="136"/>
        <v>13965497</v>
      </c>
      <c r="N38" s="32">
        <f t="shared" si="137"/>
        <v>0.38253851743646572</v>
      </c>
      <c r="O38" s="59">
        <f t="shared" si="138"/>
        <v>1122327</v>
      </c>
      <c r="P38" s="16">
        <f t="shared" si="139"/>
        <v>0.73744878951051474</v>
      </c>
      <c r="Q38" s="6">
        <f t="shared" si="140"/>
        <v>1122327</v>
      </c>
      <c r="R38" s="16">
        <f t="shared" si="141"/>
        <v>1.0793764522135196</v>
      </c>
      <c r="S38" s="6">
        <f t="shared" si="142"/>
        <v>14305070</v>
      </c>
      <c r="T38" s="33">
        <f t="shared" si="143"/>
        <v>0.39261239109382157</v>
      </c>
      <c r="U38" s="11" t="str">
        <f t="shared" si="144"/>
        <v/>
      </c>
      <c r="V38" s="12" t="str">
        <f t="shared" si="145"/>
        <v/>
      </c>
      <c r="W38" s="13" t="str">
        <f t="shared" si="146"/>
        <v/>
      </c>
      <c r="X38" s="12" t="str">
        <f t="shared" si="147"/>
        <v/>
      </c>
      <c r="Y38" s="13">
        <f t="shared" si="148"/>
        <v>0</v>
      </c>
      <c r="Z38" s="32" t="str">
        <f t="shared" si="149"/>
        <v/>
      </c>
      <c r="AA38" s="7"/>
    </row>
    <row r="39" spans="1:27">
      <c r="A39" s="41"/>
      <c r="B39" s="15" t="s">
        <v>15</v>
      </c>
      <c r="C39" s="28">
        <f t="shared" si="129"/>
        <v>53477</v>
      </c>
      <c r="D39" s="16">
        <f t="shared" si="130"/>
        <v>8.7930427805200481E-2</v>
      </c>
      <c r="E39" s="6">
        <f t="shared" si="129"/>
        <v>-99484</v>
      </c>
      <c r="F39" s="16">
        <f t="shared" si="130"/>
        <v>-0.27827147440469696</v>
      </c>
      <c r="G39" s="6">
        <f t="shared" si="131"/>
        <v>2433315</v>
      </c>
      <c r="H39" s="33">
        <f t="shared" si="132"/>
        <v>6.7062464967636418E-2</v>
      </c>
      <c r="I39" s="11">
        <f t="shared" si="133"/>
        <v>61749</v>
      </c>
      <c r="J39" s="12">
        <f t="shared" si="134"/>
        <v>6.2029248143110574E-2</v>
      </c>
      <c r="K39" s="13">
        <f t="shared" si="135"/>
        <v>-171874</v>
      </c>
      <c r="L39" s="12">
        <f t="shared" si="134"/>
        <v>-0.26094772209342398</v>
      </c>
      <c r="M39" s="13">
        <f t="shared" si="136"/>
        <v>2236872</v>
      </c>
      <c r="N39" s="32">
        <f t="shared" si="137"/>
        <v>6.127169685225968E-2</v>
      </c>
      <c r="O39" s="59">
        <f t="shared" si="138"/>
        <v>85035</v>
      </c>
      <c r="P39" s="16">
        <f t="shared" si="139"/>
        <v>5.5874052585411046E-2</v>
      </c>
      <c r="Q39" s="6">
        <f t="shared" si="140"/>
        <v>-228981</v>
      </c>
      <c r="R39" s="16">
        <f t="shared" si="141"/>
        <v>-0.22021808207795404</v>
      </c>
      <c r="S39" s="6">
        <f t="shared" si="142"/>
        <v>2485153</v>
      </c>
      <c r="T39" s="33">
        <f t="shared" si="143"/>
        <v>6.8206717028576849E-2</v>
      </c>
      <c r="U39" s="11" t="str">
        <f t="shared" si="144"/>
        <v/>
      </c>
      <c r="V39" s="12" t="str">
        <f t="shared" si="145"/>
        <v/>
      </c>
      <c r="W39" s="13" t="str">
        <f t="shared" si="146"/>
        <v/>
      </c>
      <c r="X39" s="12" t="str">
        <f t="shared" si="147"/>
        <v/>
      </c>
      <c r="Y39" s="13">
        <f t="shared" si="148"/>
        <v>0</v>
      </c>
      <c r="Z39" s="32" t="str">
        <f t="shared" si="149"/>
        <v/>
      </c>
      <c r="AA39" s="7"/>
    </row>
    <row r="40" spans="1:27">
      <c r="A40" s="41"/>
      <c r="B40" s="15" t="s">
        <v>16</v>
      </c>
      <c r="C40" s="28">
        <f t="shared" si="129"/>
        <v>10931</v>
      </c>
      <c r="D40" s="16">
        <f t="shared" si="130"/>
        <v>1.7973474696386233E-2</v>
      </c>
      <c r="E40" s="6">
        <f t="shared" si="129"/>
        <v>10931</v>
      </c>
      <c r="F40" s="16">
        <f t="shared" si="130"/>
        <v>3.0575625092655528E-2</v>
      </c>
      <c r="G40" s="6">
        <f t="shared" si="131"/>
        <v>385235</v>
      </c>
      <c r="H40" s="33">
        <f t="shared" si="132"/>
        <v>1.0617124659901171E-2</v>
      </c>
      <c r="I40" s="11">
        <f t="shared" si="133"/>
        <v>25617</v>
      </c>
      <c r="J40" s="12">
        <f t="shared" si="134"/>
        <v>2.5733262881699519E-2</v>
      </c>
      <c r="K40" s="13">
        <f t="shared" si="135"/>
        <v>25617</v>
      </c>
      <c r="L40" s="12">
        <f t="shared" si="134"/>
        <v>3.8893013468396867E-2</v>
      </c>
      <c r="M40" s="13">
        <f t="shared" si="136"/>
        <v>355720</v>
      </c>
      <c r="N40" s="32">
        <f t="shared" si="137"/>
        <v>9.7437707675208114E-3</v>
      </c>
      <c r="O40" s="59">
        <f t="shared" si="138"/>
        <v>33869</v>
      </c>
      <c r="P40" s="16">
        <f t="shared" si="139"/>
        <v>2.2254345704889596E-2</v>
      </c>
      <c r="Q40" s="6">
        <f t="shared" si="140"/>
        <v>33869</v>
      </c>
      <c r="R40" s="16">
        <f t="shared" si="141"/>
        <v>3.2572860725991352E-2</v>
      </c>
      <c r="S40" s="6">
        <f t="shared" si="142"/>
        <v>307900</v>
      </c>
      <c r="T40" s="33">
        <f t="shared" si="143"/>
        <v>8.4505252485858277E-3</v>
      </c>
      <c r="U40" s="11" t="str">
        <f t="shared" si="144"/>
        <v/>
      </c>
      <c r="V40" s="12" t="str">
        <f t="shared" si="145"/>
        <v/>
      </c>
      <c r="W40" s="13" t="str">
        <f t="shared" si="146"/>
        <v/>
      </c>
      <c r="X40" s="12" t="str">
        <f t="shared" si="147"/>
        <v/>
      </c>
      <c r="Y40" s="13">
        <f t="shared" si="148"/>
        <v>0</v>
      </c>
      <c r="Z40" s="32" t="str">
        <f t="shared" si="149"/>
        <v/>
      </c>
      <c r="AA40" s="7"/>
    </row>
    <row r="41" spans="1:27">
      <c r="A41" s="41"/>
      <c r="B41" s="15" t="s">
        <v>17</v>
      </c>
      <c r="C41" s="28">
        <f t="shared" si="129"/>
        <v>77760</v>
      </c>
      <c r="D41" s="16">
        <f t="shared" si="130"/>
        <v>0.12785814585957309</v>
      </c>
      <c r="E41" s="6">
        <f t="shared" si="129"/>
        <v>24239</v>
      </c>
      <c r="F41" s="16">
        <f t="shared" si="130"/>
        <v>6.7800071047559904E-2</v>
      </c>
      <c r="G41" s="6">
        <f t="shared" si="131"/>
        <v>2095017</v>
      </c>
      <c r="H41" s="33">
        <f t="shared" si="132"/>
        <v>5.7738929883349568E-2</v>
      </c>
      <c r="I41" s="11">
        <f t="shared" si="133"/>
        <v>63394</v>
      </c>
      <c r="J41" s="12">
        <f t="shared" si="134"/>
        <v>6.3681713983778712E-2</v>
      </c>
      <c r="K41" s="13">
        <f t="shared" si="135"/>
        <v>-115077</v>
      </c>
      <c r="L41" s="12">
        <f t="shared" si="134"/>
        <v>-0.17471566970772168</v>
      </c>
      <c r="M41" s="13">
        <f t="shared" si="136"/>
        <v>1909752</v>
      </c>
      <c r="N41" s="32">
        <f t="shared" si="137"/>
        <v>5.2311328322316442E-2</v>
      </c>
      <c r="O41" s="59">
        <f t="shared" si="138"/>
        <v>105805</v>
      </c>
      <c r="P41" s="16">
        <f t="shared" si="139"/>
        <v>6.9521422164984012E-2</v>
      </c>
      <c r="Q41" s="6">
        <f t="shared" si="140"/>
        <v>-46209</v>
      </c>
      <c r="R41" s="16">
        <f t="shared" si="141"/>
        <v>-4.4440618893009369E-2</v>
      </c>
      <c r="S41" s="6">
        <f t="shared" si="142"/>
        <v>1899420</v>
      </c>
      <c r="T41" s="33">
        <f t="shared" si="143"/>
        <v>5.2130875828739501E-2</v>
      </c>
      <c r="U41" s="11" t="str">
        <f t="shared" si="144"/>
        <v/>
      </c>
      <c r="V41" s="12" t="str">
        <f t="shared" si="145"/>
        <v/>
      </c>
      <c r="W41" s="13" t="str">
        <f t="shared" si="146"/>
        <v/>
      </c>
      <c r="X41" s="12" t="str">
        <f t="shared" si="147"/>
        <v/>
      </c>
      <c r="Y41" s="13">
        <f t="shared" si="148"/>
        <v>0</v>
      </c>
      <c r="Z41" s="32" t="str">
        <f t="shared" si="149"/>
        <v/>
      </c>
      <c r="AA41" s="7"/>
    </row>
    <row r="42" spans="1:27">
      <c r="A42" s="41"/>
      <c r="B42" s="15" t="s">
        <v>18</v>
      </c>
      <c r="C42" s="28">
        <f t="shared" si="129"/>
        <v>-6392</v>
      </c>
      <c r="D42" s="16">
        <f t="shared" si="130"/>
        <v>-1.0510150055740627E-2</v>
      </c>
      <c r="E42" s="6">
        <f t="shared" si="129"/>
        <v>-30187</v>
      </c>
      <c r="F42" s="16">
        <f t="shared" si="130"/>
        <v>-8.4437507517335322E-2</v>
      </c>
      <c r="G42" s="6">
        <f t="shared" si="131"/>
        <v>595733</v>
      </c>
      <c r="H42" s="33">
        <f t="shared" si="132"/>
        <v>1.6418475800529297E-2</v>
      </c>
      <c r="I42" s="11">
        <f t="shared" si="133"/>
        <v>-8215</v>
      </c>
      <c r="J42" s="12">
        <f t="shared" si="134"/>
        <v>-8.2522838182910382E-3</v>
      </c>
      <c r="K42" s="13">
        <f t="shared" si="135"/>
        <v>-68989</v>
      </c>
      <c r="L42" s="12">
        <f t="shared" si="134"/>
        <v>-0.10474255791744667</v>
      </c>
      <c r="M42" s="13">
        <f t="shared" si="136"/>
        <v>498270</v>
      </c>
      <c r="N42" s="32">
        <f t="shared" si="137"/>
        <v>1.3648455696425825E-2</v>
      </c>
      <c r="O42" s="59">
        <f t="shared" si="138"/>
        <v>-76202</v>
      </c>
      <c r="P42" s="16">
        <f t="shared" si="139"/>
        <v>-5.0070142354483364E-2</v>
      </c>
      <c r="Q42" s="6">
        <f t="shared" si="140"/>
        <v>-90602</v>
      </c>
      <c r="R42" s="16">
        <f t="shared" si="141"/>
        <v>-8.7134734639235545E-2</v>
      </c>
      <c r="S42" s="6">
        <f t="shared" si="142"/>
        <v>419979</v>
      </c>
      <c r="T42" s="33">
        <f t="shared" si="143"/>
        <v>1.1526609754387226E-2</v>
      </c>
      <c r="U42" s="11" t="str">
        <f t="shared" si="144"/>
        <v/>
      </c>
      <c r="V42" s="12" t="str">
        <f t="shared" si="145"/>
        <v/>
      </c>
      <c r="W42" s="13" t="str">
        <f t="shared" si="146"/>
        <v/>
      </c>
      <c r="X42" s="12" t="str">
        <f t="shared" si="147"/>
        <v/>
      </c>
      <c r="Y42" s="13">
        <f t="shared" si="148"/>
        <v>0</v>
      </c>
      <c r="Z42" s="32" t="str">
        <f t="shared" si="149"/>
        <v/>
      </c>
      <c r="AA42" s="7"/>
    </row>
    <row r="43" spans="1:27">
      <c r="A43" s="41"/>
      <c r="B43" s="15" t="s">
        <v>19</v>
      </c>
      <c r="C43" s="28">
        <f t="shared" si="129"/>
        <v>13106</v>
      </c>
      <c r="D43" s="16">
        <f t="shared" si="130"/>
        <v>2.1549753853338027E-2</v>
      </c>
      <c r="E43" s="6">
        <f t="shared" si="129"/>
        <v>13106</v>
      </c>
      <c r="F43" s="16">
        <f t="shared" si="130"/>
        <v>3.6659422053274479E-2</v>
      </c>
      <c r="G43" s="6">
        <f t="shared" si="131"/>
        <v>467277</v>
      </c>
      <c r="H43" s="33">
        <f t="shared" si="132"/>
        <v>1.2878212415031447E-2</v>
      </c>
      <c r="I43" s="11">
        <f t="shared" si="133"/>
        <v>40176</v>
      </c>
      <c r="J43" s="12">
        <f t="shared" si="134"/>
        <v>4.0358338975491272E-2</v>
      </c>
      <c r="K43" s="13">
        <f t="shared" si="135"/>
        <v>40176</v>
      </c>
      <c r="L43" s="12">
        <f t="shared" si="134"/>
        <v>6.099721704751971E-2</v>
      </c>
      <c r="M43" s="13">
        <f t="shared" si="136"/>
        <v>256819</v>
      </c>
      <c r="N43" s="32">
        <f t="shared" si="137"/>
        <v>7.0347055682669721E-3</v>
      </c>
      <c r="O43" s="59">
        <f t="shared" si="138"/>
        <v>37251</v>
      </c>
      <c r="P43" s="16">
        <f t="shared" si="139"/>
        <v>2.4476560626320303E-2</v>
      </c>
      <c r="Q43" s="6">
        <f t="shared" si="140"/>
        <v>37251</v>
      </c>
      <c r="R43" s="16">
        <f t="shared" si="141"/>
        <v>3.5825434317632757E-2</v>
      </c>
      <c r="S43" s="6">
        <f t="shared" si="142"/>
        <v>154716</v>
      </c>
      <c r="T43" s="33">
        <f t="shared" si="143"/>
        <v>4.2462860161097916E-3</v>
      </c>
      <c r="U43" s="11" t="str">
        <f t="shared" si="144"/>
        <v/>
      </c>
      <c r="V43" s="12" t="str">
        <f t="shared" si="145"/>
        <v/>
      </c>
      <c r="W43" s="13" t="str">
        <f t="shared" si="146"/>
        <v/>
      </c>
      <c r="X43" s="12" t="str">
        <f t="shared" si="147"/>
        <v/>
      </c>
      <c r="Y43" s="13">
        <f t="shared" si="148"/>
        <v>0</v>
      </c>
      <c r="Z43" s="32" t="str">
        <f t="shared" si="149"/>
        <v/>
      </c>
      <c r="AA43" s="7"/>
    </row>
    <row r="44" spans="1:27">
      <c r="A44" s="41"/>
      <c r="B44" s="15" t="s">
        <v>20</v>
      </c>
      <c r="C44" s="28">
        <f t="shared" si="129"/>
        <v>84266</v>
      </c>
      <c r="D44" s="16">
        <f t="shared" si="130"/>
        <v>0.13855574227112635</v>
      </c>
      <c r="E44" s="6">
        <f t="shared" si="129"/>
        <v>84266</v>
      </c>
      <c r="F44" s="16">
        <f t="shared" si="130"/>
        <v>0.23570447571655939</v>
      </c>
      <c r="G44" s="6">
        <f t="shared" si="131"/>
        <v>4982933</v>
      </c>
      <c r="H44" s="33">
        <f t="shared" si="132"/>
        <v>0.13733025512462604</v>
      </c>
      <c r="I44" s="11">
        <f t="shared" si="133"/>
        <v>216021</v>
      </c>
      <c r="J44" s="12">
        <f t="shared" si="134"/>
        <v>0.21700141238113799</v>
      </c>
      <c r="K44" s="13">
        <f t="shared" si="135"/>
        <v>216021</v>
      </c>
      <c r="L44" s="12">
        <f t="shared" si="134"/>
        <v>0.32797391038984108</v>
      </c>
      <c r="M44" s="13">
        <f t="shared" si="136"/>
        <v>5180901</v>
      </c>
      <c r="N44" s="32">
        <f t="shared" si="137"/>
        <v>0.14191361664573074</v>
      </c>
      <c r="O44" s="59">
        <f t="shared" si="138"/>
        <v>314580</v>
      </c>
      <c r="P44" s="16">
        <f t="shared" si="139"/>
        <v>0.20670146953982016</v>
      </c>
      <c r="Q44" s="6">
        <f t="shared" si="140"/>
        <v>314580</v>
      </c>
      <c r="R44" s="16">
        <f t="shared" si="141"/>
        <v>0.30254127748626647</v>
      </c>
      <c r="S44" s="6">
        <f t="shared" si="142"/>
        <v>5395054</v>
      </c>
      <c r="T44" s="33">
        <f t="shared" si="143"/>
        <v>0.1480709322652938</v>
      </c>
      <c r="U44" s="11" t="str">
        <f t="shared" si="144"/>
        <v/>
      </c>
      <c r="V44" s="12" t="str">
        <f t="shared" si="145"/>
        <v/>
      </c>
      <c r="W44" s="13" t="str">
        <f t="shared" si="146"/>
        <v/>
      </c>
      <c r="X44" s="12" t="str">
        <f t="shared" si="147"/>
        <v/>
      </c>
      <c r="Y44" s="13">
        <f t="shared" si="148"/>
        <v>0</v>
      </c>
      <c r="Z44" s="32" t="str">
        <f t="shared" si="149"/>
        <v/>
      </c>
      <c r="AA44" s="7"/>
    </row>
    <row r="45" spans="1:27">
      <c r="A45" s="41"/>
      <c r="B45" s="15" t="s">
        <v>21</v>
      </c>
      <c r="C45" s="28">
        <f t="shared" si="129"/>
        <v>9787</v>
      </c>
      <c r="D45" s="16">
        <f t="shared" si="130"/>
        <v>1.6092434073143543E-2</v>
      </c>
      <c r="E45" s="6">
        <f t="shared" si="129"/>
        <v>9787</v>
      </c>
      <c r="F45" s="16">
        <f t="shared" si="130"/>
        <v>2.7375687748771353E-2</v>
      </c>
      <c r="G45" s="6">
        <f t="shared" si="131"/>
        <v>836585</v>
      </c>
      <c r="H45" s="33">
        <f t="shared" si="132"/>
        <v>2.3056386967963506E-2</v>
      </c>
      <c r="I45" s="11">
        <f t="shared" si="133"/>
        <v>23150</v>
      </c>
      <c r="J45" s="12">
        <f t="shared" si="134"/>
        <v>2.3255066389949793E-2</v>
      </c>
      <c r="K45" s="13">
        <f t="shared" si="135"/>
        <v>23150</v>
      </c>
      <c r="L45" s="12">
        <f t="shared" si="134"/>
        <v>3.5147490408454829E-2</v>
      </c>
      <c r="M45" s="13">
        <f t="shared" si="136"/>
        <v>496529</v>
      </c>
      <c r="N45" s="32">
        <f t="shared" si="137"/>
        <v>1.3600766770005457E-2</v>
      </c>
      <c r="O45" s="59">
        <f t="shared" si="138"/>
        <v>32835</v>
      </c>
      <c r="P45" s="16">
        <f t="shared" si="139"/>
        <v>2.1574934046474648E-2</v>
      </c>
      <c r="Q45" s="6">
        <f t="shared" si="140"/>
        <v>32835</v>
      </c>
      <c r="R45" s="16">
        <f t="shared" si="141"/>
        <v>3.1578431070829548E-2</v>
      </c>
      <c r="S45" s="6">
        <f t="shared" si="142"/>
        <v>492527</v>
      </c>
      <c r="T45" s="33">
        <f t="shared" si="143"/>
        <v>1.3517739035759115E-2</v>
      </c>
      <c r="U45" s="11" t="str">
        <f t="shared" si="144"/>
        <v/>
      </c>
      <c r="V45" s="12" t="str">
        <f t="shared" si="145"/>
        <v/>
      </c>
      <c r="W45" s="13" t="str">
        <f t="shared" si="146"/>
        <v/>
      </c>
      <c r="X45" s="12" t="str">
        <f t="shared" si="147"/>
        <v/>
      </c>
      <c r="Y45" s="13">
        <f t="shared" si="148"/>
        <v>0</v>
      </c>
      <c r="Z45" s="32" t="str">
        <f t="shared" si="149"/>
        <v/>
      </c>
      <c r="AA45" s="7"/>
    </row>
    <row r="46" spans="1:27">
      <c r="A46" s="41"/>
      <c r="B46" s="15" t="s">
        <v>22</v>
      </c>
      <c r="C46" s="28">
        <f t="shared" si="129"/>
        <v>-39155</v>
      </c>
      <c r="D46" s="16">
        <f t="shared" si="130"/>
        <v>-6.4381246156527572E-2</v>
      </c>
      <c r="E46" s="6">
        <f t="shared" si="129"/>
        <v>-39155</v>
      </c>
      <c r="F46" s="16">
        <f t="shared" si="130"/>
        <v>-0.10952233103128051</v>
      </c>
      <c r="G46" s="6">
        <f t="shared" si="131"/>
        <v>148096</v>
      </c>
      <c r="H46" s="33">
        <f t="shared" si="132"/>
        <v>4.0815442356813992E-3</v>
      </c>
      <c r="I46" s="11">
        <f t="shared" si="133"/>
        <v>-408776</v>
      </c>
      <c r="J46" s="12">
        <f t="shared" si="134"/>
        <v>-0.41063123190575018</v>
      </c>
      <c r="K46" s="13">
        <f t="shared" si="135"/>
        <v>-408776</v>
      </c>
      <c r="L46" s="12">
        <f t="shared" si="134"/>
        <v>-0.62062421335665363</v>
      </c>
      <c r="M46" s="13">
        <f t="shared" si="136"/>
        <v>-342546</v>
      </c>
      <c r="N46" s="32">
        <f t="shared" si="137"/>
        <v>-9.3829126878758121E-3</v>
      </c>
      <c r="O46" s="59">
        <f t="shared" si="138"/>
        <v>-486710</v>
      </c>
      <c r="P46" s="16">
        <f t="shared" si="139"/>
        <v>-0.3198031414575811</v>
      </c>
      <c r="Q46" s="6">
        <f t="shared" si="140"/>
        <v>-486710</v>
      </c>
      <c r="R46" s="16">
        <f t="shared" si="141"/>
        <v>-0.46808400141566775</v>
      </c>
      <c r="S46" s="6">
        <f t="shared" si="142"/>
        <v>-394574</v>
      </c>
      <c r="T46" s="33">
        <f t="shared" si="143"/>
        <v>-1.0829352222914921E-2</v>
      </c>
      <c r="U46" s="11" t="str">
        <f t="shared" si="144"/>
        <v/>
      </c>
      <c r="V46" s="12" t="str">
        <f t="shared" si="145"/>
        <v/>
      </c>
      <c r="W46" s="13" t="str">
        <f t="shared" si="146"/>
        <v/>
      </c>
      <c r="X46" s="12" t="str">
        <f t="shared" si="147"/>
        <v/>
      </c>
      <c r="Y46" s="13">
        <f t="shared" si="148"/>
        <v>0</v>
      </c>
      <c r="Z46" s="32" t="str">
        <f t="shared" si="149"/>
        <v/>
      </c>
      <c r="AA46" s="7"/>
    </row>
    <row r="47" spans="1:27">
      <c r="A47" s="41"/>
      <c r="B47" s="15" t="s">
        <v>23</v>
      </c>
      <c r="C47" s="28">
        <f t="shared" si="129"/>
        <v>-3792</v>
      </c>
      <c r="D47" s="16">
        <f t="shared" si="130"/>
        <v>-6.2350577301890581E-3</v>
      </c>
      <c r="E47" s="6">
        <f t="shared" si="129"/>
        <v>-3325</v>
      </c>
      <c r="F47" s="16">
        <f t="shared" si="130"/>
        <v>-9.3005171926703531E-3</v>
      </c>
      <c r="G47" s="6">
        <f t="shared" si="131"/>
        <v>80069</v>
      </c>
      <c r="H47" s="33">
        <f t="shared" si="132"/>
        <v>2.2067116289891282E-3</v>
      </c>
      <c r="I47" s="11">
        <f t="shared" si="133"/>
        <v>598</v>
      </c>
      <c r="J47" s="12">
        <f t="shared" si="134"/>
        <v>6.0071402596932947E-4</v>
      </c>
      <c r="K47" s="13">
        <f t="shared" si="135"/>
        <v>4422</v>
      </c>
      <c r="L47" s="12">
        <f t="shared" si="134"/>
        <v>6.7137020555588451E-3</v>
      </c>
      <c r="M47" s="13">
        <f t="shared" si="136"/>
        <v>87801</v>
      </c>
      <c r="N47" s="32">
        <f t="shared" si="137"/>
        <v>2.4050174776765287E-3</v>
      </c>
      <c r="O47" s="59">
        <f t="shared" si="138"/>
        <v>1921</v>
      </c>
      <c r="P47" s="16">
        <f t="shared" si="139"/>
        <v>1.2622338450823146E-3</v>
      </c>
      <c r="Q47" s="6">
        <f t="shared" si="140"/>
        <v>4667</v>
      </c>
      <c r="R47" s="16">
        <f t="shared" si="141"/>
        <v>4.4883976795359075E-3</v>
      </c>
      <c r="S47" s="6">
        <f t="shared" si="142"/>
        <v>59447</v>
      </c>
      <c r="T47" s="33">
        <f t="shared" si="143"/>
        <v>1.6315634116683393E-3</v>
      </c>
      <c r="U47" s="11" t="str">
        <f t="shared" si="144"/>
        <v/>
      </c>
      <c r="V47" s="12" t="str">
        <f t="shared" si="145"/>
        <v/>
      </c>
      <c r="W47" s="13" t="str">
        <f t="shared" si="146"/>
        <v/>
      </c>
      <c r="X47" s="12" t="str">
        <f t="shared" si="147"/>
        <v/>
      </c>
      <c r="Y47" s="13">
        <f t="shared" si="148"/>
        <v>0</v>
      </c>
      <c r="Z47" s="32" t="str">
        <f t="shared" si="149"/>
        <v/>
      </c>
      <c r="AA47" s="7"/>
    </row>
    <row r="48" spans="1:27">
      <c r="A48" s="41"/>
      <c r="B48" s="15" t="s">
        <v>24</v>
      </c>
      <c r="C48" s="28">
        <f t="shared" si="129"/>
        <v>41139</v>
      </c>
      <c r="D48" s="16">
        <f t="shared" si="130"/>
        <v>6.7643470454179233E-2</v>
      </c>
      <c r="E48" s="6">
        <f t="shared" si="129"/>
        <v>129200</v>
      </c>
      <c r="F48" s="16">
        <f t="shared" si="130"/>
        <v>0.36139152520090517</v>
      </c>
      <c r="G48" s="6">
        <f t="shared" si="131"/>
        <v>3092021</v>
      </c>
      <c r="H48" s="33">
        <f t="shared" si="132"/>
        <v>8.521648450434742E-2</v>
      </c>
      <c r="I48" s="11">
        <f t="shared" si="133"/>
        <v>65313</v>
      </c>
      <c r="J48" s="12">
        <f t="shared" si="134"/>
        <v>6.560942337480738E-2</v>
      </c>
      <c r="K48" s="13">
        <f t="shared" si="135"/>
        <v>391650</v>
      </c>
      <c r="L48" s="12">
        <f t="shared" si="134"/>
        <v>0.5946226617050252</v>
      </c>
      <c r="M48" s="13">
        <f t="shared" si="136"/>
        <v>3484087</v>
      </c>
      <c r="N48" s="32">
        <f t="shared" si="137"/>
        <v>9.5435019290732268E-2</v>
      </c>
      <c r="O48" s="59">
        <f t="shared" si="138"/>
        <v>105815</v>
      </c>
      <c r="P48" s="16">
        <f t="shared" si="139"/>
        <v>6.9527992877347802E-2</v>
      </c>
      <c r="Q48" s="6">
        <f t="shared" si="140"/>
        <v>414142</v>
      </c>
      <c r="R48" s="16">
        <f t="shared" si="141"/>
        <v>0.39829312016249402</v>
      </c>
      <c r="S48" s="6">
        <f t="shared" si="142"/>
        <v>3482066</v>
      </c>
      <c r="T48" s="33">
        <f t="shared" si="143"/>
        <v>9.5567673433719566E-2</v>
      </c>
      <c r="U48" s="11" t="str">
        <f t="shared" si="144"/>
        <v/>
      </c>
      <c r="V48" s="12" t="str">
        <f t="shared" si="145"/>
        <v/>
      </c>
      <c r="W48" s="13" t="str">
        <f t="shared" si="146"/>
        <v/>
      </c>
      <c r="X48" s="12" t="str">
        <f t="shared" si="147"/>
        <v/>
      </c>
      <c r="Y48" s="13">
        <f t="shared" si="148"/>
        <v>0</v>
      </c>
      <c r="Z48" s="32" t="str">
        <f t="shared" si="149"/>
        <v/>
      </c>
      <c r="AA48" s="7"/>
    </row>
    <row r="49" spans="1:27">
      <c r="A49" s="41"/>
      <c r="B49" s="15" t="s">
        <v>25</v>
      </c>
      <c r="C49" s="28">
        <f t="shared" si="129"/>
        <v>23223</v>
      </c>
      <c r="D49" s="16">
        <f t="shared" si="130"/>
        <v>3.81847957985708E-2</v>
      </c>
      <c r="E49" s="6">
        <f t="shared" si="129"/>
        <v>25207</v>
      </c>
      <c r="F49" s="16">
        <f t="shared" si="130"/>
        <v>7.0507710338538823E-2</v>
      </c>
      <c r="G49" s="6">
        <f t="shared" si="131"/>
        <v>1301861</v>
      </c>
      <c r="H49" s="33">
        <f t="shared" si="132"/>
        <v>3.5879451573360671E-2</v>
      </c>
      <c r="I49" s="11">
        <f t="shared" si="133"/>
        <v>44286</v>
      </c>
      <c r="J49" s="12">
        <f t="shared" si="134"/>
        <v>4.4486992230899206E-2</v>
      </c>
      <c r="K49" s="13">
        <f t="shared" si="135"/>
        <v>57009</v>
      </c>
      <c r="L49" s="12">
        <f t="shared" si="134"/>
        <v>8.6553921412337004E-2</v>
      </c>
      <c r="M49" s="13">
        <f t="shared" si="136"/>
        <v>1356887</v>
      </c>
      <c r="N49" s="32">
        <f t="shared" si="137"/>
        <v>3.7167423494402933E-2</v>
      </c>
      <c r="O49" s="59">
        <f t="shared" si="138"/>
        <v>86670</v>
      </c>
      <c r="P49" s="16">
        <f t="shared" si="139"/>
        <v>5.6948364056889231E-2</v>
      </c>
      <c r="Q49" s="6">
        <f t="shared" si="140"/>
        <v>99618</v>
      </c>
      <c r="R49" s="16">
        <f t="shared" si="141"/>
        <v>9.5805699601458752E-2</v>
      </c>
      <c r="S49" s="6">
        <f t="shared" si="142"/>
        <v>1410515</v>
      </c>
      <c r="T49" s="33">
        <f t="shared" si="143"/>
        <v>3.8712545050370376E-2</v>
      </c>
      <c r="U49" s="11" t="str">
        <f t="shared" si="144"/>
        <v/>
      </c>
      <c r="V49" s="12" t="str">
        <f t="shared" si="145"/>
        <v/>
      </c>
      <c r="W49" s="13" t="str">
        <f t="shared" si="146"/>
        <v/>
      </c>
      <c r="X49" s="12" t="str">
        <f t="shared" si="147"/>
        <v/>
      </c>
      <c r="Y49" s="13">
        <f t="shared" si="148"/>
        <v>0</v>
      </c>
      <c r="Z49" s="32" t="str">
        <f t="shared" si="149"/>
        <v/>
      </c>
      <c r="AA49" s="7"/>
    </row>
    <row r="50" spans="1:27">
      <c r="A50" s="41"/>
      <c r="B50" s="15" t="s">
        <v>26</v>
      </c>
      <c r="C50" s="28">
        <f t="shared" si="129"/>
        <v>-14927</v>
      </c>
      <c r="D50" s="16">
        <f t="shared" si="130"/>
        <v>-2.4543962747503183E-2</v>
      </c>
      <c r="E50" s="6">
        <f t="shared" si="129"/>
        <v>-14927</v>
      </c>
      <c r="F50" s="16">
        <f t="shared" si="130"/>
        <v>-4.1753028612027177E-2</v>
      </c>
      <c r="G50" s="6">
        <f t="shared" si="131"/>
        <v>0</v>
      </c>
      <c r="H50" s="33">
        <f t="shared" si="132"/>
        <v>0</v>
      </c>
      <c r="I50" s="11">
        <f t="shared" si="133"/>
        <v>-18656</v>
      </c>
      <c r="J50" s="12">
        <f t="shared" si="134"/>
        <v>-1.8740670348635132E-2</v>
      </c>
      <c r="K50" s="13">
        <f t="shared" si="135"/>
        <v>-18656</v>
      </c>
      <c r="L50" s="12">
        <f t="shared" si="134"/>
        <v>-2.8324474343850253E-2</v>
      </c>
      <c r="M50" s="13">
        <f t="shared" si="136"/>
        <v>0</v>
      </c>
      <c r="N50" s="32">
        <f t="shared" si="137"/>
        <v>0</v>
      </c>
      <c r="O50" s="59">
        <f t="shared" si="138"/>
        <v>540</v>
      </c>
      <c r="P50" s="16">
        <f t="shared" si="139"/>
        <v>3.5481846764416966E-4</v>
      </c>
      <c r="Q50" s="6">
        <f t="shared" si="140"/>
        <v>540</v>
      </c>
      <c r="R50" s="16">
        <f t="shared" si="141"/>
        <v>5.1933463615800083E-4</v>
      </c>
      <c r="S50" s="6">
        <f t="shared" si="142"/>
        <v>0</v>
      </c>
      <c r="T50" s="33">
        <f t="shared" si="143"/>
        <v>0</v>
      </c>
      <c r="U50" s="11" t="str">
        <f t="shared" si="144"/>
        <v/>
      </c>
      <c r="V50" s="12" t="str">
        <f t="shared" si="145"/>
        <v/>
      </c>
      <c r="W50" s="13" t="str">
        <f t="shared" si="146"/>
        <v/>
      </c>
      <c r="X50" s="12" t="str">
        <f t="shared" si="147"/>
        <v/>
      </c>
      <c r="Y50" s="13">
        <f t="shared" si="148"/>
        <v>0</v>
      </c>
      <c r="Z50" s="32" t="str">
        <f t="shared" si="149"/>
        <v/>
      </c>
      <c r="AA50" s="7"/>
    </row>
    <row r="51" spans="1:27">
      <c r="A51" s="41"/>
      <c r="B51" s="17" t="s">
        <v>27</v>
      </c>
      <c r="C51" s="18">
        <f>SUM(C36:C50)</f>
        <v>608174</v>
      </c>
      <c r="D51" s="19">
        <f t="shared" si="130"/>
        <v>1</v>
      </c>
      <c r="E51" s="23">
        <f>SUM(E36:E50)</f>
        <v>357507</v>
      </c>
      <c r="F51" s="19">
        <f t="shared" si="130"/>
        <v>1</v>
      </c>
      <c r="G51" s="23">
        <f>SUM(G36:G50)</f>
        <v>36284306</v>
      </c>
      <c r="H51" s="34">
        <f t="shared" si="132"/>
        <v>1</v>
      </c>
      <c r="I51" s="20">
        <f>SUM(I36:I50)</f>
        <v>995482</v>
      </c>
      <c r="J51" s="21">
        <f t="shared" si="134"/>
        <v>1</v>
      </c>
      <c r="K51" s="22">
        <f>SUM(K36:K50)</f>
        <v>658653</v>
      </c>
      <c r="L51" s="21">
        <f t="shared" si="134"/>
        <v>1</v>
      </c>
      <c r="M51" s="22">
        <f>SUM(M36:M50)</f>
        <v>36507427</v>
      </c>
      <c r="N51" s="35">
        <f t="shared" si="137"/>
        <v>1</v>
      </c>
      <c r="O51" s="29">
        <f>SUM(O36:O50)</f>
        <v>1521905</v>
      </c>
      <c r="P51" s="19">
        <f t="shared" si="139"/>
        <v>1</v>
      </c>
      <c r="Q51" s="23">
        <f>SUM(Q36:Q50)</f>
        <v>1039792</v>
      </c>
      <c r="R51" s="19">
        <f t="shared" si="141"/>
        <v>1</v>
      </c>
      <c r="S51" s="23">
        <f>SUM(S36:S50)</f>
        <v>36435605</v>
      </c>
      <c r="T51" s="34">
        <f t="shared" si="143"/>
        <v>1</v>
      </c>
      <c r="U51" s="20">
        <f>SUM(U36:U50)</f>
        <v>0</v>
      </c>
      <c r="V51" s="21" t="str">
        <f t="shared" si="145"/>
        <v/>
      </c>
      <c r="W51" s="22">
        <f>SUM(W36:W50)</f>
        <v>0</v>
      </c>
      <c r="X51" s="21" t="str">
        <f t="shared" si="147"/>
        <v/>
      </c>
      <c r="Y51" s="22">
        <f>SUM(Y36:Y50)</f>
        <v>0</v>
      </c>
      <c r="Z51" s="35" t="str">
        <f t="shared" si="149"/>
        <v/>
      </c>
      <c r="AA51" s="7"/>
    </row>
    <row r="52" spans="1:27">
      <c r="A52" s="41"/>
      <c r="B52" s="7"/>
      <c r="C52" s="24"/>
      <c r="D52" s="25"/>
      <c r="E52" s="24"/>
      <c r="F52" s="25"/>
      <c r="G52" s="24"/>
      <c r="H52" s="25"/>
      <c r="I52" s="24"/>
      <c r="J52" s="25"/>
      <c r="K52" s="24"/>
      <c r="L52" s="25"/>
      <c r="M52" s="24"/>
      <c r="N52" s="25"/>
      <c r="O52" s="24"/>
      <c r="P52" s="25"/>
      <c r="Q52" s="24"/>
      <c r="R52" s="25"/>
      <c r="S52" s="24"/>
      <c r="T52" s="25"/>
      <c r="U52" s="24"/>
      <c r="V52" s="25"/>
      <c r="W52" s="24"/>
      <c r="X52" s="25"/>
      <c r="Y52" s="26"/>
      <c r="Z52" s="25"/>
      <c r="AA52" s="7"/>
    </row>
    <row r="53" spans="1:27">
      <c r="A53" s="41"/>
      <c r="B53" s="10" t="s">
        <v>28</v>
      </c>
      <c r="C53" s="27">
        <f t="shared" ref="C53:E54" si="150">C25</f>
        <v>619090</v>
      </c>
      <c r="D53" s="9">
        <f>IFERROR(C53/C$55,"")</f>
        <v>1.0179488107022003</v>
      </c>
      <c r="E53" s="5">
        <f t="shared" si="150"/>
        <v>292071</v>
      </c>
      <c r="F53" s="9">
        <f>IFERROR(E53/E$55,"")</f>
        <v>0.81696582164824749</v>
      </c>
      <c r="G53" s="5">
        <f t="shared" ref="G53:G54" si="151">G25</f>
        <v>31966811</v>
      </c>
      <c r="H53" s="31">
        <f>IFERROR(G53/G$55,"")</f>
        <v>0.88100929917193405</v>
      </c>
      <c r="I53" s="54">
        <f t="shared" ref="I53:I54" si="152">IF(I$23=0,"",I25+C53)</f>
        <v>1210577</v>
      </c>
      <c r="J53" s="55">
        <f>IFERROR(I53/I$55,"")</f>
        <v>1.2160712097255399</v>
      </c>
      <c r="K53" s="56">
        <f t="shared" ref="K53:K54" si="153">IF(K$23=0,"",K25+E53)</f>
        <v>642747</v>
      </c>
      <c r="L53" s="55">
        <f>IFERROR(K53/K$55,"")</f>
        <v>0.97585071350164654</v>
      </c>
      <c r="M53" s="56">
        <f t="shared" ref="M53:M54" si="154">M25</f>
        <v>32428433</v>
      </c>
      <c r="N53" s="57">
        <f>IFERROR(M53/M$55,"")</f>
        <v>0.88826947459211514</v>
      </c>
      <c r="O53" s="27">
        <f t="shared" ref="O53:O54" si="155">IF(O$23=0,"",O25+I53)</f>
        <v>1819765</v>
      </c>
      <c r="P53" s="9">
        <f>IFERROR(O53/O$55,"")</f>
        <v>1.1957152384675784</v>
      </c>
      <c r="Q53" s="5">
        <f t="shared" ref="Q53:Q54" si="156">IF(Q$23=0,"",Q25+K53)</f>
        <v>1001687</v>
      </c>
      <c r="R53" s="9">
        <f>IFERROR(Q53/Q$55,"")</f>
        <v>0.96335324757259144</v>
      </c>
      <c r="S53" s="5">
        <f t="shared" ref="S53:S54" si="157">S25</f>
        <v>32558726</v>
      </c>
      <c r="T53" s="31">
        <f>IFERROR(S53/S$55,"")</f>
        <v>0.89359641482555319</v>
      </c>
      <c r="U53" s="54" t="str">
        <f t="shared" ref="U53:U54" si="158">IF(U$23=0,"",U25+O53)</f>
        <v/>
      </c>
      <c r="V53" s="55" t="str">
        <f>IFERROR(U53/U$55,"")</f>
        <v/>
      </c>
      <c r="W53" s="56" t="str">
        <f t="shared" ref="W53:W54" si="159">IF(W$23=0,"",W25+Q53)</f>
        <v/>
      </c>
      <c r="X53" s="55" t="str">
        <f>IFERROR(W53/W$55,"")</f>
        <v/>
      </c>
      <c r="Y53" s="56">
        <f t="shared" ref="Y53:Y54" si="160">Y25</f>
        <v>0</v>
      </c>
      <c r="Z53" s="57" t="str">
        <f>IFERROR(Y53/Y$55,"")</f>
        <v/>
      </c>
      <c r="AA53" s="7"/>
    </row>
    <row r="54" spans="1:27">
      <c r="A54" s="41"/>
      <c r="B54" s="15" t="s">
        <v>29</v>
      </c>
      <c r="C54" s="28">
        <f t="shared" si="150"/>
        <v>-10916</v>
      </c>
      <c r="D54" s="16">
        <f t="shared" ref="D54:F55" si="161">IFERROR(C54/C$55,"")</f>
        <v>-1.7948810702200356E-2</v>
      </c>
      <c r="E54" s="6">
        <f t="shared" si="150"/>
        <v>65436</v>
      </c>
      <c r="F54" s="16">
        <f t="shared" si="161"/>
        <v>0.18303417835175256</v>
      </c>
      <c r="G54" s="6">
        <f t="shared" si="151"/>
        <v>4317495</v>
      </c>
      <c r="H54" s="33">
        <f t="shared" ref="H54:H55" si="162">IFERROR(G54/G$55,"")</f>
        <v>0.118990700828066</v>
      </c>
      <c r="I54" s="11">
        <f t="shared" si="152"/>
        <v>-215095</v>
      </c>
      <c r="J54" s="12">
        <f t="shared" ref="J54:L55" si="163">IFERROR(I54/I$55,"")</f>
        <v>-0.21607120972554</v>
      </c>
      <c r="K54" s="13">
        <f t="shared" si="153"/>
        <v>15906</v>
      </c>
      <c r="L54" s="12">
        <f t="shared" si="163"/>
        <v>2.4149286498353458E-2</v>
      </c>
      <c r="M54" s="13">
        <f t="shared" si="154"/>
        <v>4078994</v>
      </c>
      <c r="N54" s="32">
        <f t="shared" ref="N54:N55" si="164">IFERROR(M54/M$55,"")</f>
        <v>0.11173052540788481</v>
      </c>
      <c r="O54" s="28">
        <f t="shared" si="155"/>
        <v>-297860</v>
      </c>
      <c r="P54" s="16">
        <f t="shared" ref="P54:P55" si="165">IFERROR(O54/O$55,"")</f>
        <v>-0.19571523846757846</v>
      </c>
      <c r="Q54" s="6">
        <f t="shared" si="156"/>
        <v>38105</v>
      </c>
      <c r="R54" s="16">
        <f t="shared" ref="R54:R55" si="166">IFERROR(Q54/Q$55,"")</f>
        <v>3.6646752427408558E-2</v>
      </c>
      <c r="S54" s="6">
        <f t="shared" si="157"/>
        <v>3876879</v>
      </c>
      <c r="T54" s="33">
        <f t="shared" ref="T54:T55" si="167">IFERROR(S54/S$55,"")</f>
        <v>0.10640358517444681</v>
      </c>
      <c r="U54" s="11" t="str">
        <f t="shared" si="158"/>
        <v/>
      </c>
      <c r="V54" s="12" t="str">
        <f t="shared" ref="V54:V55" si="168">IFERROR(U54/U$55,"")</f>
        <v/>
      </c>
      <c r="W54" s="13" t="str">
        <f t="shared" si="159"/>
        <v/>
      </c>
      <c r="X54" s="12" t="str">
        <f t="shared" ref="X54:X55" si="169">IFERROR(W54/W$55,"")</f>
        <v/>
      </c>
      <c r="Y54" s="13">
        <f t="shared" si="160"/>
        <v>0</v>
      </c>
      <c r="Z54" s="32" t="str">
        <f t="shared" ref="Z54:Z55" si="170">IFERROR(Y54/Y$55,"")</f>
        <v/>
      </c>
      <c r="AA54" s="7"/>
    </row>
    <row r="55" spans="1:27">
      <c r="A55" s="41"/>
      <c r="B55" s="17" t="s">
        <v>27</v>
      </c>
      <c r="C55" s="29">
        <f>SUM(C53:C54)</f>
        <v>608174</v>
      </c>
      <c r="D55" s="19">
        <f t="shared" si="161"/>
        <v>1</v>
      </c>
      <c r="E55" s="23">
        <f>SUM(E53:E54)</f>
        <v>357507</v>
      </c>
      <c r="F55" s="19">
        <f t="shared" si="161"/>
        <v>1</v>
      </c>
      <c r="G55" s="23">
        <f>SUM(G53:G54)</f>
        <v>36284306</v>
      </c>
      <c r="H55" s="34">
        <f t="shared" si="162"/>
        <v>1</v>
      </c>
      <c r="I55" s="20">
        <f>SUM(I53:I54)</f>
        <v>995482</v>
      </c>
      <c r="J55" s="21">
        <f t="shared" si="163"/>
        <v>1</v>
      </c>
      <c r="K55" s="22">
        <f>SUM(K53:K54)</f>
        <v>658653</v>
      </c>
      <c r="L55" s="21">
        <f t="shared" si="163"/>
        <v>1</v>
      </c>
      <c r="M55" s="22">
        <f>SUM(M53:M54)</f>
        <v>36507427</v>
      </c>
      <c r="N55" s="35">
        <f t="shared" si="164"/>
        <v>1</v>
      </c>
      <c r="O55" s="29">
        <f>SUM(O53:O54)</f>
        <v>1521905</v>
      </c>
      <c r="P55" s="19">
        <f t="shared" si="165"/>
        <v>1</v>
      </c>
      <c r="Q55" s="23">
        <f>SUM(Q53:Q54)</f>
        <v>1039792</v>
      </c>
      <c r="R55" s="19">
        <f t="shared" si="166"/>
        <v>1</v>
      </c>
      <c r="S55" s="23">
        <f>SUM(S53:S54)</f>
        <v>36435605</v>
      </c>
      <c r="T55" s="34">
        <f t="shared" si="167"/>
        <v>1</v>
      </c>
      <c r="U55" s="20">
        <f>SUM(U53:U54)</f>
        <v>0</v>
      </c>
      <c r="V55" s="21" t="str">
        <f t="shared" si="168"/>
        <v/>
      </c>
      <c r="W55" s="22">
        <f>SUM(W53:W54)</f>
        <v>0</v>
      </c>
      <c r="X55" s="21" t="str">
        <f t="shared" si="169"/>
        <v/>
      </c>
      <c r="Y55" s="22">
        <f>SUM(Y53:Y54)</f>
        <v>0</v>
      </c>
      <c r="Z55" s="35" t="str">
        <f t="shared" si="170"/>
        <v/>
      </c>
      <c r="AA55" s="7"/>
    </row>
    <row r="56" spans="1:27">
      <c r="A56" s="41"/>
      <c r="B56" s="7"/>
      <c r="C56" s="24"/>
      <c r="D56" s="25"/>
      <c r="E56" s="24"/>
      <c r="F56" s="25"/>
      <c r="G56" s="24"/>
      <c r="H56" s="25"/>
      <c r="I56" s="24"/>
      <c r="J56" s="25"/>
      <c r="K56" s="24"/>
      <c r="L56" s="25"/>
      <c r="M56" s="24"/>
      <c r="N56" s="25"/>
      <c r="O56" s="24"/>
      <c r="P56" s="25"/>
      <c r="Q56" s="24"/>
      <c r="R56" s="25"/>
      <c r="S56" s="24"/>
      <c r="T56" s="25"/>
      <c r="U56" s="24"/>
      <c r="V56" s="25"/>
      <c r="W56" s="24"/>
      <c r="X56" s="25"/>
      <c r="Y56" s="24"/>
      <c r="Z56" s="25"/>
      <c r="AA56" s="7"/>
    </row>
    <row r="57" spans="1:27">
      <c r="A57" s="41"/>
      <c r="B57" s="10" t="s">
        <v>30</v>
      </c>
      <c r="C57" s="27">
        <f t="shared" ref="C57:E58" si="171">C29</f>
        <v>168260</v>
      </c>
      <c r="D57" s="9">
        <f>IFERROR(C57/C$59,"")</f>
        <v>0.27666424411434887</v>
      </c>
      <c r="E57" s="5">
        <f t="shared" si="171"/>
        <v>-189408</v>
      </c>
      <c r="F57" s="9">
        <f>IFERROR(E57/E$59,"")</f>
        <v>-0.52980221366294922</v>
      </c>
      <c r="G57" s="5">
        <f t="shared" ref="G57:G58" si="172">G29</f>
        <v>11521658</v>
      </c>
      <c r="H57" s="31">
        <f>IFERROR(G57/G$59,"")</f>
        <v>0.31753833186171454</v>
      </c>
      <c r="I57" s="54">
        <f t="shared" ref="I57:I58" si="173">IF(I$23=0,"",I29+C57)</f>
        <v>291444</v>
      </c>
      <c r="J57" s="55">
        <f>IFERROR(I57/I$59,"")</f>
        <v>0.2927667200411459</v>
      </c>
      <c r="K57" s="56">
        <f t="shared" ref="K57:K58" si="174">IF(K$23=0,"",K29+E57)</f>
        <v>-452167</v>
      </c>
      <c r="L57" s="55">
        <f>IFERROR(K57/K$59,"")</f>
        <v>-0.68650260455809053</v>
      </c>
      <c r="M57" s="56">
        <f t="shared" ref="M57:M58" si="175">M29</f>
        <v>11532046</v>
      </c>
      <c r="N57" s="57">
        <f>IFERROR(M57/M$59,"")</f>
        <v>0.31588219021844516</v>
      </c>
      <c r="O57" s="27">
        <f t="shared" ref="O57:O58" si="176">IF(O$23=0,"",O29+I57)</f>
        <v>295964</v>
      </c>
      <c r="P57" s="9">
        <f>IFERROR(O57/O$59,"")</f>
        <v>0.19446943140340561</v>
      </c>
      <c r="Q57" s="5">
        <f t="shared" ref="Q57:Q58" si="177">IF(Q$23=0,"",Q29+K57)</f>
        <v>-683903</v>
      </c>
      <c r="R57" s="9">
        <f>IFERROR(Q57/Q$59,"")</f>
        <v>-0.65773058457845412</v>
      </c>
      <c r="S57" s="5">
        <f t="shared" ref="S57:S58" si="178">S29</f>
        <v>10652634</v>
      </c>
      <c r="T57" s="31">
        <f>IFERROR(S57/S$59,"")</f>
        <v>0.29236879695012613</v>
      </c>
      <c r="U57" s="54" t="str">
        <f t="shared" ref="U57:U58" si="179">IF(U$23=0,"",U29+O57)</f>
        <v/>
      </c>
      <c r="V57" s="55" t="str">
        <f>IFERROR(U57/U$59,"")</f>
        <v/>
      </c>
      <c r="W57" s="56" t="str">
        <f t="shared" ref="W57:W58" si="180">IF(W$23=0,"",W29+Q57)</f>
        <v/>
      </c>
      <c r="X57" s="55" t="str">
        <f>IFERROR(W57/W$59,"")</f>
        <v/>
      </c>
      <c r="Y57" s="56">
        <f t="shared" ref="Y57:Y58" si="181">Y29</f>
        <v>0</v>
      </c>
      <c r="Z57" s="57" t="str">
        <f>IFERROR(Y57/Y$59,"")</f>
        <v/>
      </c>
      <c r="AA57" s="7"/>
    </row>
    <row r="58" spans="1:27">
      <c r="A58" s="41"/>
      <c r="B58" s="15" t="s">
        <v>31</v>
      </c>
      <c r="C58" s="28">
        <f t="shared" si="171"/>
        <v>439914</v>
      </c>
      <c r="D58" s="16">
        <f t="shared" ref="D58:F59" si="182">IFERROR(C58/C$59,"")</f>
        <v>0.72333575588565113</v>
      </c>
      <c r="E58" s="6">
        <f t="shared" si="171"/>
        <v>546915</v>
      </c>
      <c r="F58" s="16">
        <f t="shared" si="182"/>
        <v>1.5298022136629492</v>
      </c>
      <c r="G58" s="6">
        <f t="shared" si="172"/>
        <v>24762648</v>
      </c>
      <c r="H58" s="33">
        <f t="shared" ref="H58:H59" si="183">IFERROR(G58/G$59,"")</f>
        <v>0.68246166813828546</v>
      </c>
      <c r="I58" s="11">
        <f t="shared" si="173"/>
        <v>704038</v>
      </c>
      <c r="J58" s="12">
        <f t="shared" ref="J58:L59" si="184">IFERROR(I58/I$59,"")</f>
        <v>0.7072332799588541</v>
      </c>
      <c r="K58" s="13">
        <f t="shared" si="174"/>
        <v>1110820</v>
      </c>
      <c r="L58" s="12">
        <f t="shared" si="184"/>
        <v>1.6865026045580904</v>
      </c>
      <c r="M58" s="13">
        <f t="shared" si="175"/>
        <v>24975381</v>
      </c>
      <c r="N58" s="32">
        <f t="shared" ref="N58:N59" si="185">IFERROR(M58/M$59,"")</f>
        <v>0.6841178097815549</v>
      </c>
      <c r="O58" s="28">
        <f t="shared" si="176"/>
        <v>1225941</v>
      </c>
      <c r="P58" s="16">
        <f t="shared" ref="P58:P59" si="186">IFERROR(O58/O$59,"")</f>
        <v>0.80553056859659444</v>
      </c>
      <c r="Q58" s="6">
        <f t="shared" si="177"/>
        <v>1723695</v>
      </c>
      <c r="R58" s="16">
        <f t="shared" ref="R58:R59" si="187">IFERROR(Q58/Q$59,"")</f>
        <v>1.6577305845784542</v>
      </c>
      <c r="S58" s="6">
        <f t="shared" si="178"/>
        <v>25782971</v>
      </c>
      <c r="T58" s="33">
        <f t="shared" ref="T58:T59" si="188">IFERROR(S58/S$59,"")</f>
        <v>0.70763120304987392</v>
      </c>
      <c r="U58" s="11" t="str">
        <f t="shared" si="179"/>
        <v/>
      </c>
      <c r="V58" s="12" t="str">
        <f t="shared" ref="V58:V59" si="189">IFERROR(U58/U$59,"")</f>
        <v/>
      </c>
      <c r="W58" s="13" t="str">
        <f t="shared" si="180"/>
        <v/>
      </c>
      <c r="X58" s="12" t="str">
        <f t="shared" ref="X58:X59" si="190">IFERROR(W58/W$59,"")</f>
        <v/>
      </c>
      <c r="Y58" s="13">
        <f t="shared" si="181"/>
        <v>0</v>
      </c>
      <c r="Z58" s="32" t="str">
        <f t="shared" ref="Z58:Z59" si="191">IFERROR(Y58/Y$59,"")</f>
        <v/>
      </c>
      <c r="AA58" s="7"/>
    </row>
    <row r="59" spans="1:27">
      <c r="A59" s="41"/>
      <c r="B59" s="17" t="s">
        <v>27</v>
      </c>
      <c r="C59" s="29">
        <f>SUM(C57:C58)</f>
        <v>608174</v>
      </c>
      <c r="D59" s="19">
        <f t="shared" si="182"/>
        <v>1</v>
      </c>
      <c r="E59" s="23">
        <f>SUM(E57:E58)</f>
        <v>357507</v>
      </c>
      <c r="F59" s="19">
        <f t="shared" si="182"/>
        <v>1</v>
      </c>
      <c r="G59" s="23">
        <f>SUM(G57:G58)</f>
        <v>36284306</v>
      </c>
      <c r="H59" s="34">
        <f t="shared" si="183"/>
        <v>1</v>
      </c>
      <c r="I59" s="20">
        <f>SUM(I57:I58)</f>
        <v>995482</v>
      </c>
      <c r="J59" s="21">
        <f t="shared" si="184"/>
        <v>1</v>
      </c>
      <c r="K59" s="22">
        <f>SUM(K57:K58)</f>
        <v>658653</v>
      </c>
      <c r="L59" s="21">
        <f t="shared" si="184"/>
        <v>1</v>
      </c>
      <c r="M59" s="22">
        <f>SUM(M57:M58)</f>
        <v>36507427</v>
      </c>
      <c r="N59" s="35">
        <f t="shared" si="185"/>
        <v>1</v>
      </c>
      <c r="O59" s="29">
        <f>SUM(O57:O58)</f>
        <v>1521905</v>
      </c>
      <c r="P59" s="19">
        <f t="shared" si="186"/>
        <v>1</v>
      </c>
      <c r="Q59" s="23">
        <f>SUM(Q57:Q58)</f>
        <v>1039792</v>
      </c>
      <c r="R59" s="19">
        <f t="shared" si="187"/>
        <v>1</v>
      </c>
      <c r="S59" s="23">
        <f>SUM(S57:S58)</f>
        <v>36435605</v>
      </c>
      <c r="T59" s="34">
        <f t="shared" si="188"/>
        <v>1</v>
      </c>
      <c r="U59" s="20">
        <f>SUM(U57:U58)</f>
        <v>0</v>
      </c>
      <c r="V59" s="21" t="str">
        <f t="shared" si="189"/>
        <v/>
      </c>
      <c r="W59" s="22">
        <f>SUM(W57:W58)</f>
        <v>0</v>
      </c>
      <c r="X59" s="21" t="str">
        <f t="shared" si="190"/>
        <v/>
      </c>
      <c r="Y59" s="22">
        <f>SUM(Y57:Y58)</f>
        <v>0</v>
      </c>
      <c r="Z59" s="35" t="str">
        <f t="shared" si="191"/>
        <v/>
      </c>
      <c r="AA59" s="7"/>
    </row>
    <row r="60" spans="1:27">
      <c r="A60" s="41"/>
      <c r="B60" s="7"/>
      <c r="C60" s="7"/>
      <c r="D60" s="7"/>
      <c r="E60" s="7"/>
      <c r="F60" s="7"/>
      <c r="G60" s="7"/>
      <c r="H60" s="7"/>
      <c r="I60" s="36"/>
      <c r="J60" s="7"/>
      <c r="K60" s="36"/>
      <c r="L60" s="7"/>
      <c r="M60" s="7"/>
      <c r="N60" s="7"/>
      <c r="O60" s="36"/>
      <c r="P60" s="7"/>
      <c r="Q60" s="36"/>
      <c r="R60" s="7"/>
      <c r="S60" s="7"/>
      <c r="T60" s="7"/>
      <c r="U60" s="36"/>
      <c r="V60" s="7"/>
      <c r="W60" s="36"/>
      <c r="X60" s="7"/>
      <c r="Y60" s="7"/>
      <c r="Z60" s="7"/>
      <c r="AA60" s="7"/>
    </row>
    <row r="61" spans="1:27" hidden="1">
      <c r="A61" s="4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טל פלטי בכר</cp:lastModifiedBy>
  <dcterms:modified xsi:type="dcterms:W3CDTF">2022-12-07T13:14:33Z</dcterms:modified>
  <cp:category/>
</cp:coreProperties>
</file>