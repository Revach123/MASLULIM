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שושי דרייב\גילעד\גילעד בעבודה\"/>
    </mc:Choice>
  </mc:AlternateContent>
  <xr:revisionPtr revIDLastSave="0" documentId="13_ncr:1_{261887F6-6195-4096-B934-14178433611E}" xr6:coauthVersionLast="36" xr6:coauthVersionMax="36" xr10:uidLastSave="{00000000-0000-0000-0000-000000000000}"/>
  <bookViews>
    <workbookView xWindow="0" yWindow="0" windowWidth="28800" windowHeight="1086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תשואה'!$A$48:$J$89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E4" i="5" l="1"/>
  <c r="C39" i="5"/>
  <c r="C32" i="5"/>
  <c r="E32" i="5"/>
  <c r="C6" i="5"/>
  <c r="G4" i="5" l="1"/>
  <c r="E39" i="5"/>
  <c r="C49" i="5"/>
  <c r="G32" i="5"/>
  <c r="G39" i="5"/>
  <c r="G6" i="5"/>
  <c r="E6" i="5"/>
  <c r="C74" i="5"/>
  <c r="I4" i="5" l="1"/>
  <c r="C81" i="5"/>
  <c r="I6" i="5"/>
  <c r="I32" i="5"/>
  <c r="I39" i="5"/>
  <c r="K4" i="5" l="1"/>
  <c r="K39" i="5"/>
  <c r="K6" i="5"/>
  <c r="K32" i="5"/>
  <c r="M4" i="5" l="1"/>
  <c r="E81" i="5"/>
  <c r="O4" i="5" l="1"/>
  <c r="M6" i="5"/>
  <c r="E74" i="5"/>
  <c r="O32" i="5"/>
  <c r="M39" i="5"/>
  <c r="O6" i="5"/>
  <c r="E49" i="5"/>
  <c r="M32" i="5"/>
  <c r="Q4" i="5" l="1"/>
  <c r="S4" i="5" s="1"/>
  <c r="O39" i="5"/>
  <c r="G74" i="5"/>
  <c r="U4" i="5" l="1"/>
  <c r="S39" i="5"/>
  <c r="Q32" i="5"/>
  <c r="Q6" i="5"/>
  <c r="S32" i="5"/>
  <c r="G81" i="5"/>
  <c r="G49" i="5"/>
  <c r="U39" i="5"/>
  <c r="U32" i="5"/>
  <c r="S6" i="5"/>
  <c r="Q39" i="5"/>
  <c r="W4" i="5" l="1"/>
  <c r="U6" i="5"/>
  <c r="W39" i="5"/>
  <c r="Y4" i="5" l="1"/>
  <c r="W6" i="5"/>
  <c r="I81" i="5"/>
  <c r="W32" i="5"/>
  <c r="Y6" i="5"/>
  <c r="Y32" i="5"/>
  <c r="I74" i="5"/>
  <c r="Y39" i="5"/>
  <c r="I49" i="5"/>
</calcChain>
</file>

<file path=xl/sharedStrings.xml><?xml version="1.0" encoding="utf-8"?>
<sst xmlns="http://schemas.openxmlformats.org/spreadsheetml/2006/main" count="982" uniqueCount="85">
  <si>
    <t>פירוט תרומת אפיקי ההשקעה לתשואה הכוללת</t>
  </si>
  <si>
    <t>ינואר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</si>
  <si>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</si>
  <si>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</si>
  <si>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</si>
  <si>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</si>
  <si>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</si>
  <si>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</si>
  <si>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</si>
  <si>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</si>
  <si>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</si>
  <si>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</si>
  <si>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</si>
  <si>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</si>
  <si>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</si>
  <si>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</si>
  <si>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</si>
  <si>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תעודות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</si>
  <si>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</si>
  <si>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</si>
  <si>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</si>
  <si>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</si>
  <si>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</si>
  <si>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</si>
  <si>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</si>
  <si>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</si>
  <si>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</si>
  <si>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</si>
  <si>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</si>
  <si>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</si>
  <si>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</si>
  <si>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</si>
  <si>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</si>
  <si>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</si>
  <si>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</si>
  <si>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</si>
  <si>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</si>
  <si>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</si>
  <si>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</si>
  <si>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</si>
  <si>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r>
      <rPr>
        <b/>
        <sz val="11"/>
        <rFont val="David"/>
        <family val="2"/>
      </rPr>
      <t xml:space="preserve">הערה: </t>
    </r>
    <r>
      <rPr>
        <sz val="11"/>
        <rFont val="David"/>
        <family val="2"/>
      </rPr>
      <t>מבנה</t>
    </r>
    <r>
      <rPr>
        <b/>
        <sz val="11"/>
        <rFont val="David"/>
        <family val="2"/>
      </rPr>
      <t xml:space="preserve"> </t>
    </r>
    <r>
      <rPr>
        <sz val="11"/>
        <rFont val="David"/>
        <family val="2"/>
      </rPr>
      <t>הדיווח מותאם למבנה הדוח החודשי המדווח על ידי הגופים המוסדיים, על כן יש לסווג את הנכסים לאפיקים השונים בהתאם לסיווגם בדוח החודשי.</t>
    </r>
  </si>
  <si>
    <t>גילעד גמלאות לעובדים דתיים</t>
  </si>
  <si>
    <t>תשואה חודשית מהשקעות</t>
  </si>
  <si>
    <t>נוסף סיוע האוצר לקרן ותיקה</t>
  </si>
  <si>
    <t>תשואה חודשית כוללת</t>
  </si>
  <si>
    <t>תשואה מצטברת מהשקעות</t>
  </si>
  <si>
    <t>תשואה מצטברת כוללת</t>
  </si>
  <si>
    <t>שורת נוסחאות אין מידע</t>
  </si>
  <si>
    <t>נושא</t>
  </si>
  <si>
    <t>תא ריק</t>
  </si>
  <si>
    <t>עמודה1</t>
  </si>
  <si>
    <t>שורה ריקה</t>
  </si>
  <si>
    <t>סוף מסמך</t>
  </si>
  <si>
    <r>
      <rPr>
        <sz val="1"/>
        <color rgb="FFFFFFCC"/>
        <rFont val="David"/>
        <family val="2"/>
      </rPr>
      <t>ינואר 2019</t>
    </r>
    <r>
      <rPr>
        <sz val="11"/>
        <rFont val="David"/>
        <family val="2"/>
        <charset val="177"/>
      </rPr>
      <t xml:space="preserve"> התרומה לתשואה</t>
    </r>
  </si>
  <si>
    <r>
      <rPr>
        <sz val="1"/>
        <color rgb="FFFFFFCC"/>
        <rFont val="David"/>
        <family val="2"/>
      </rPr>
      <t>ינואר 2019</t>
    </r>
    <r>
      <rPr>
        <sz val="11"/>
        <rFont val="David"/>
        <family val="2"/>
        <charset val="177"/>
      </rPr>
      <t xml:space="preserve"> שיעור מסך הנכסים</t>
    </r>
  </si>
  <si>
    <r>
      <rPr>
        <sz val="1"/>
        <color rgb="FFFFFFCC"/>
        <rFont val="David"/>
        <family val="2"/>
      </rPr>
      <t>ינואר- מרץ 2019</t>
    </r>
    <r>
      <rPr>
        <sz val="11"/>
        <rFont val="David"/>
        <family val="2"/>
        <charset val="177"/>
      </rPr>
      <t xml:space="preserve"> התרומה לתשואה</t>
    </r>
  </si>
  <si>
    <r>
      <rPr>
        <sz val="1"/>
        <color rgb="FFFFFFCC"/>
        <rFont val="David"/>
        <family val="2"/>
      </rPr>
      <t>ינואר- מרץ 2019</t>
    </r>
    <r>
      <rPr>
        <sz val="11"/>
        <rFont val="David"/>
        <family val="2"/>
        <charset val="177"/>
      </rPr>
      <t xml:space="preserve"> שיעור מסך הנכסים</t>
    </r>
  </si>
  <si>
    <r>
      <rPr>
        <sz val="1"/>
        <color rgb="FFFFFFCC"/>
        <rFont val="David"/>
        <family val="2"/>
      </rPr>
      <t>מרץ 2019</t>
    </r>
    <r>
      <rPr>
        <sz val="11"/>
        <rFont val="David"/>
        <family val="2"/>
        <charset val="177"/>
      </rPr>
      <t xml:space="preserve"> התרומה לתשואה</t>
    </r>
  </si>
  <si>
    <r>
      <rPr>
        <sz val="1"/>
        <color rgb="FFFFFFCC"/>
        <rFont val="David"/>
        <family val="2"/>
      </rPr>
      <t>מרץ 2019</t>
    </r>
    <r>
      <rPr>
        <sz val="11"/>
        <rFont val="David"/>
        <family val="2"/>
        <charset val="177"/>
      </rPr>
      <t xml:space="preserve"> שיעור מסך הנכסים</t>
    </r>
  </si>
  <si>
    <r>
      <rPr>
        <sz val="1"/>
        <color rgb="FFFFFFCC"/>
        <rFont val="David"/>
        <family val="2"/>
      </rPr>
      <t>ינואר- ספטמבר 2019</t>
    </r>
    <r>
      <rPr>
        <sz val="11"/>
        <rFont val="David"/>
        <family val="2"/>
        <charset val="177"/>
      </rPr>
      <t xml:space="preserve"> התרומה לתשואה</t>
    </r>
  </si>
  <si>
    <r>
      <rPr>
        <sz val="1"/>
        <color rgb="FFFFFFCC"/>
        <rFont val="David"/>
        <family val="2"/>
      </rPr>
      <t>ינואר- ספטמבר 2019</t>
    </r>
    <r>
      <rPr>
        <sz val="11"/>
        <rFont val="David"/>
        <family val="2"/>
        <charset val="177"/>
      </rPr>
      <t xml:space="preserve"> שיעור מסך הנכסים</t>
    </r>
  </si>
  <si>
    <r>
      <rPr>
        <sz val="1"/>
        <color rgb="FFFFFFCC"/>
        <rFont val="David"/>
        <family val="2"/>
      </rPr>
      <t>מאי 2019</t>
    </r>
    <r>
      <rPr>
        <sz val="11"/>
        <rFont val="David"/>
        <family val="2"/>
        <charset val="177"/>
      </rPr>
      <t xml:space="preserve"> התרומה לתשואה</t>
    </r>
  </si>
  <si>
    <r>
      <rPr>
        <sz val="1"/>
        <color rgb="FFFFFFCC"/>
        <rFont val="David"/>
        <family val="2"/>
      </rPr>
      <t>מאי 2019</t>
    </r>
    <r>
      <rPr>
        <sz val="11"/>
        <rFont val="David"/>
        <family val="2"/>
        <charset val="177"/>
      </rPr>
      <t xml:space="preserve"> שיעור מסך הנכסים</t>
    </r>
  </si>
  <si>
    <r>
      <rPr>
        <sz val="1"/>
        <color rgb="FFFFFFCC"/>
        <rFont val="David"/>
        <family val="2"/>
      </rPr>
      <t>יולי 2019</t>
    </r>
    <r>
      <rPr>
        <sz val="11"/>
        <rFont val="David"/>
        <family val="2"/>
        <charset val="177"/>
      </rPr>
      <t xml:space="preserve"> התרומה לתשואה</t>
    </r>
  </si>
  <si>
    <r>
      <rPr>
        <sz val="1"/>
        <color rgb="FFFFFFCC"/>
        <rFont val="David"/>
        <family val="2"/>
      </rPr>
      <t>יולי 2019</t>
    </r>
    <r>
      <rPr>
        <sz val="11"/>
        <rFont val="David"/>
        <family val="2"/>
        <charset val="177"/>
      </rPr>
      <t xml:space="preserve"> שיעור מסך הנכסים</t>
    </r>
  </si>
  <si>
    <r>
      <rPr>
        <sz val="1"/>
        <color rgb="FFFFFFCC"/>
        <rFont val="David"/>
        <family val="2"/>
      </rPr>
      <t>ספטמבר 2019</t>
    </r>
    <r>
      <rPr>
        <sz val="11"/>
        <rFont val="David"/>
        <family val="2"/>
        <charset val="177"/>
      </rPr>
      <t xml:space="preserve"> התרומה לתשואה</t>
    </r>
  </si>
  <si>
    <r>
      <rPr>
        <sz val="1"/>
        <color rgb="FFFFFFCC"/>
        <rFont val="David"/>
        <family val="2"/>
      </rPr>
      <t>ספטמבר 2019</t>
    </r>
    <r>
      <rPr>
        <sz val="11"/>
        <rFont val="David"/>
        <family val="2"/>
        <charset val="177"/>
      </rPr>
      <t xml:space="preserve"> שיעור מסך הנכסים</t>
    </r>
  </si>
  <si>
    <r>
      <rPr>
        <sz val="1"/>
        <color rgb="FFFFFFCC"/>
        <rFont val="David"/>
        <family val="2"/>
      </rPr>
      <t>נובמבר 2019</t>
    </r>
    <r>
      <rPr>
        <sz val="11"/>
        <rFont val="David"/>
        <family val="2"/>
        <charset val="177"/>
      </rPr>
      <t xml:space="preserve"> התרומה לתשואה</t>
    </r>
  </si>
  <si>
    <r>
      <rPr>
        <sz val="1"/>
        <color rgb="FFFFFFCC"/>
        <rFont val="David"/>
        <family val="2"/>
      </rPr>
      <t>נובמבר 2019</t>
    </r>
    <r>
      <rPr>
        <sz val="11"/>
        <rFont val="David"/>
        <family val="2"/>
        <charset val="177"/>
      </rPr>
      <t xml:space="preserve"> שיעור מסך הנכסים</t>
    </r>
  </si>
  <si>
    <r>
      <rPr>
        <sz val="1"/>
        <color rgb="FFDAEEF3"/>
        <rFont val="David"/>
        <family val="2"/>
      </rPr>
      <t>דצמבר 2019</t>
    </r>
    <r>
      <rPr>
        <sz val="11"/>
        <rFont val="David"/>
        <family val="2"/>
        <charset val="177"/>
      </rPr>
      <t xml:space="preserve"> שיעור מסך הנכסים</t>
    </r>
  </si>
  <si>
    <r>
      <rPr>
        <sz val="1"/>
        <color rgb="FFDAEEF3"/>
        <rFont val="David"/>
        <family val="2"/>
      </rPr>
      <t>דצמבר 2019</t>
    </r>
    <r>
      <rPr>
        <sz val="11"/>
        <rFont val="David"/>
        <family val="2"/>
        <charset val="177"/>
      </rPr>
      <t xml:space="preserve"> התרומה לתשואה</t>
    </r>
  </si>
  <si>
    <r>
      <rPr>
        <sz val="1"/>
        <color rgb="FFDAEEF3"/>
        <rFont val="David"/>
        <family val="2"/>
      </rPr>
      <t>אוקטובר 2019</t>
    </r>
    <r>
      <rPr>
        <sz val="11"/>
        <rFont val="David"/>
        <family val="2"/>
        <charset val="177"/>
      </rPr>
      <t xml:space="preserve"> שיעור מסך הנכסים</t>
    </r>
  </si>
  <si>
    <r>
      <rPr>
        <sz val="1"/>
        <color rgb="FFDAEEF3"/>
        <rFont val="David"/>
        <family val="2"/>
      </rPr>
      <t>אוקטובר 2019</t>
    </r>
    <r>
      <rPr>
        <sz val="11"/>
        <rFont val="David"/>
        <family val="2"/>
        <charset val="177"/>
      </rPr>
      <t xml:space="preserve"> התרומה לתשואה</t>
    </r>
  </si>
  <si>
    <r>
      <rPr>
        <sz val="1"/>
        <color rgb="FFDAEEF3"/>
        <rFont val="David"/>
        <family val="2"/>
      </rPr>
      <t>אוגוסט 2019</t>
    </r>
    <r>
      <rPr>
        <sz val="11"/>
        <rFont val="David"/>
        <family val="2"/>
        <charset val="177"/>
      </rPr>
      <t xml:space="preserve"> שיעור מסך הנכסים</t>
    </r>
  </si>
  <si>
    <r>
      <rPr>
        <sz val="1"/>
        <color rgb="FFDAEEF3"/>
        <rFont val="David"/>
        <family val="2"/>
      </rPr>
      <t>אוגוסט 2019</t>
    </r>
    <r>
      <rPr>
        <sz val="11"/>
        <rFont val="David"/>
        <family val="2"/>
        <charset val="177"/>
      </rPr>
      <t xml:space="preserve"> התרומה לתשואה</t>
    </r>
  </si>
  <si>
    <r>
      <rPr>
        <sz val="1"/>
        <color rgb="FFDAEEF3"/>
        <rFont val="David"/>
        <family val="2"/>
      </rPr>
      <t>יוני 2019</t>
    </r>
    <r>
      <rPr>
        <sz val="11"/>
        <rFont val="David"/>
        <family val="2"/>
        <charset val="177"/>
      </rPr>
      <t xml:space="preserve"> שיעור מסך הנכסים</t>
    </r>
  </si>
  <si>
    <r>
      <rPr>
        <sz val="1"/>
        <color rgb="FFDAEEF3"/>
        <rFont val="David"/>
        <family val="2"/>
      </rPr>
      <t>יוני 2019</t>
    </r>
    <r>
      <rPr>
        <sz val="11"/>
        <rFont val="David"/>
        <family val="2"/>
        <charset val="177"/>
      </rPr>
      <t xml:space="preserve"> התרומה לתשואה</t>
    </r>
  </si>
  <si>
    <r>
      <rPr>
        <sz val="1"/>
        <color rgb="FFDAEEF3"/>
        <rFont val="David"/>
        <family val="2"/>
      </rPr>
      <t>אפריל 2019</t>
    </r>
    <r>
      <rPr>
        <sz val="11"/>
        <rFont val="David"/>
        <family val="2"/>
        <charset val="177"/>
      </rPr>
      <t xml:space="preserve"> שיעור מסך הנכסים</t>
    </r>
  </si>
  <si>
    <r>
      <rPr>
        <sz val="1"/>
        <color rgb="FFDAEEF3"/>
        <rFont val="David"/>
        <family val="2"/>
      </rPr>
      <t>אפריל 2019</t>
    </r>
    <r>
      <rPr>
        <sz val="11"/>
        <rFont val="David"/>
        <family val="2"/>
        <charset val="177"/>
      </rPr>
      <t xml:space="preserve"> התרומה לתשואה</t>
    </r>
  </si>
  <si>
    <r>
      <rPr>
        <sz val="1"/>
        <color rgb="FFDAEEF3"/>
        <rFont val="David"/>
        <family val="2"/>
      </rPr>
      <t>פברואר 2019</t>
    </r>
    <r>
      <rPr>
        <sz val="11"/>
        <rFont val="David"/>
        <family val="2"/>
        <charset val="177"/>
      </rPr>
      <t xml:space="preserve"> שיעור מסך הנכסים</t>
    </r>
  </si>
  <si>
    <r>
      <rPr>
        <sz val="1"/>
        <color rgb="FFDAEEF3"/>
        <rFont val="David"/>
        <family val="2"/>
      </rPr>
      <t>פברואר 2019</t>
    </r>
    <r>
      <rPr>
        <sz val="11"/>
        <rFont val="David"/>
        <family val="2"/>
        <charset val="177"/>
      </rPr>
      <t xml:space="preserve"> התרומה לתשואה</t>
    </r>
  </si>
  <si>
    <r>
      <rPr>
        <sz val="1"/>
        <color rgb="FFDAEEF3"/>
        <rFont val="David"/>
        <family val="2"/>
      </rPr>
      <t>ינואר- יוני 2019</t>
    </r>
    <r>
      <rPr>
        <sz val="11"/>
        <rFont val="David"/>
        <family val="2"/>
        <charset val="177"/>
      </rPr>
      <t xml:space="preserve"> התרומה לתשואה</t>
    </r>
  </si>
  <si>
    <r>
      <rPr>
        <sz val="1"/>
        <color rgb="FFDAEEF3"/>
        <rFont val="David"/>
        <family val="2"/>
      </rPr>
      <t>ינואר- יוני 2019</t>
    </r>
    <r>
      <rPr>
        <sz val="11"/>
        <rFont val="David"/>
        <family val="2"/>
        <charset val="177"/>
      </rPr>
      <t xml:space="preserve"> שיעור מסך הנכסים</t>
    </r>
  </si>
  <si>
    <r>
      <rPr>
        <sz val="1"/>
        <color rgb="FFDAEEF3"/>
        <rFont val="David"/>
        <family val="2"/>
      </rPr>
      <t>ינואר -דצמבר 2019</t>
    </r>
    <r>
      <rPr>
        <sz val="11"/>
        <rFont val="David"/>
        <family val="2"/>
        <charset val="177"/>
      </rPr>
      <t xml:space="preserve"> התרומה לתשואה</t>
    </r>
  </si>
  <si>
    <r>
      <rPr>
        <sz val="1"/>
        <color rgb="FFDAEEF3"/>
        <rFont val="David"/>
        <family val="2"/>
      </rPr>
      <t>ינואר -דצמבר 2019</t>
    </r>
    <r>
      <rPr>
        <sz val="11"/>
        <rFont val="David"/>
        <family val="2"/>
        <charset val="177"/>
      </rPr>
      <t xml:space="preserve"> שיעור מסך הנכסים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</si>
</sst>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6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2"/>
      <color theme="0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1"/>
      <name val="David"/>
      <family val="2"/>
    </font>
    <font>
      <b/>
      <sz val="11"/>
      <color rgb="FF00B0F0"/>
      <name val="David"/>
      <family val="2"/>
      <charset val="177"/>
    </font>
    <font>
      <sz val="11"/>
      <color rgb="FF92D050"/>
      <name val="David"/>
      <family val="2"/>
      <charset val="177"/>
    </font>
    <font>
      <b/>
      <sz val="11"/>
      <color rgb="FFFFFFCC"/>
      <name val="David"/>
      <family val="2"/>
      <charset val="177"/>
    </font>
    <font>
      <sz val="11"/>
      <color rgb="FFFFFFCC"/>
      <name val="David"/>
      <family val="2"/>
      <charset val="177"/>
    </font>
    <font>
      <b/>
      <sz val="11"/>
      <color rgb="FFDAEEF3"/>
      <name val="David"/>
      <family val="2"/>
      <charset val="177"/>
    </font>
    <font>
      <sz val="11"/>
      <color rgb="FFDAEEF3"/>
      <name val="David"/>
      <family val="2"/>
      <charset val="177"/>
    </font>
    <font>
      <sz val="1"/>
      <color rgb="FFFFFFCC"/>
      <name val="David"/>
      <family val="2"/>
    </font>
    <font>
      <sz val="1"/>
      <color rgb="FFDAEEF3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AEEF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06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0" fontId="23" fillId="0" borderId="15" applyNumberFormat="0" applyFill="0" applyAlignment="0" applyProtection="0"/>
    <xf numFmtId="0" fontId="24" fillId="0" borderId="16" applyNumberFormat="0" applyFill="0" applyAlignment="0" applyProtection="0"/>
  </cellStyleXfs>
  <cellXfs count="101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3" borderId="6" xfId="0" applyFont="1" applyFill="1" applyBorder="1"/>
    <xf numFmtId="10" fontId="2" fillId="2" borderId="4" xfId="421" applyNumberFormat="1" applyFont="1" applyFill="1" applyBorder="1"/>
    <xf numFmtId="10" fontId="2" fillId="2" borderId="5" xfId="421" applyNumberFormat="1" applyFont="1" applyFill="1" applyBorder="1"/>
    <xf numFmtId="0" fontId="2" fillId="3" borderId="7" xfId="0" applyFont="1" applyFill="1" applyBorder="1"/>
    <xf numFmtId="10" fontId="3" fillId="2" borderId="9" xfId="421" applyNumberFormat="1" applyFont="1" applyFill="1" applyBorder="1"/>
    <xf numFmtId="10" fontId="3" fillId="2" borderId="10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 applyBorder="1"/>
    <xf numFmtId="0" fontId="20" fillId="0" borderId="0" xfId="0" applyFont="1"/>
    <xf numFmtId="10" fontId="2" fillId="4" borderId="4" xfId="421" applyNumberFormat="1" applyFont="1" applyFill="1" applyBorder="1"/>
    <xf numFmtId="10" fontId="2" fillId="4" borderId="5" xfId="421" applyNumberFormat="1" applyFont="1" applyFill="1" applyBorder="1"/>
    <xf numFmtId="10" fontId="3" fillId="4" borderId="9" xfId="421" applyNumberFormat="1" applyFont="1" applyFill="1" applyBorder="1"/>
    <xf numFmtId="10" fontId="3" fillId="4" borderId="10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1" xfId="0" applyFont="1" applyFill="1" applyBorder="1"/>
    <xf numFmtId="0" fontId="3" fillId="6" borderId="8" xfId="0" applyFont="1" applyFill="1" applyBorder="1"/>
    <xf numFmtId="10" fontId="2" fillId="6" borderId="5" xfId="421" applyNumberFormat="1" applyFont="1" applyFill="1" applyBorder="1"/>
    <xf numFmtId="10" fontId="2" fillId="6" borderId="4" xfId="421" applyNumberFormat="1" applyFont="1" applyFill="1" applyBorder="1"/>
    <xf numFmtId="10" fontId="3" fillId="7" borderId="10" xfId="421" applyNumberFormat="1" applyFont="1" applyFill="1" applyBorder="1"/>
    <xf numFmtId="10" fontId="3" fillId="7" borderId="9" xfId="421" applyNumberFormat="1" applyFont="1" applyFill="1" applyBorder="1"/>
    <xf numFmtId="3" fontId="3" fillId="2" borderId="12" xfId="421" applyNumberFormat="1" applyFont="1" applyFill="1" applyBorder="1" applyAlignment="1">
      <alignment horizontal="center"/>
    </xf>
    <xf numFmtId="0" fontId="20" fillId="0" borderId="0" xfId="0" applyFont="1"/>
    <xf numFmtId="0" fontId="25" fillId="0" borderId="1" xfId="0" applyFont="1" applyBorder="1"/>
    <xf numFmtId="0" fontId="27" fillId="0" borderId="0" xfId="504" applyFont="1" applyBorder="1"/>
    <xf numFmtId="0" fontId="5" fillId="0" borderId="0" xfId="0" applyFont="1" applyAlignment="1">
      <alignment horizontal="right" readingOrder="2"/>
    </xf>
    <xf numFmtId="0" fontId="20" fillId="0" borderId="0" xfId="0" applyFont="1"/>
    <xf numFmtId="0" fontId="6" fillId="0" borderId="0" xfId="0" applyFont="1" applyBorder="1"/>
    <xf numFmtId="0" fontId="6" fillId="0" borderId="17" xfId="0" applyFont="1" applyBorder="1"/>
    <xf numFmtId="0" fontId="6" fillId="0" borderId="1" xfId="0" applyFont="1" applyBorder="1"/>
    <xf numFmtId="0" fontId="6" fillId="0" borderId="18" xfId="0" applyFont="1" applyBorder="1"/>
    <xf numFmtId="17" fontId="26" fillId="2" borderId="12" xfId="505" applyNumberFormat="1" applyFont="1" applyFill="1" applyBorder="1" applyAlignment="1">
      <alignment horizontal="center"/>
    </xf>
    <xf numFmtId="17" fontId="26" fillId="2" borderId="14" xfId="505" applyNumberFormat="1" applyFont="1" applyFill="1" applyBorder="1" applyAlignment="1">
      <alignment horizontal="center"/>
    </xf>
    <xf numFmtId="17" fontId="26" fillId="2" borderId="13" xfId="505" applyNumberFormat="1" applyFont="1" applyFill="1" applyBorder="1" applyAlignment="1">
      <alignment horizontal="center"/>
    </xf>
    <xf numFmtId="17" fontId="3" fillId="2" borderId="19" xfId="0" applyNumberFormat="1" applyFont="1" applyFill="1" applyBorder="1" applyAlignment="1">
      <alignment horizontal="center"/>
    </xf>
    <xf numFmtId="17" fontId="3" fillId="2" borderId="20" xfId="0" applyNumberFormat="1" applyFont="1" applyFill="1" applyBorder="1" applyAlignment="1">
      <alignment horizontal="center"/>
    </xf>
    <xf numFmtId="17" fontId="3" fillId="4" borderId="19" xfId="0" applyNumberFormat="1" applyFont="1" applyFill="1" applyBorder="1" applyAlignment="1">
      <alignment horizontal="center"/>
    </xf>
    <xf numFmtId="17" fontId="3" fillId="4" borderId="20" xfId="0" applyNumberFormat="1" applyFont="1" applyFill="1" applyBorder="1" applyAlignment="1">
      <alignment horizontal="center"/>
    </xf>
    <xf numFmtId="0" fontId="2" fillId="3" borderId="21" xfId="0" applyFont="1" applyFill="1" applyBorder="1"/>
    <xf numFmtId="0" fontId="2" fillId="3" borderId="22" xfId="0" applyFont="1" applyFill="1" applyBorder="1"/>
    <xf numFmtId="0" fontId="3" fillId="6" borderId="23" xfId="0" applyFont="1" applyFill="1" applyBorder="1"/>
    <xf numFmtId="0" fontId="3" fillId="6" borderId="27" xfId="0" applyFont="1" applyFill="1" applyBorder="1"/>
    <xf numFmtId="10" fontId="3" fillId="2" borderId="28" xfId="421" applyNumberFormat="1" applyFont="1" applyFill="1" applyBorder="1"/>
    <xf numFmtId="10" fontId="3" fillId="2" borderId="29" xfId="421" applyNumberFormat="1" applyFont="1" applyFill="1" applyBorder="1"/>
    <xf numFmtId="0" fontId="3" fillId="5" borderId="31" xfId="0" applyFont="1" applyFill="1" applyBorder="1"/>
    <xf numFmtId="3" fontId="3" fillId="2" borderId="31" xfId="421" applyNumberFormat="1" applyFont="1" applyFill="1" applyBorder="1" applyAlignment="1">
      <alignment horizontal="center"/>
    </xf>
    <xf numFmtId="3" fontId="3" fillId="4" borderId="31" xfId="421" applyNumberFormat="1" applyFont="1" applyFill="1" applyBorder="1" applyAlignment="1">
      <alignment horizontal="center"/>
    </xf>
    <xf numFmtId="0" fontId="22" fillId="0" borderId="0" xfId="0" applyFont="1" applyAlignment="1">
      <alignment vertical="top"/>
    </xf>
    <xf numFmtId="0" fontId="20" fillId="0" borderId="33" xfId="0" applyFont="1" applyBorder="1"/>
    <xf numFmtId="10" fontId="28" fillId="7" borderId="10" xfId="421" applyNumberFormat="1" applyFont="1" applyFill="1" applyBorder="1"/>
    <xf numFmtId="10" fontId="28" fillId="7" borderId="9" xfId="421" applyNumberFormat="1" applyFont="1" applyFill="1" applyBorder="1"/>
    <xf numFmtId="10" fontId="29" fillId="6" borderId="5" xfId="421" applyNumberFormat="1" applyFont="1" applyFill="1" applyBorder="1"/>
    <xf numFmtId="10" fontId="29" fillId="6" borderId="4" xfId="421" applyNumberFormat="1" applyFont="1" applyFill="1" applyBorder="1"/>
    <xf numFmtId="3" fontId="30" fillId="2" borderId="32" xfId="421" applyNumberFormat="1" applyFont="1" applyFill="1" applyBorder="1" applyAlignment="1">
      <alignment horizontal="center"/>
    </xf>
    <xf numFmtId="10" fontId="31" fillId="2" borderId="4" xfId="421" applyNumberFormat="1" applyFont="1" applyFill="1" applyBorder="1"/>
    <xf numFmtId="10" fontId="31" fillId="2" borderId="5" xfId="421" applyNumberFormat="1" applyFont="1" applyFill="1" applyBorder="1"/>
    <xf numFmtId="10" fontId="30" fillId="2" borderId="9" xfId="421" applyNumberFormat="1" applyFont="1" applyFill="1" applyBorder="1"/>
    <xf numFmtId="10" fontId="30" fillId="2" borderId="10" xfId="421" applyNumberFormat="1" applyFont="1" applyFill="1" applyBorder="1"/>
    <xf numFmtId="3" fontId="30" fillId="2" borderId="31" xfId="421" applyNumberFormat="1" applyFont="1" applyFill="1" applyBorder="1" applyAlignment="1">
      <alignment horizontal="center"/>
    </xf>
    <xf numFmtId="10" fontId="31" fillId="2" borderId="2" xfId="421" applyNumberFormat="1" applyFont="1" applyFill="1" applyBorder="1"/>
    <xf numFmtId="10" fontId="31" fillId="2" borderId="3" xfId="421" applyNumberFormat="1" applyFont="1" applyFill="1" applyBorder="1"/>
    <xf numFmtId="3" fontId="30" fillId="2" borderId="12" xfId="421" applyNumberFormat="1" applyFont="1" applyFill="1" applyBorder="1" applyAlignment="1">
      <alignment horizontal="center"/>
    </xf>
    <xf numFmtId="3" fontId="30" fillId="2" borderId="13" xfId="421" applyNumberFormat="1" applyFont="1" applyFill="1" applyBorder="1" applyAlignment="1">
      <alignment horizontal="center"/>
    </xf>
    <xf numFmtId="10" fontId="30" fillId="2" borderId="28" xfId="421" applyNumberFormat="1" applyFont="1" applyFill="1" applyBorder="1"/>
    <xf numFmtId="10" fontId="30" fillId="2" borderId="29" xfId="421" applyNumberFormat="1" applyFont="1" applyFill="1" applyBorder="1"/>
    <xf numFmtId="3" fontId="32" fillId="8" borderId="32" xfId="421" applyNumberFormat="1" applyFont="1" applyFill="1" applyBorder="1" applyAlignment="1">
      <alignment horizontal="center"/>
    </xf>
    <xf numFmtId="10" fontId="33" fillId="8" borderId="4" xfId="421" applyNumberFormat="1" applyFont="1" applyFill="1" applyBorder="1"/>
    <xf numFmtId="10" fontId="33" fillId="8" borderId="5" xfId="421" applyNumberFormat="1" applyFont="1" applyFill="1" applyBorder="1"/>
    <xf numFmtId="10" fontId="32" fillId="8" borderId="9" xfId="421" applyNumberFormat="1" applyFont="1" applyFill="1" applyBorder="1"/>
    <xf numFmtId="10" fontId="32" fillId="8" borderId="10" xfId="421" applyNumberFormat="1" applyFont="1" applyFill="1" applyBorder="1"/>
    <xf numFmtId="3" fontId="32" fillId="8" borderId="31" xfId="421" applyNumberFormat="1" applyFont="1" applyFill="1" applyBorder="1" applyAlignment="1">
      <alignment horizontal="center"/>
    </xf>
    <xf numFmtId="10" fontId="33" fillId="4" borderId="4" xfId="421" applyNumberFormat="1" applyFont="1" applyFill="1" applyBorder="1"/>
    <xf numFmtId="10" fontId="33" fillId="4" borderId="5" xfId="421" applyNumberFormat="1" applyFont="1" applyFill="1" applyBorder="1"/>
    <xf numFmtId="10" fontId="32" fillId="4" borderId="9" xfId="421" applyNumberFormat="1" applyFont="1" applyFill="1" applyBorder="1"/>
    <xf numFmtId="10" fontId="32" fillId="4" borderId="10" xfId="421" applyNumberFormat="1" applyFont="1" applyFill="1" applyBorder="1"/>
    <xf numFmtId="3" fontId="32" fillId="4" borderId="31" xfId="421" applyNumberFormat="1" applyFont="1" applyFill="1" applyBorder="1" applyAlignment="1">
      <alignment horizontal="center"/>
    </xf>
    <xf numFmtId="3" fontId="32" fillId="4" borderId="32" xfId="421" applyNumberFormat="1" applyFont="1" applyFill="1" applyBorder="1" applyAlignment="1">
      <alignment horizontal="center"/>
    </xf>
    <xf numFmtId="10" fontId="33" fillId="4" borderId="24" xfId="421" applyNumberFormat="1" applyFont="1" applyFill="1" applyBorder="1"/>
    <xf numFmtId="10" fontId="32" fillId="4" borderId="26" xfId="421" applyNumberFormat="1" applyFont="1" applyFill="1" applyBorder="1"/>
    <xf numFmtId="10" fontId="33" fillId="4" borderId="2" xfId="421" applyNumberFormat="1" applyFont="1" applyFill="1" applyBorder="1"/>
    <xf numFmtId="10" fontId="33" fillId="4" borderId="25" xfId="421" applyNumberFormat="1" applyFont="1" applyFill="1" applyBorder="1"/>
    <xf numFmtId="10" fontId="33" fillId="4" borderId="3" xfId="421" applyNumberFormat="1" applyFont="1" applyFill="1" applyBorder="1"/>
    <xf numFmtId="3" fontId="32" fillId="4" borderId="12" xfId="421" applyNumberFormat="1" applyFont="1" applyFill="1" applyBorder="1" applyAlignment="1">
      <alignment horizontal="center"/>
    </xf>
    <xf numFmtId="3" fontId="32" fillId="4" borderId="13" xfId="421" applyNumberFormat="1" applyFont="1" applyFill="1" applyBorder="1" applyAlignment="1">
      <alignment horizontal="center"/>
    </xf>
    <xf numFmtId="10" fontId="32" fillId="4" borderId="28" xfId="421" applyNumberFormat="1" applyFont="1" applyFill="1" applyBorder="1"/>
    <xf numFmtId="10" fontId="32" fillId="4" borderId="30" xfId="421" applyNumberFormat="1" applyFont="1" applyFill="1" applyBorder="1"/>
    <xf numFmtId="10" fontId="32" fillId="4" borderId="29" xfId="421" applyNumberFormat="1" applyFont="1" applyFill="1" applyBorder="1"/>
    <xf numFmtId="17" fontId="3" fillId="2" borderId="21" xfId="0" applyNumberFormat="1" applyFont="1" applyFill="1" applyBorder="1" applyAlignment="1">
      <alignment horizontal="center"/>
    </xf>
    <xf numFmtId="17" fontId="3" fillId="2" borderId="25" xfId="0" applyNumberFormat="1" applyFont="1" applyFill="1" applyBorder="1" applyAlignment="1">
      <alignment horizontal="center"/>
    </xf>
    <xf numFmtId="17" fontId="3" fillId="4" borderId="21" xfId="0" applyNumberFormat="1" applyFont="1" applyFill="1" applyBorder="1" applyAlignment="1">
      <alignment horizontal="center"/>
    </xf>
    <xf numFmtId="17" fontId="3" fillId="4" borderId="25" xfId="0" applyNumberFormat="1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4" borderId="24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</cellXfs>
  <cellStyles count="506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1" xfId="504" builtinId="16"/>
    <cellStyle name="כותרת 2" xfId="505" builtinId="17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66"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/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/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DAEEF3"/>
        </patternFill>
      </fill>
      <border diagonalUp="0" diagonalDown="0" outline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DAEEF3"/>
        </patternFill>
      </fill>
      <border diagonalUp="0" diagonalDown="0" outline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CC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 outline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CC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 outline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FFCC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FFFFCC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FFFFCC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FFFFCC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CC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 outline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CC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 outline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FFCC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FFFFCC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FFFFCC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FFFFCC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FFFFCC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sz val="11"/>
        <color rgb="FFFFFFCC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CC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 outline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CC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 outline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CC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 outline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CC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 outline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CC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 outline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CC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 outline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family val="2"/>
        <charset val="177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border outline="0">
        <right style="thin">
          <color indexed="64"/>
        </right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</dxfs>
  <tableStyles count="0" defaultPivotStyle="PivotStyleLight16"/>
  <colors>
    <mruColors>
      <color rgb="FFDAEEF3"/>
      <color rgb="FFFFFFCC"/>
      <color rgb="FF92D050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258300</xdr:colOff>
      <xdr:row>0</xdr:row>
      <xdr:rowOff>133350</xdr:rowOff>
    </xdr:from>
    <xdr:to>
      <xdr:col>8</xdr:col>
      <xdr:colOff>571500</xdr:colOff>
      <xdr:row>2</xdr:row>
      <xdr:rowOff>17925</xdr:rowOff>
    </xdr:to>
    <xdr:pic>
      <xdr:nvPicPr>
        <xdr:cNvPr id="3" name="תמונה 2" descr="מסמך נגיש">
          <a:extLst>
            <a:ext uri="{FF2B5EF4-FFF2-40B4-BE49-F238E27FC236}">
              <a16:creationId xmlns:a16="http://schemas.microsoft.com/office/drawing/2014/main" id="{AFD1F48B-F239-4580-A795-79E7CF43F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8471000" y="133350"/>
          <a:ext cx="313200" cy="313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F7FFB4-53BD-4DCF-922A-2FBBA7C7FEFC}" name="טבלה1" displayName="טבלה1" ref="A82:J88" totalsRowShown="0">
  <autoFilter ref="A82:J88" xr:uid="{46C3E576-D745-4E04-B149-95B883FC992A}"/>
  <tableColumns count="10">
    <tableColumn id="1" xr3:uid="{2D2D89B7-1031-4937-A422-1A451B3B8BEE}" name="עמודה1" dataDxfId="65"/>
    <tableColumn id="2" xr3:uid="{3DB86765-EAD2-4B7D-8E8F-3CA59797AA70}" name="נושא"/>
    <tableColumn id="3" xr3:uid="{78958584-EC9C-4333-8EF6-44A703F0A161}" name="ינואר- מרץ 2019 התרומה לתשואה"/>
    <tableColumn id="4" xr3:uid="{A2FB81F0-1AC2-4908-9DBF-14786A130CCE}" name="ינואר- מרץ 2019 שיעור מסך הנכסים"/>
    <tableColumn id="5" xr3:uid="{940AACA2-BF20-4A60-A704-8E9EC84D5BE7}" name="ינואר- יוני 2019 התרומה לתשואה"/>
    <tableColumn id="6" xr3:uid="{59F0A7C1-2281-4ACF-BAD2-A022D4956FD0}" name="ינואר- יוני 2019 שיעור מסך הנכסים"/>
    <tableColumn id="7" xr3:uid="{C6E79D16-22F2-428A-B172-177577D62FF9}" name="ינואר- ספטמבר 2019 התרומה לתשואה"/>
    <tableColumn id="8" xr3:uid="{66E1AD60-1AE4-47C6-A1D5-AEF87684CAB5}" name="ינואר- ספטמבר 2019 שיעור מסך הנכסים"/>
    <tableColumn id="9" xr3:uid="{63D24D88-2839-4101-B8E4-DF1E5659CCFF}" name="ינואר -דצמבר 2019 התרומה לתשואה"/>
    <tableColumn id="10" xr3:uid="{0837C382-A273-4021-AC46-7917A0437A37}" name="ינואר -דצמבר 2019 שיעור מסך הנכסים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2EB8C5-E511-4653-82D0-98068372A497}" name="טבלה2" displayName="טבלה2" ref="B75:J78" totalsRowShown="0" tableBorderDxfId="64">
  <autoFilter ref="B75:J78" xr:uid="{5112D479-950B-43EA-B35F-311B033FDF88}"/>
  <tableColumns count="9">
    <tableColumn id="1" xr3:uid="{22D6C6E4-E862-40D9-A3F8-C7D61500FBF9}" name="נושא"/>
    <tableColumn id="2" xr3:uid="{6686E7E6-0B52-402B-B41E-356BD60F0B54}" name="ינואר- מרץ 2019 התרומה לתשואה"/>
    <tableColumn id="3" xr3:uid="{C7C07B5F-1008-4810-ACAD-6738B2A0C6AB}" name="ינואר- מרץ 2019 שיעור מסך הנכסים"/>
    <tableColumn id="4" xr3:uid="{D491F2C3-C9FE-41B9-AD34-915927DC29BE}" name="ינואר- יוני 2019 התרומה לתשואה" dataDxfId="1"/>
    <tableColumn id="5" xr3:uid="{94E1836B-0BA5-45CD-9793-D071D4B76B96}" name="ינואר- יוני 2019 שיעור מסך הנכסים" dataDxfId="0"/>
    <tableColumn id="6" xr3:uid="{AA07E5CA-5B39-4194-BAAE-D9514BCFD1F2}" name="ינואר- ספטמבר 2019 התרומה לתשואה" dataDxfId="31"/>
    <tableColumn id="7" xr3:uid="{95F672A6-D0A7-449C-86A8-4DCE633977C5}" name="ינואר- ספטמבר 2019 שיעור מסך הנכסים" dataDxfId="30"/>
    <tableColumn id="8" xr3:uid="{998C7B68-202C-419A-8562-C3BFBD1C38E6}" name="ינואר -דצמבר 2019 התרומה לתשואה" dataDxfId="3"/>
    <tableColumn id="9" xr3:uid="{DD64B1E7-D5B9-4680-9A81-C6DF51D561AF}" name="ינואר -דצמבר 2019 שיעור מסך הנכסים" dataDxfId="2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FF02EA-E940-409D-A72F-2AAE908D9583}" name="טבלה3" displayName="טבלה3" ref="A50:J71" totalsRowShown="0" tableBorderDxfId="63">
  <autoFilter ref="A50:J71" xr:uid="{4C1B74F9-792C-42E3-896A-9C145004B5B0}"/>
  <tableColumns count="10">
    <tableColumn id="1" xr3:uid="{095051CF-B630-4048-8ADE-8D3CF9066FC5}" name="עמודה1" dataDxfId="62"/>
    <tableColumn id="2" xr3:uid="{B95E3BCC-0287-43EC-A497-4A6267D309E3}" name="נושא" dataDxfId="61"/>
    <tableColumn id="3" xr3:uid="{C1DC21AF-78A9-4C4E-8AC3-F851D7434324}" name="ינואר- מרץ 2019 התרומה לתשואה" dataDxfId="60" dataCellStyle="Percent"/>
    <tableColumn id="4" xr3:uid="{30FD0E80-0C4E-4620-9E87-032002ADE4AD}" name="ינואר- מרץ 2019 שיעור מסך הנכסים" dataDxfId="59" dataCellStyle="Percent"/>
    <tableColumn id="5" xr3:uid="{47161462-1548-4C10-92D6-2B9853AC2487}" name="ינואר- יוני 2019 התרומה לתשואה" dataDxfId="5" dataCellStyle="Percent"/>
    <tableColumn id="6" xr3:uid="{B098814A-14B2-4ED3-9638-D20C44E8ED6C}" name="ינואר- יוני 2019 שיעור מסך הנכסים" dataDxfId="4" dataCellStyle="Percent"/>
    <tableColumn id="7" xr3:uid="{0FED3BE4-D013-40C7-81B3-DD87DCCBD119}" name="ינואר- ספטמבר 2019 התרומה לתשואה" dataDxfId="29" dataCellStyle="Percent"/>
    <tableColumn id="8" xr3:uid="{2746E09C-0B77-49A6-9E7F-E9F6D576865F}" name="ינואר- ספטמבר 2019 שיעור מסך הנכסים" dataDxfId="28" dataCellStyle="Percent"/>
    <tableColumn id="9" xr3:uid="{4EE9924F-CE9B-4165-A3C1-0C7861A32025}" name="ינואר -דצמבר 2019 התרומה לתשואה" dataDxfId="7" dataCellStyle="Percent"/>
    <tableColumn id="10" xr3:uid="{75E364F8-C2F3-4E2B-8685-7CC5831CF1BB}" name="ינואר -דצמבר 2019 שיעור מסך הנכסים" dataDxfId="6" dataCellStyle="Percent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971F42-9CFA-4B06-A25F-C8C51F7362EB}" name="טבלה5" displayName="טבלה5" ref="A40:Z46" totalsRowShown="0">
  <autoFilter ref="A40:Z46" xr:uid="{3CA871C3-F9E2-4B41-B780-1FABA67CCB08}"/>
  <tableColumns count="26">
    <tableColumn id="1" xr3:uid="{E104C2DC-560A-4E24-A75A-C68ED9617900}" name="עמודה1" dataDxfId="58"/>
    <tableColumn id="2" xr3:uid="{81895129-D3D9-4E2B-BCDC-BB6CA1A88DB7}" name="נושא"/>
    <tableColumn id="3" xr3:uid="{E164A1E6-81C8-4EE6-8A50-B69DF75F3CDE}" name="ינואר 2019 התרומה לתשואה"/>
    <tableColumn id="4" xr3:uid="{4AADB550-DEAC-455C-81C5-B801C254BEC7}" name="ינואר 2019 שיעור מסך הנכסים"/>
    <tableColumn id="5" xr3:uid="{1F42AFA7-8492-42EA-A370-E0D777244492}" name="פברואר 2019 התרומה לתשואה"/>
    <tableColumn id="6" xr3:uid="{0D988824-4FA7-4AA3-86E3-30CBA14F628C}" name="פברואר 2019 שיעור מסך הנכסים"/>
    <tableColumn id="7" xr3:uid="{034F0131-0138-43C9-9F46-076F9EC044BB}" name="מרץ 2019 התרומה לתשואה"/>
    <tableColumn id="8" xr3:uid="{BFD896FB-22FF-4564-913F-B4790956A0DE}" name="מרץ 2019 שיעור מסך הנכסים"/>
    <tableColumn id="9" xr3:uid="{D994F935-822C-4159-86BC-CFCEFEDF8439}" name="אפריל 2019 התרומה לתשואה"/>
    <tableColumn id="10" xr3:uid="{7D984194-DFAB-4B79-B193-AE153A00690B}" name="אפריל 2019 שיעור מסך הנכסים"/>
    <tableColumn id="11" xr3:uid="{01CF29C4-E3EF-4F0B-8CF7-0B59335F091A}" name="מאי 2019 התרומה לתשואה"/>
    <tableColumn id="12" xr3:uid="{9CC7FE6D-2172-4B69-A2C3-E2E05C7ABD7C}" name="מאי 2019 שיעור מסך הנכסים"/>
    <tableColumn id="13" xr3:uid="{1751659E-460B-4190-9ABA-A6244B5F1225}" name="יוני 2019 התרומה לתשואה"/>
    <tableColumn id="14" xr3:uid="{5913CF33-6D8A-4E25-B679-D8B3EF74B834}" name="יוני 2019 שיעור מסך הנכסים"/>
    <tableColumn id="15" xr3:uid="{D493EDEB-4BE3-43DB-A35C-7177FD35FBF4}" name="יולי 2019 התרומה לתשואה"/>
    <tableColumn id="16" xr3:uid="{0143EEB1-63B8-49AF-A2D0-A94A57FB15D0}" name="יולי 2019 שיעור מסך הנכסים"/>
    <tableColumn id="17" xr3:uid="{59CF03AD-4FD1-490C-B7BF-D2C7DCEC329F}" name="אוגוסט 2019 התרומה לתשואה"/>
    <tableColumn id="18" xr3:uid="{3928AE46-6211-429D-8D52-74AAA78DE041}" name="אוגוסט 2019 שיעור מסך הנכסים"/>
    <tableColumn id="19" xr3:uid="{FE301843-93EC-465E-8E7B-34319393AEFE}" name="ספטמבר 2019 התרומה לתשואה"/>
    <tableColumn id="20" xr3:uid="{7DACFCDD-BD20-4C65-9B04-059737B4AB16}" name="ספטמבר 2019 שיעור מסך הנכסים"/>
    <tableColumn id="21" xr3:uid="{4C271ADE-6954-4FB9-A200-0E5B921DC5A9}" name="אוקטובר 2019 התרומה לתשואה"/>
    <tableColumn id="22" xr3:uid="{EAED48FC-006F-4ED1-9ECE-26478C149CBC}" name="אוקטובר 2019 שיעור מסך הנכסים"/>
    <tableColumn id="23" xr3:uid="{4FDB3449-3354-482B-A1E2-E6C6879C5D3C}" name="נובמבר 2019 התרומה לתשואה"/>
    <tableColumn id="24" xr3:uid="{404C9A4D-E5BE-481A-9C6C-BB29BF89565D}" name="נובמבר 2019 שיעור מסך הנכסים"/>
    <tableColumn id="25" xr3:uid="{96F81239-D458-4620-BEF8-630C0725B088}" name="דצמבר 2019 התרומה לתשואה"/>
    <tableColumn id="26" xr3:uid="{023E4039-04F1-4506-935D-E54952ED8451}" name="דצמבר 2019 שיעור מסך הנכסים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9541C37-D8DA-4B26-B171-B48C922F3CA2}" name="טבלה6" displayName="טבלה6" ref="A33:Z36" totalsRowShown="0" tableBorderDxfId="57">
  <autoFilter ref="A33:Z36" xr:uid="{ACF3D0A2-A467-4558-8671-076A56499583}"/>
  <tableColumns count="26">
    <tableColumn id="1" xr3:uid="{2C8DD455-DE04-47BC-BE1B-B6EE38F2F020}" name="עמודה1" dataDxfId="56"/>
    <tableColumn id="2" xr3:uid="{1DC71AD3-DC0A-46F7-8AAA-B3ED48A12AE0}" name="נושא"/>
    <tableColumn id="3" xr3:uid="{EFE0A341-1EB8-46DF-A570-57AB49ACDCFA}" name="ינואר 2019 התרומה לתשואה"/>
    <tableColumn id="4" xr3:uid="{FFE746D3-CE3C-46AD-B174-90EF1A690C11}" name="ינואר 2019 שיעור מסך הנכסים"/>
    <tableColumn id="5" xr3:uid="{9C12DE19-2EAD-4553-B263-D2F7D2496E90}" name="פברואר 2019 התרומה לתשואה"/>
    <tableColumn id="6" xr3:uid="{9FDC01AF-1C02-4F72-97D5-64B652623C41}" name="פברואר 2019 שיעור מסך הנכסים"/>
    <tableColumn id="7" xr3:uid="{32A47E6C-0BCC-4793-B059-C463228945AB}" name="מרץ 2019 התרומה לתשואה"/>
    <tableColumn id="8" xr3:uid="{3E6B42CB-4C58-4313-80C2-DFB4DCEC7DD9}" name="מרץ 2019 שיעור מסך הנכסים"/>
    <tableColumn id="9" xr3:uid="{17CBEC75-6A02-49AC-9F31-32FB9CD1D346}" name="אפריל 2019 התרומה לתשואה" dataDxfId="9"/>
    <tableColumn id="10" xr3:uid="{BCF61DA3-5438-4D16-A8AB-9A0656F3F394}" name="אפריל 2019 שיעור מסך הנכסים" dataDxfId="8"/>
    <tableColumn id="11" xr3:uid="{FE2AE230-696A-41C4-B0BC-6F6CF25A58D0}" name="מאי 2019 התרומה לתשואה" dataDxfId="33"/>
    <tableColumn id="12" xr3:uid="{C33C6D68-F594-4177-A8F5-F6E149D11711}" name="מאי 2019 שיעור מסך הנכסים" dataDxfId="32"/>
    <tableColumn id="13" xr3:uid="{041E6AC8-396A-4EED-95C8-C30B6C4854DD}" name="יוני 2019 התרומה לתשואה" dataDxfId="11"/>
    <tableColumn id="14" xr3:uid="{A88D8D64-C4BA-4287-8D44-B8B5A3653F73}" name="יוני 2019 שיעור מסך הנכסים" dataDxfId="10"/>
    <tableColumn id="15" xr3:uid="{75CE2BD4-5D05-4EF6-9D2E-3EC1E6219989}" name="יולי 2019 התרומה לתשואה" dataDxfId="37"/>
    <tableColumn id="16" xr3:uid="{6DEB25F9-046B-4D4E-9753-40487AB22A82}" name="יולי 2019 שיעור מסך הנכסים" dataDxfId="36"/>
    <tableColumn id="17" xr3:uid="{08F0F8DD-E38C-4EE1-A50D-D85A887CDEC6}" name="אוגוסט 2019 התרומה לתשואה" dataDxfId="13"/>
    <tableColumn id="18" xr3:uid="{8E9FE81E-2A65-40E8-8E49-1C1B1CDCBD6B}" name="אוגוסט 2019 שיעור מסך הנכסים" dataDxfId="12"/>
    <tableColumn id="19" xr3:uid="{E35EF082-E867-4B06-B9EF-6A75C3DBB442}" name="ספטמבר 2019 התרומה לתשואה" dataDxfId="39"/>
    <tableColumn id="20" xr3:uid="{F548EA69-AD26-4246-8E30-BD29EB278028}" name="ספטמבר 2019 שיעור מסך הנכסים" dataDxfId="38"/>
    <tableColumn id="21" xr3:uid="{C6F7F2E6-7936-4FFD-8806-B455E3C51587}" name="אוקטובר 2019 התרומה לתשואה" dataDxfId="15"/>
    <tableColumn id="22" xr3:uid="{4C6BBA18-D98B-4CC0-BB7C-66069BE04873}" name="אוקטובר 2019 שיעור מסך הנכסים" dataDxfId="14"/>
    <tableColumn id="23" xr3:uid="{1FD9706C-BC9C-4084-9405-9470F3A57A1A}" name="נובמבר 2019 התרומה לתשואה" dataDxfId="41"/>
    <tableColumn id="24" xr3:uid="{BE15FA33-C7F6-465A-B0CC-7C6DC164BBF8}" name="נובמבר 2019 שיעור מסך הנכסים" dataDxfId="40"/>
    <tableColumn id="25" xr3:uid="{05F2DD1C-C1AC-4F7F-AC9D-CA22127FA6BF}" name="דצמבר 2019 התרומה לתשואה" dataDxfId="17"/>
    <tableColumn id="26" xr3:uid="{F38B74A7-24B0-44C0-AFA9-A2628364FCB9}" name="דצמבר 2019 שיעור מסך הנכסים" dataDxfId="16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EAFE3A-BE36-4668-BF70-94534FBB3ED4}" name="טבלה7" displayName="טבלה7" ref="B7:Z28" totalsRowShown="0" tableBorderDxfId="55">
  <autoFilter ref="B7:Z28" xr:uid="{DAA6827D-B84E-451F-9DEA-0D1D6128C1DC}"/>
  <tableColumns count="25">
    <tableColumn id="1" xr3:uid="{19F9A422-9617-4ADB-85D6-29FCB72D50F5}" name="נושא" dataDxfId="54"/>
    <tableColumn id="2" xr3:uid="{34BB8962-6C49-4893-B55B-1196A2EC30A6}" name="ינואר 2019 התרומה לתשואה" dataDxfId="53" dataCellStyle="Percent"/>
    <tableColumn id="3" xr3:uid="{A1BF4B0A-52C9-4813-AFA8-CFE4BFB16A5E}" name="ינואר 2019 שיעור מסך הנכסים" dataDxfId="52" dataCellStyle="Percent"/>
    <tableColumn id="4" xr3:uid="{5CBA4D28-3840-4025-B996-0F7D9EA40A7F}" name="פברואר 2019 התרומה לתשואה" dataDxfId="51" dataCellStyle="Percent"/>
    <tableColumn id="5" xr3:uid="{5B9A95C8-2647-44E8-BD83-00FACA4AAF72}" name="פברואר 2019 שיעור מסך הנכסים" dataDxfId="50" dataCellStyle="Percent"/>
    <tableColumn id="6" xr3:uid="{4E54782F-EC64-40CC-AD2C-3D88B8C9C2A9}" name="מרץ 2019 התרומה לתשואה" dataDxfId="49" dataCellStyle="Percent"/>
    <tableColumn id="7" xr3:uid="{84E4E8E2-2FCB-452E-BFA7-2DA9046B37D6}" name="מרץ 2019 שיעור מסך הנכסים" dataDxfId="48" dataCellStyle="Percent"/>
    <tableColumn id="8" xr3:uid="{5A1E5158-8E89-47F0-B0FB-0ED819CDBFEA}" name="אפריל 2019 התרומה לתשואה" dataDxfId="27" dataCellStyle="Percent"/>
    <tableColumn id="9" xr3:uid="{2714BFDE-11E6-4F6C-892C-351B6362F7F2}" name="אפריל 2019 שיעור מסך הנכסים" dataDxfId="26" dataCellStyle="Percent"/>
    <tableColumn id="10" xr3:uid="{7D679636-0AAB-434E-947B-E5C4596A80ED}" name="מאי 2019 התרומה לתשואה" dataDxfId="47" dataCellStyle="Percent"/>
    <tableColumn id="11" xr3:uid="{BB141276-B296-4D81-BC9D-C5324D3A0526}" name="מאי 2019 שיעור מסך הנכסים" dataDxfId="46" dataCellStyle="Percent"/>
    <tableColumn id="12" xr3:uid="{A9A104F0-A713-423A-B20C-02E7C079822E}" name="יוני 2019 התרומה לתשואה" dataDxfId="25" dataCellStyle="Percent"/>
    <tableColumn id="13" xr3:uid="{E8371F5D-A233-4470-9454-F55F94B13A26}" name="יוני 2019 שיעור מסך הנכסים" dataDxfId="24" dataCellStyle="Percent"/>
    <tableColumn id="14" xr3:uid="{653DECB7-DABC-4319-85B2-169497864E56}" name="יולי 2019 התרומה לתשואה" dataDxfId="45" dataCellStyle="Percent"/>
    <tableColumn id="15" xr3:uid="{33BAF989-81D0-44D0-A7A2-CBB59AFDD41D}" name="יולי 2019 שיעור מסך הנכסים" dataDxfId="44" dataCellStyle="Percent"/>
    <tableColumn id="16" xr3:uid="{89A52B27-FF30-40B8-BC9B-8DF62C621D4D}" name="אוגוסט 2019 התרומה לתשואה" dataDxfId="23" dataCellStyle="Percent"/>
    <tableColumn id="17" xr3:uid="{6A99EEEB-718B-4BEF-879B-F8C3556D51FE}" name="אוגוסט 2019 שיעור מסך הנכסים" dataDxfId="22" dataCellStyle="Percent"/>
    <tableColumn id="18" xr3:uid="{84A0EEAE-A670-4815-89B3-D7B8A0803538}" name="ספטמבר 2019 התרומה לתשואה" dataDxfId="43" dataCellStyle="Percent"/>
    <tableColumn id="19" xr3:uid="{58289C54-580F-4623-A887-D4001ABC1B81}" name="ספטמבר 2019 שיעור מסך הנכסים" dataDxfId="42" dataCellStyle="Percent"/>
    <tableColumn id="20" xr3:uid="{C08A2DE8-58EC-4CCE-A0D6-BE707A2B88E2}" name="אוקטובר 2019 התרומה לתשואה" dataDxfId="19" dataCellStyle="Percent"/>
    <tableColumn id="21" xr3:uid="{B6716ACB-D376-40DC-81B8-B57AA1252DC6}" name="אוקטובר 2019 שיעור מסך הנכסים" dataDxfId="18" dataCellStyle="Percent"/>
    <tableColumn id="22" xr3:uid="{721E2D23-2C5D-4A84-8F02-C54C5C5EE46D}" name="נובמבר 2019 התרומה לתשואה" dataDxfId="35" dataCellStyle="Percent"/>
    <tableColumn id="23" xr3:uid="{1CC92E64-94B8-47C1-8DC1-E0264CA051D0}" name="נובמבר 2019 שיעור מסך הנכסים" dataDxfId="34" dataCellStyle="Percent"/>
    <tableColumn id="24" xr3:uid="{1B6086CE-BB4F-4269-BF17-587808EC1467}" name="דצמבר 2019 התרומה לתשואה" dataDxfId="21" dataCellStyle="Percent"/>
    <tableColumn id="25" xr3:uid="{4AEE77B5-D394-4677-A23F-E7779C6EB7C4}" name="דצמבר 2019 שיעור מסך הנכסים" dataDxfId="20" dataCellStyle="Percent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53"/>
  <sheetViews>
    <sheetView rightToLeft="1" tabSelected="1" topLeftCell="D1" zoomScaleNormal="100" workbookViewId="0">
      <selection activeCell="C3" sqref="C3:Z3"/>
    </sheetView>
  </sheetViews>
  <sheetFormatPr defaultColWidth="9.125" defaultRowHeight="15" x14ac:dyDescent="0.25"/>
  <cols>
    <col min="1" max="1" width="2.125" style="1" hidden="1" customWidth="1"/>
    <col min="2" max="2" width="31.25" style="1" customWidth="1"/>
    <col min="3" max="26" width="10.875" style="1" customWidth="1"/>
    <col min="27" max="16384" width="9.125" style="1"/>
  </cols>
  <sheetData>
    <row r="1" spans="1:31" ht="15" customHeight="1" x14ac:dyDescent="0.3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31" ht="18.75" x14ac:dyDescent="0.3">
      <c r="B2" s="30" t="s">
        <v>41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31" ht="18.75" x14ac:dyDescent="0.3">
      <c r="B3" s="12" t="s">
        <v>41</v>
      </c>
      <c r="C3" s="31" t="s">
        <v>38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31" x14ac:dyDescent="0.25">
      <c r="B4" s="2">
        <v>2019</v>
      </c>
      <c r="C4" s="13">
        <v>5</v>
      </c>
      <c r="D4" s="13" t="s">
        <v>47</v>
      </c>
      <c r="E4" s="13">
        <f>C4+1</f>
        <v>6</v>
      </c>
      <c r="F4" s="13"/>
      <c r="G4" s="13">
        <f>E4+1</f>
        <v>7</v>
      </c>
      <c r="H4" s="13"/>
      <c r="I4" s="13">
        <f>G4+1</f>
        <v>8</v>
      </c>
      <c r="J4" s="13"/>
      <c r="K4" s="13">
        <f>I4+1</f>
        <v>9</v>
      </c>
      <c r="L4" s="13"/>
      <c r="M4" s="13">
        <f>K4+1</f>
        <v>10</v>
      </c>
      <c r="N4" s="13"/>
      <c r="O4" s="13">
        <f>M4+1</f>
        <v>11</v>
      </c>
      <c r="P4" s="13"/>
      <c r="Q4" s="13">
        <f>O4+1</f>
        <v>12</v>
      </c>
      <c r="R4" s="13"/>
      <c r="S4" s="13">
        <f>Q4+1</f>
        <v>13</v>
      </c>
      <c r="T4" s="13"/>
      <c r="U4" s="13">
        <f>S4+1</f>
        <v>14</v>
      </c>
      <c r="V4" s="13"/>
      <c r="W4" s="13">
        <f>U4+1</f>
        <v>15</v>
      </c>
      <c r="X4" s="13"/>
      <c r="Y4" s="13">
        <f>W4+1</f>
        <v>16</v>
      </c>
      <c r="Z4" s="13"/>
      <c r="AE4" s="1">
        <v>2016</v>
      </c>
    </row>
    <row r="5" spans="1:31" ht="15.75" x14ac:dyDescent="0.25">
      <c r="B5" s="34" t="s">
        <v>39</v>
      </c>
      <c r="C5" s="36" t="s">
        <v>0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8"/>
      <c r="AE5" s="3" t="s">
        <v>1</v>
      </c>
    </row>
    <row r="6" spans="1:31" x14ac:dyDescent="0.25">
      <c r="B6" s="35"/>
      <c r="C6" s="92" t="str">
        <f ca="1">CONCATENATE(INDIRECT(CONCATENATE($C$3,C4))," ",$B$4)</f>
        <v>ינואר 2019</v>
      </c>
      <c r="D6" s="93"/>
      <c r="E6" s="94" t="str">
        <f ca="1">CONCATENATE(INDIRECT(CONCATENATE($C$3,E4))," ",$B$4)</f>
        <v>פברואר 2019</v>
      </c>
      <c r="F6" s="95"/>
      <c r="G6" s="92" t="str">
        <f ca="1">CONCATENATE(INDIRECT(CONCATENATE($C$3,G4))," ",$B$4)</f>
        <v>מרץ 2019</v>
      </c>
      <c r="H6" s="93"/>
      <c r="I6" s="94" t="str">
        <f ca="1">CONCATENATE(INDIRECT(CONCATENATE($C$3,I4))," ",$B$4)</f>
        <v>אפריל 2019</v>
      </c>
      <c r="J6" s="95"/>
      <c r="K6" s="92" t="str">
        <f ca="1">CONCATENATE(INDIRECT(CONCATENATE($C$3,K4))," ",$B$4)</f>
        <v>מאי 2019</v>
      </c>
      <c r="L6" s="93"/>
      <c r="M6" s="94" t="str">
        <f ca="1">CONCATENATE(INDIRECT(CONCATENATE($C$3,M4))," ",$B$4)</f>
        <v>יוני 2019</v>
      </c>
      <c r="N6" s="95"/>
      <c r="O6" s="92" t="str">
        <f ca="1">CONCATENATE(INDIRECT(CONCATENATE($C$3,O4))," ",$B$4)</f>
        <v>יולי 2019</v>
      </c>
      <c r="P6" s="93"/>
      <c r="Q6" s="94" t="str">
        <f ca="1">CONCATENATE(INDIRECT(CONCATENATE($C$3,Q4))," ",$B$4)</f>
        <v>אוגוסט 2019</v>
      </c>
      <c r="R6" s="95"/>
      <c r="S6" s="92" t="str">
        <f ca="1">CONCATENATE(INDIRECT(CONCATENATE($C$3,S4))," ",$B$4)</f>
        <v>ספטמבר 2019</v>
      </c>
      <c r="T6" s="93"/>
      <c r="U6" s="94" t="str">
        <f ca="1">CONCATENATE(INDIRECT(CONCATENATE($C$3,U4))," ",$B$4)</f>
        <v>אוקטובר 2019</v>
      </c>
      <c r="V6" s="95"/>
      <c r="W6" s="92" t="str">
        <f ca="1">CONCATENATE(INDIRECT(CONCATENATE($C$3,W4))," ",$B$4)</f>
        <v>נובמבר 2019</v>
      </c>
      <c r="X6" s="93"/>
      <c r="Y6" s="94" t="str">
        <f ca="1">CONCATENATE(INDIRECT(CONCATENATE($C$3,Y4))," ",$B$4)</f>
        <v>דצמבר 2019</v>
      </c>
      <c r="Z6" s="95"/>
      <c r="AE6" s="3" t="s">
        <v>2</v>
      </c>
    </row>
    <row r="7" spans="1:31" ht="30" x14ac:dyDescent="0.25">
      <c r="B7" s="28" t="s">
        <v>48</v>
      </c>
      <c r="C7" s="96" t="s">
        <v>53</v>
      </c>
      <c r="D7" s="97" t="s">
        <v>54</v>
      </c>
      <c r="E7" s="99" t="s">
        <v>80</v>
      </c>
      <c r="F7" s="100" t="s">
        <v>79</v>
      </c>
      <c r="G7" s="96" t="s">
        <v>57</v>
      </c>
      <c r="H7" s="97" t="s">
        <v>58</v>
      </c>
      <c r="I7" s="99" t="s">
        <v>78</v>
      </c>
      <c r="J7" s="100" t="s">
        <v>77</v>
      </c>
      <c r="K7" s="96" t="s">
        <v>61</v>
      </c>
      <c r="L7" s="97" t="s">
        <v>62</v>
      </c>
      <c r="M7" s="99" t="s">
        <v>76</v>
      </c>
      <c r="N7" s="100" t="s">
        <v>75</v>
      </c>
      <c r="O7" s="96" t="s">
        <v>63</v>
      </c>
      <c r="P7" s="97" t="s">
        <v>64</v>
      </c>
      <c r="Q7" s="99" t="s">
        <v>74</v>
      </c>
      <c r="R7" s="100" t="s">
        <v>73</v>
      </c>
      <c r="S7" s="96" t="s">
        <v>65</v>
      </c>
      <c r="T7" s="97" t="s">
        <v>66</v>
      </c>
      <c r="U7" s="99" t="s">
        <v>72</v>
      </c>
      <c r="V7" s="100" t="s">
        <v>71</v>
      </c>
      <c r="W7" s="96" t="s">
        <v>67</v>
      </c>
      <c r="X7" s="97" t="s">
        <v>68</v>
      </c>
      <c r="Y7" s="99" t="s">
        <v>70</v>
      </c>
      <c r="Z7" s="98" t="s">
        <v>69</v>
      </c>
      <c r="AE7" s="3" t="s">
        <v>4</v>
      </c>
    </row>
    <row r="8" spans="1:31" x14ac:dyDescent="0.25">
      <c r="B8" s="43" t="s">
        <v>3</v>
      </c>
      <c r="C8" s="5">
        <v>-1E-4</v>
      </c>
      <c r="D8" s="6">
        <v>1.49971239562815E-2</v>
      </c>
      <c r="E8" s="14">
        <v>0</v>
      </c>
      <c r="F8" s="15">
        <v>2.2301101015754301E-2</v>
      </c>
      <c r="G8" s="5">
        <v>0</v>
      </c>
      <c r="H8" s="6">
        <v>2.8411849430351702E-2</v>
      </c>
      <c r="I8" s="71" t="s">
        <v>49</v>
      </c>
      <c r="J8" s="72" t="s">
        <v>49</v>
      </c>
      <c r="K8" s="59" t="s">
        <v>49</v>
      </c>
      <c r="L8" s="60" t="s">
        <v>49</v>
      </c>
      <c r="M8" s="76" t="s">
        <v>49</v>
      </c>
      <c r="N8" s="77" t="s">
        <v>49</v>
      </c>
      <c r="O8" s="59" t="s">
        <v>49</v>
      </c>
      <c r="P8" s="60" t="s">
        <v>49</v>
      </c>
      <c r="Q8" s="76" t="s">
        <v>49</v>
      </c>
      <c r="R8" s="77" t="s">
        <v>49</v>
      </c>
      <c r="S8" s="59" t="s">
        <v>49</v>
      </c>
      <c r="T8" s="60" t="s">
        <v>49</v>
      </c>
      <c r="U8" s="76" t="s">
        <v>49</v>
      </c>
      <c r="V8" s="77" t="s">
        <v>49</v>
      </c>
      <c r="W8" s="59" t="s">
        <v>49</v>
      </c>
      <c r="X8" s="60" t="s">
        <v>49</v>
      </c>
      <c r="Y8" s="76" t="s">
        <v>49</v>
      </c>
      <c r="Z8" s="82" t="s">
        <v>49</v>
      </c>
      <c r="AE8" s="3" t="s">
        <v>6</v>
      </c>
    </row>
    <row r="9" spans="1:31" x14ac:dyDescent="0.25">
      <c r="B9" s="44" t="s">
        <v>5</v>
      </c>
      <c r="C9" s="5">
        <v>1.43E-2</v>
      </c>
      <c r="D9" s="6">
        <v>0.67412173485967997</v>
      </c>
      <c r="E9" s="14">
        <v>4.4999999999999997E-3</v>
      </c>
      <c r="F9" s="15">
        <v>0.66266871026760099</v>
      </c>
      <c r="G9" s="5">
        <v>1.5900000000000001E-2</v>
      </c>
      <c r="H9" s="6">
        <v>0.66046009689044805</v>
      </c>
      <c r="I9" s="71" t="s">
        <v>49</v>
      </c>
      <c r="J9" s="72" t="s">
        <v>49</v>
      </c>
      <c r="K9" s="59" t="s">
        <v>49</v>
      </c>
      <c r="L9" s="60" t="s">
        <v>49</v>
      </c>
      <c r="M9" s="76" t="s">
        <v>49</v>
      </c>
      <c r="N9" s="77" t="s">
        <v>49</v>
      </c>
      <c r="O9" s="59" t="s">
        <v>49</v>
      </c>
      <c r="P9" s="60" t="s">
        <v>49</v>
      </c>
      <c r="Q9" s="76" t="s">
        <v>49</v>
      </c>
      <c r="R9" s="77" t="s">
        <v>49</v>
      </c>
      <c r="S9" s="59" t="s">
        <v>49</v>
      </c>
      <c r="T9" s="60" t="s">
        <v>49</v>
      </c>
      <c r="U9" s="76" t="s">
        <v>49</v>
      </c>
      <c r="V9" s="77" t="s">
        <v>49</v>
      </c>
      <c r="W9" s="59" t="s">
        <v>49</v>
      </c>
      <c r="X9" s="60" t="s">
        <v>49</v>
      </c>
      <c r="Y9" s="76" t="s">
        <v>49</v>
      </c>
      <c r="Z9" s="82" t="s">
        <v>49</v>
      </c>
      <c r="AE9" s="3" t="s">
        <v>8</v>
      </c>
    </row>
    <row r="10" spans="1:31" x14ac:dyDescent="0.25">
      <c r="B10" s="44" t="s">
        <v>7</v>
      </c>
      <c r="C10" s="5">
        <v>0</v>
      </c>
      <c r="D10" s="6">
        <v>0</v>
      </c>
      <c r="E10" s="14">
        <v>0</v>
      </c>
      <c r="F10" s="15">
        <v>0</v>
      </c>
      <c r="G10" s="5">
        <v>0</v>
      </c>
      <c r="H10" s="6">
        <v>0</v>
      </c>
      <c r="I10" s="71" t="s">
        <v>49</v>
      </c>
      <c r="J10" s="72" t="s">
        <v>49</v>
      </c>
      <c r="K10" s="59" t="s">
        <v>49</v>
      </c>
      <c r="L10" s="60" t="s">
        <v>49</v>
      </c>
      <c r="M10" s="71" t="s">
        <v>49</v>
      </c>
      <c r="N10" s="77" t="s">
        <v>49</v>
      </c>
      <c r="O10" s="59" t="s">
        <v>49</v>
      </c>
      <c r="P10" s="60" t="s">
        <v>49</v>
      </c>
      <c r="Q10" s="76" t="s">
        <v>49</v>
      </c>
      <c r="R10" s="77" t="s">
        <v>49</v>
      </c>
      <c r="S10" s="59" t="s">
        <v>49</v>
      </c>
      <c r="T10" s="60" t="s">
        <v>49</v>
      </c>
      <c r="U10" s="76" t="s">
        <v>49</v>
      </c>
      <c r="V10" s="77" t="s">
        <v>49</v>
      </c>
      <c r="W10" s="59" t="s">
        <v>49</v>
      </c>
      <c r="X10" s="60" t="s">
        <v>49</v>
      </c>
      <c r="Y10" s="76" t="s">
        <v>49</v>
      </c>
      <c r="Z10" s="82" t="s">
        <v>49</v>
      </c>
      <c r="AE10" s="3" t="s">
        <v>10</v>
      </c>
    </row>
    <row r="11" spans="1:31" x14ac:dyDescent="0.25">
      <c r="B11" s="44" t="s">
        <v>9</v>
      </c>
      <c r="C11" s="5">
        <v>0</v>
      </c>
      <c r="D11" s="6">
        <v>0</v>
      </c>
      <c r="E11" s="14">
        <v>0</v>
      </c>
      <c r="F11" s="15">
        <v>0</v>
      </c>
      <c r="G11" s="5">
        <v>0</v>
      </c>
      <c r="H11" s="6">
        <v>0</v>
      </c>
      <c r="I11" s="71" t="s">
        <v>49</v>
      </c>
      <c r="J11" s="72" t="s">
        <v>49</v>
      </c>
      <c r="K11" s="59" t="s">
        <v>49</v>
      </c>
      <c r="L11" s="60" t="s">
        <v>49</v>
      </c>
      <c r="M11" s="76" t="s">
        <v>49</v>
      </c>
      <c r="N11" s="77" t="s">
        <v>49</v>
      </c>
      <c r="O11" s="59" t="s">
        <v>49</v>
      </c>
      <c r="P11" s="60" t="s">
        <v>49</v>
      </c>
      <c r="Q11" s="76" t="s">
        <v>49</v>
      </c>
      <c r="R11" s="77" t="s">
        <v>49</v>
      </c>
      <c r="S11" s="59" t="s">
        <v>49</v>
      </c>
      <c r="T11" s="60" t="s">
        <v>49</v>
      </c>
      <c r="U11" s="76" t="s">
        <v>49</v>
      </c>
      <c r="V11" s="77" t="s">
        <v>49</v>
      </c>
      <c r="W11" s="59" t="s">
        <v>49</v>
      </c>
      <c r="X11" s="60" t="s">
        <v>49</v>
      </c>
      <c r="Y11" s="76" t="s">
        <v>49</v>
      </c>
      <c r="Z11" s="82" t="s">
        <v>49</v>
      </c>
      <c r="AE11" s="3" t="s">
        <v>12</v>
      </c>
    </row>
    <row r="12" spans="1:31" x14ac:dyDescent="0.25">
      <c r="B12" s="44" t="s">
        <v>11</v>
      </c>
      <c r="C12" s="5">
        <v>1E-3</v>
      </c>
      <c r="D12" s="6">
        <v>5.9053024465564902E-2</v>
      </c>
      <c r="E12" s="14">
        <v>8.0000000000000004E-4</v>
      </c>
      <c r="F12" s="15">
        <v>6.2914217232529698E-2</v>
      </c>
      <c r="G12" s="5">
        <v>1E-3</v>
      </c>
      <c r="H12" s="6">
        <v>6.4172170192477798E-2</v>
      </c>
      <c r="I12" s="71" t="s">
        <v>49</v>
      </c>
      <c r="J12" s="72" t="s">
        <v>49</v>
      </c>
      <c r="K12" s="59" t="s">
        <v>49</v>
      </c>
      <c r="L12" s="60" t="s">
        <v>49</v>
      </c>
      <c r="M12" s="76" t="s">
        <v>49</v>
      </c>
      <c r="N12" s="77" t="s">
        <v>49</v>
      </c>
      <c r="O12" s="59" t="s">
        <v>49</v>
      </c>
      <c r="P12" s="60" t="s">
        <v>49</v>
      </c>
      <c r="Q12" s="76" t="s">
        <v>49</v>
      </c>
      <c r="R12" s="77" t="s">
        <v>49</v>
      </c>
      <c r="S12" s="59" t="s">
        <v>49</v>
      </c>
      <c r="T12" s="60" t="s">
        <v>49</v>
      </c>
      <c r="U12" s="76" t="s">
        <v>49</v>
      </c>
      <c r="V12" s="77" t="s">
        <v>49</v>
      </c>
      <c r="W12" s="59" t="s">
        <v>49</v>
      </c>
      <c r="X12" s="60" t="s">
        <v>49</v>
      </c>
      <c r="Y12" s="76" t="s">
        <v>49</v>
      </c>
      <c r="Z12" s="82" t="s">
        <v>49</v>
      </c>
      <c r="AE12" s="3" t="s">
        <v>14</v>
      </c>
    </row>
    <row r="13" spans="1:31" x14ac:dyDescent="0.25">
      <c r="B13" s="44" t="s">
        <v>13</v>
      </c>
      <c r="C13" s="5">
        <v>6.9999999999999999E-4</v>
      </c>
      <c r="D13" s="6">
        <v>2.2180252620637601E-2</v>
      </c>
      <c r="E13" s="14">
        <v>2.9999999999999997E-4</v>
      </c>
      <c r="F13" s="15">
        <v>2.2136415139641898E-2</v>
      </c>
      <c r="G13" s="5">
        <v>2.9999999999999997E-4</v>
      </c>
      <c r="H13" s="6">
        <v>2.1630689929417201E-2</v>
      </c>
      <c r="I13" s="71" t="s">
        <v>49</v>
      </c>
      <c r="J13" s="72" t="s">
        <v>49</v>
      </c>
      <c r="K13" s="59" t="s">
        <v>49</v>
      </c>
      <c r="L13" s="60" t="s">
        <v>49</v>
      </c>
      <c r="M13" s="76" t="s">
        <v>49</v>
      </c>
      <c r="N13" s="77" t="s">
        <v>49</v>
      </c>
      <c r="O13" s="59" t="s">
        <v>49</v>
      </c>
      <c r="P13" s="60" t="s">
        <v>49</v>
      </c>
      <c r="Q13" s="76" t="s">
        <v>49</v>
      </c>
      <c r="R13" s="77" t="s">
        <v>49</v>
      </c>
      <c r="S13" s="59" t="s">
        <v>49</v>
      </c>
      <c r="T13" s="60" t="s">
        <v>49</v>
      </c>
      <c r="U13" s="76" t="s">
        <v>49</v>
      </c>
      <c r="V13" s="77" t="s">
        <v>49</v>
      </c>
      <c r="W13" s="59" t="s">
        <v>49</v>
      </c>
      <c r="X13" s="60" t="s">
        <v>49</v>
      </c>
      <c r="Y13" s="76" t="s">
        <v>49</v>
      </c>
      <c r="Z13" s="82" t="s">
        <v>49</v>
      </c>
      <c r="AE13" s="3" t="s">
        <v>16</v>
      </c>
    </row>
    <row r="14" spans="1:31" x14ac:dyDescent="0.25">
      <c r="B14" s="44" t="s">
        <v>15</v>
      </c>
      <c r="C14" s="5">
        <v>2.8E-3</v>
      </c>
      <c r="D14" s="6">
        <v>5.6679598146030602E-2</v>
      </c>
      <c r="E14" s="14">
        <v>6.9999999999999999E-4</v>
      </c>
      <c r="F14" s="15">
        <v>5.5698202569671999E-2</v>
      </c>
      <c r="G14" s="5">
        <v>-1E-4</v>
      </c>
      <c r="H14" s="6">
        <v>5.4610975242322397E-2</v>
      </c>
      <c r="I14" s="71" t="s">
        <v>49</v>
      </c>
      <c r="J14" s="72" t="s">
        <v>49</v>
      </c>
      <c r="K14" s="59" t="s">
        <v>49</v>
      </c>
      <c r="L14" s="60" t="s">
        <v>49</v>
      </c>
      <c r="M14" s="76" t="s">
        <v>49</v>
      </c>
      <c r="N14" s="77" t="s">
        <v>49</v>
      </c>
      <c r="O14" s="59" t="s">
        <v>49</v>
      </c>
      <c r="P14" s="60" t="s">
        <v>49</v>
      </c>
      <c r="Q14" s="76" t="s">
        <v>49</v>
      </c>
      <c r="R14" s="77" t="s">
        <v>49</v>
      </c>
      <c r="S14" s="59" t="s">
        <v>49</v>
      </c>
      <c r="T14" s="60" t="s">
        <v>49</v>
      </c>
      <c r="U14" s="76" t="s">
        <v>49</v>
      </c>
      <c r="V14" s="77" t="s">
        <v>49</v>
      </c>
      <c r="W14" s="59" t="s">
        <v>49</v>
      </c>
      <c r="X14" s="60" t="s">
        <v>49</v>
      </c>
      <c r="Y14" s="76" t="s">
        <v>49</v>
      </c>
      <c r="Z14" s="82" t="s">
        <v>49</v>
      </c>
      <c r="AE14" s="3" t="s">
        <v>18</v>
      </c>
    </row>
    <row r="15" spans="1:31" x14ac:dyDescent="0.25">
      <c r="B15" s="44" t="s">
        <v>17</v>
      </c>
      <c r="C15" s="5">
        <v>3.0000000000000001E-3</v>
      </c>
      <c r="D15" s="6">
        <v>7.3003429393229097E-2</v>
      </c>
      <c r="E15" s="14">
        <v>1.6000000000000001E-3</v>
      </c>
      <c r="F15" s="15">
        <v>7.3797136407026495E-2</v>
      </c>
      <c r="G15" s="5">
        <v>5.9999999999999995E-4</v>
      </c>
      <c r="H15" s="6">
        <v>7.1468189224308198E-2</v>
      </c>
      <c r="I15" s="71" t="s">
        <v>49</v>
      </c>
      <c r="J15" s="72" t="s">
        <v>49</v>
      </c>
      <c r="K15" s="59" t="s">
        <v>49</v>
      </c>
      <c r="L15" s="60" t="s">
        <v>49</v>
      </c>
      <c r="M15" s="76" t="s">
        <v>49</v>
      </c>
      <c r="N15" s="77" t="s">
        <v>49</v>
      </c>
      <c r="O15" s="59" t="s">
        <v>49</v>
      </c>
      <c r="P15" s="60" t="s">
        <v>49</v>
      </c>
      <c r="Q15" s="76" t="s">
        <v>49</v>
      </c>
      <c r="R15" s="77" t="s">
        <v>49</v>
      </c>
      <c r="S15" s="59" t="s">
        <v>49</v>
      </c>
      <c r="T15" s="60" t="s">
        <v>49</v>
      </c>
      <c r="U15" s="76" t="s">
        <v>49</v>
      </c>
      <c r="V15" s="77" t="s">
        <v>49</v>
      </c>
      <c r="W15" s="59" t="s">
        <v>49</v>
      </c>
      <c r="X15" s="60" t="s">
        <v>49</v>
      </c>
      <c r="Y15" s="76" t="s">
        <v>49</v>
      </c>
      <c r="Z15" s="82" t="s">
        <v>49</v>
      </c>
      <c r="AE15" s="3" t="s">
        <v>20</v>
      </c>
    </row>
    <row r="16" spans="1:31" x14ac:dyDescent="0.25">
      <c r="B16" s="44" t="s">
        <v>19</v>
      </c>
      <c r="C16" s="5">
        <v>0</v>
      </c>
      <c r="D16" s="6">
        <v>3.81858591734673E-3</v>
      </c>
      <c r="E16" s="14">
        <v>0</v>
      </c>
      <c r="F16" s="15">
        <v>3.8477035033504499E-3</v>
      </c>
      <c r="G16" s="5">
        <v>1E-4</v>
      </c>
      <c r="H16" s="6">
        <v>3.9289343051525901E-3</v>
      </c>
      <c r="I16" s="71" t="s">
        <v>49</v>
      </c>
      <c r="J16" s="72" t="s">
        <v>49</v>
      </c>
      <c r="K16" s="59" t="s">
        <v>49</v>
      </c>
      <c r="L16" s="60" t="s">
        <v>49</v>
      </c>
      <c r="M16" s="76" t="s">
        <v>49</v>
      </c>
      <c r="N16" s="77" t="s">
        <v>49</v>
      </c>
      <c r="O16" s="59" t="s">
        <v>49</v>
      </c>
      <c r="P16" s="60" t="s">
        <v>49</v>
      </c>
      <c r="Q16" s="76" t="s">
        <v>49</v>
      </c>
      <c r="R16" s="77" t="s">
        <v>49</v>
      </c>
      <c r="S16" s="59" t="s">
        <v>49</v>
      </c>
      <c r="T16" s="60" t="s">
        <v>49</v>
      </c>
      <c r="U16" s="76" t="s">
        <v>49</v>
      </c>
      <c r="V16" s="77" t="s">
        <v>49</v>
      </c>
      <c r="W16" s="59" t="s">
        <v>49</v>
      </c>
      <c r="X16" s="60" t="s">
        <v>49</v>
      </c>
      <c r="Y16" s="76" t="s">
        <v>49</v>
      </c>
      <c r="Z16" s="82" t="s">
        <v>49</v>
      </c>
      <c r="AE16" s="3" t="s">
        <v>22</v>
      </c>
    </row>
    <row r="17" spans="2:31" x14ac:dyDescent="0.25">
      <c r="B17" s="44" t="s">
        <v>21</v>
      </c>
      <c r="C17" s="5">
        <v>-1E-3</v>
      </c>
      <c r="D17" s="6">
        <v>4.8970928024055997E-2</v>
      </c>
      <c r="E17" s="14">
        <v>-2.9999999999999997E-4</v>
      </c>
      <c r="F17" s="15">
        <v>5.0060862609847503E-2</v>
      </c>
      <c r="G17" s="5">
        <v>4.0000000000000002E-4</v>
      </c>
      <c r="H17" s="6">
        <v>5.0174336788848001E-2</v>
      </c>
      <c r="I17" s="71" t="s">
        <v>49</v>
      </c>
      <c r="J17" s="72" t="s">
        <v>49</v>
      </c>
      <c r="K17" s="59" t="s">
        <v>49</v>
      </c>
      <c r="L17" s="60" t="s">
        <v>49</v>
      </c>
      <c r="M17" s="76" t="s">
        <v>49</v>
      </c>
      <c r="N17" s="77" t="s">
        <v>49</v>
      </c>
      <c r="O17" s="59" t="s">
        <v>49</v>
      </c>
      <c r="P17" s="60" t="s">
        <v>49</v>
      </c>
      <c r="Q17" s="76" t="s">
        <v>49</v>
      </c>
      <c r="R17" s="77" t="s">
        <v>49</v>
      </c>
      <c r="S17" s="59" t="s">
        <v>49</v>
      </c>
      <c r="T17" s="60" t="s">
        <v>49</v>
      </c>
      <c r="U17" s="76" t="s">
        <v>49</v>
      </c>
      <c r="V17" s="77" t="s">
        <v>49</v>
      </c>
      <c r="W17" s="59" t="s">
        <v>49</v>
      </c>
      <c r="X17" s="60" t="s">
        <v>49</v>
      </c>
      <c r="Y17" s="76" t="s">
        <v>49</v>
      </c>
      <c r="Z17" s="82" t="s">
        <v>49</v>
      </c>
    </row>
    <row r="18" spans="2:31" x14ac:dyDescent="0.25">
      <c r="B18" s="44" t="s">
        <v>23</v>
      </c>
      <c r="C18" s="5">
        <v>0</v>
      </c>
      <c r="D18" s="6">
        <v>1.7884664482617001E-5</v>
      </c>
      <c r="E18" s="14">
        <v>0</v>
      </c>
      <c r="F18" s="15">
        <v>2.1663253766342801E-5</v>
      </c>
      <c r="G18" s="5">
        <v>0</v>
      </c>
      <c r="H18" s="6">
        <v>2.2521844945561699E-5</v>
      </c>
      <c r="I18" s="71" t="s">
        <v>49</v>
      </c>
      <c r="J18" s="72" t="s">
        <v>49</v>
      </c>
      <c r="K18" s="59" t="s">
        <v>49</v>
      </c>
      <c r="L18" s="60" t="s">
        <v>49</v>
      </c>
      <c r="M18" s="76" t="s">
        <v>49</v>
      </c>
      <c r="N18" s="77" t="s">
        <v>49</v>
      </c>
      <c r="O18" s="59" t="s">
        <v>49</v>
      </c>
      <c r="P18" s="60" t="s">
        <v>49</v>
      </c>
      <c r="Q18" s="76" t="s">
        <v>49</v>
      </c>
      <c r="R18" s="77" t="s">
        <v>49</v>
      </c>
      <c r="S18" s="59" t="s">
        <v>49</v>
      </c>
      <c r="T18" s="60" t="s">
        <v>49</v>
      </c>
      <c r="U18" s="76" t="s">
        <v>49</v>
      </c>
      <c r="V18" s="77" t="s">
        <v>49</v>
      </c>
      <c r="W18" s="59" t="s">
        <v>49</v>
      </c>
      <c r="X18" s="60" t="s">
        <v>49</v>
      </c>
      <c r="Y18" s="76" t="s">
        <v>49</v>
      </c>
      <c r="Z18" s="82" t="s">
        <v>49</v>
      </c>
      <c r="AE18" s="3"/>
    </row>
    <row r="19" spans="2:31" x14ac:dyDescent="0.25">
      <c r="B19" s="44" t="s">
        <v>24</v>
      </c>
      <c r="C19" s="5">
        <v>0</v>
      </c>
      <c r="D19" s="6">
        <v>0</v>
      </c>
      <c r="E19" s="14">
        <v>0</v>
      </c>
      <c r="F19" s="15">
        <v>0</v>
      </c>
      <c r="G19" s="5">
        <v>0</v>
      </c>
      <c r="H19" s="6">
        <v>0</v>
      </c>
      <c r="I19" s="71" t="s">
        <v>49</v>
      </c>
      <c r="J19" s="72" t="s">
        <v>49</v>
      </c>
      <c r="K19" s="59" t="s">
        <v>49</v>
      </c>
      <c r="L19" s="60" t="s">
        <v>49</v>
      </c>
      <c r="M19" s="76" t="s">
        <v>49</v>
      </c>
      <c r="N19" s="77" t="s">
        <v>49</v>
      </c>
      <c r="O19" s="59" t="s">
        <v>49</v>
      </c>
      <c r="P19" s="60" t="s">
        <v>49</v>
      </c>
      <c r="Q19" s="76" t="s">
        <v>49</v>
      </c>
      <c r="R19" s="77" t="s">
        <v>49</v>
      </c>
      <c r="S19" s="59" t="s">
        <v>49</v>
      </c>
      <c r="T19" s="60" t="s">
        <v>49</v>
      </c>
      <c r="U19" s="76" t="s">
        <v>49</v>
      </c>
      <c r="V19" s="77" t="s">
        <v>49</v>
      </c>
      <c r="W19" s="59" t="s">
        <v>49</v>
      </c>
      <c r="X19" s="60" t="s">
        <v>49</v>
      </c>
      <c r="Y19" s="76" t="s">
        <v>49</v>
      </c>
      <c r="Z19" s="82" t="s">
        <v>49</v>
      </c>
      <c r="AE19" s="3"/>
    </row>
    <row r="20" spans="2:31" x14ac:dyDescent="0.25">
      <c r="B20" s="44" t="s">
        <v>25</v>
      </c>
      <c r="C20" s="5">
        <v>0</v>
      </c>
      <c r="D20" s="6">
        <v>0</v>
      </c>
      <c r="E20" s="14">
        <v>0</v>
      </c>
      <c r="F20" s="15">
        <v>0</v>
      </c>
      <c r="G20" s="5">
        <v>0</v>
      </c>
      <c r="H20" s="6">
        <v>0</v>
      </c>
      <c r="I20" s="71" t="s">
        <v>49</v>
      </c>
      <c r="J20" s="72" t="s">
        <v>49</v>
      </c>
      <c r="K20" s="59" t="s">
        <v>49</v>
      </c>
      <c r="L20" s="60" t="s">
        <v>49</v>
      </c>
      <c r="M20" s="76" t="s">
        <v>49</v>
      </c>
      <c r="N20" s="77" t="s">
        <v>49</v>
      </c>
      <c r="O20" s="59" t="s">
        <v>49</v>
      </c>
      <c r="P20" s="60" t="s">
        <v>49</v>
      </c>
      <c r="Q20" s="76" t="s">
        <v>49</v>
      </c>
      <c r="R20" s="77" t="s">
        <v>49</v>
      </c>
      <c r="S20" s="59" t="s">
        <v>49</v>
      </c>
      <c r="T20" s="60" t="s">
        <v>49</v>
      </c>
      <c r="U20" s="76" t="s">
        <v>49</v>
      </c>
      <c r="V20" s="77" t="s">
        <v>49</v>
      </c>
      <c r="W20" s="59" t="s">
        <v>49</v>
      </c>
      <c r="X20" s="60" t="s">
        <v>49</v>
      </c>
      <c r="Y20" s="76" t="s">
        <v>49</v>
      </c>
      <c r="Z20" s="82" t="s">
        <v>49</v>
      </c>
      <c r="AE20" s="3"/>
    </row>
    <row r="21" spans="2:31" x14ac:dyDescent="0.25">
      <c r="B21" s="44" t="s">
        <v>26</v>
      </c>
      <c r="C21" s="5">
        <v>0</v>
      </c>
      <c r="D21" s="6">
        <v>0</v>
      </c>
      <c r="E21" s="14">
        <v>0</v>
      </c>
      <c r="F21" s="15">
        <v>0</v>
      </c>
      <c r="G21" s="5">
        <v>0</v>
      </c>
      <c r="H21" s="6">
        <v>0</v>
      </c>
      <c r="I21" s="71" t="s">
        <v>49</v>
      </c>
      <c r="J21" s="72" t="s">
        <v>49</v>
      </c>
      <c r="K21" s="59" t="s">
        <v>49</v>
      </c>
      <c r="L21" s="60" t="s">
        <v>49</v>
      </c>
      <c r="M21" s="76" t="s">
        <v>49</v>
      </c>
      <c r="N21" s="77" t="s">
        <v>49</v>
      </c>
      <c r="O21" s="59" t="s">
        <v>49</v>
      </c>
      <c r="P21" s="60" t="s">
        <v>49</v>
      </c>
      <c r="Q21" s="76" t="s">
        <v>49</v>
      </c>
      <c r="R21" s="77" t="s">
        <v>49</v>
      </c>
      <c r="S21" s="59" t="s">
        <v>49</v>
      </c>
      <c r="T21" s="60" t="s">
        <v>49</v>
      </c>
      <c r="U21" s="76" t="s">
        <v>49</v>
      </c>
      <c r="V21" s="77" t="s">
        <v>49</v>
      </c>
      <c r="W21" s="59" t="s">
        <v>49</v>
      </c>
      <c r="X21" s="60" t="s">
        <v>49</v>
      </c>
      <c r="Y21" s="76" t="s">
        <v>49</v>
      </c>
      <c r="Z21" s="82" t="s">
        <v>49</v>
      </c>
    </row>
    <row r="22" spans="2:31" x14ac:dyDescent="0.25">
      <c r="B22" s="44" t="s">
        <v>27</v>
      </c>
      <c r="C22" s="5">
        <v>2.9999999999999997E-4</v>
      </c>
      <c r="D22" s="6">
        <v>4.4395082415011902E-2</v>
      </c>
      <c r="E22" s="14">
        <v>0</v>
      </c>
      <c r="F22" s="15">
        <v>4.38166816089018E-2</v>
      </c>
      <c r="G22" s="5">
        <v>2.9999999999999997E-4</v>
      </c>
      <c r="H22" s="6">
        <v>4.2997967634790003E-2</v>
      </c>
      <c r="I22" s="71" t="s">
        <v>49</v>
      </c>
      <c r="J22" s="72" t="s">
        <v>49</v>
      </c>
      <c r="K22" s="59" t="s">
        <v>49</v>
      </c>
      <c r="L22" s="60" t="s">
        <v>49</v>
      </c>
      <c r="M22" s="76" t="s">
        <v>49</v>
      </c>
      <c r="N22" s="77" t="s">
        <v>49</v>
      </c>
      <c r="O22" s="59" t="s">
        <v>49</v>
      </c>
      <c r="P22" s="60" t="s">
        <v>49</v>
      </c>
      <c r="Q22" s="76" t="s">
        <v>49</v>
      </c>
      <c r="R22" s="77" t="s">
        <v>49</v>
      </c>
      <c r="S22" s="59" t="s">
        <v>49</v>
      </c>
      <c r="T22" s="60" t="s">
        <v>49</v>
      </c>
      <c r="U22" s="76" t="s">
        <v>49</v>
      </c>
      <c r="V22" s="77" t="s">
        <v>49</v>
      </c>
      <c r="W22" s="59" t="s">
        <v>49</v>
      </c>
      <c r="X22" s="60" t="s">
        <v>49</v>
      </c>
      <c r="Y22" s="76" t="s">
        <v>49</v>
      </c>
      <c r="Z22" s="82" t="s">
        <v>49</v>
      </c>
    </row>
    <row r="23" spans="2:31" x14ac:dyDescent="0.25">
      <c r="B23" s="44" t="s">
        <v>28</v>
      </c>
      <c r="C23" s="5">
        <v>1E-4</v>
      </c>
      <c r="D23" s="6">
        <v>2.0321715971898802E-3</v>
      </c>
      <c r="E23" s="14">
        <v>9.9999999999999707E-5</v>
      </c>
      <c r="F23" s="15">
        <v>2.0110561882085202E-3</v>
      </c>
      <c r="G23" s="5">
        <v>-6.32089866559049E-19</v>
      </c>
      <c r="H23" s="6">
        <v>1.40756013814122E-3</v>
      </c>
      <c r="I23" s="71" t="s">
        <v>49</v>
      </c>
      <c r="J23" s="72" t="s">
        <v>49</v>
      </c>
      <c r="K23" s="59" t="s">
        <v>49</v>
      </c>
      <c r="L23" s="60" t="s">
        <v>49</v>
      </c>
      <c r="M23" s="76" t="s">
        <v>49</v>
      </c>
      <c r="N23" s="77" t="s">
        <v>49</v>
      </c>
      <c r="O23" s="59" t="s">
        <v>49</v>
      </c>
      <c r="P23" s="60" t="s">
        <v>49</v>
      </c>
      <c r="Q23" s="76" t="s">
        <v>49</v>
      </c>
      <c r="R23" s="77" t="s">
        <v>49</v>
      </c>
      <c r="S23" s="59" t="s">
        <v>49</v>
      </c>
      <c r="T23" s="60" t="s">
        <v>49</v>
      </c>
      <c r="U23" s="76" t="s">
        <v>49</v>
      </c>
      <c r="V23" s="77" t="s">
        <v>49</v>
      </c>
      <c r="W23" s="59" t="s">
        <v>49</v>
      </c>
      <c r="X23" s="60" t="s">
        <v>49</v>
      </c>
      <c r="Y23" s="76" t="s">
        <v>49</v>
      </c>
      <c r="Z23" s="82" t="s">
        <v>49</v>
      </c>
    </row>
    <row r="24" spans="2:31" x14ac:dyDescent="0.25">
      <c r="B24" s="44" t="s">
        <v>29</v>
      </c>
      <c r="C24" s="5">
        <v>0</v>
      </c>
      <c r="D24" s="6">
        <v>0</v>
      </c>
      <c r="E24" s="14">
        <v>0</v>
      </c>
      <c r="F24" s="15">
        <v>0</v>
      </c>
      <c r="G24" s="5">
        <v>0</v>
      </c>
      <c r="H24" s="6">
        <v>0</v>
      </c>
      <c r="I24" s="71" t="s">
        <v>49</v>
      </c>
      <c r="J24" s="72" t="s">
        <v>49</v>
      </c>
      <c r="K24" s="59" t="s">
        <v>49</v>
      </c>
      <c r="L24" s="60" t="s">
        <v>49</v>
      </c>
      <c r="M24" s="76" t="s">
        <v>49</v>
      </c>
      <c r="N24" s="77" t="s">
        <v>49</v>
      </c>
      <c r="O24" s="59" t="s">
        <v>49</v>
      </c>
      <c r="P24" s="60" t="s">
        <v>49</v>
      </c>
      <c r="Q24" s="76" t="s">
        <v>49</v>
      </c>
      <c r="R24" s="77" t="s">
        <v>49</v>
      </c>
      <c r="S24" s="59" t="s">
        <v>49</v>
      </c>
      <c r="T24" s="60" t="s">
        <v>49</v>
      </c>
      <c r="U24" s="76" t="s">
        <v>49</v>
      </c>
      <c r="V24" s="77" t="s">
        <v>49</v>
      </c>
      <c r="W24" s="59" t="s">
        <v>49</v>
      </c>
      <c r="X24" s="60" t="s">
        <v>49</v>
      </c>
      <c r="Y24" s="76" t="s">
        <v>49</v>
      </c>
      <c r="Z24" s="82" t="s">
        <v>49</v>
      </c>
    </row>
    <row r="25" spans="2:31" x14ac:dyDescent="0.25">
      <c r="B25" s="44" t="s">
        <v>30</v>
      </c>
      <c r="C25" s="5">
        <v>0</v>
      </c>
      <c r="D25" s="6">
        <v>7.3018394048939602E-4</v>
      </c>
      <c r="E25" s="14">
        <v>0</v>
      </c>
      <c r="F25" s="15">
        <v>7.2625020370024201E-4</v>
      </c>
      <c r="G25" s="5">
        <v>0</v>
      </c>
      <c r="H25" s="6">
        <v>7.1470837879714999E-4</v>
      </c>
      <c r="I25" s="71" t="s">
        <v>49</v>
      </c>
      <c r="J25" s="72" t="s">
        <v>49</v>
      </c>
      <c r="K25" s="59" t="s">
        <v>49</v>
      </c>
      <c r="L25" s="60" t="s">
        <v>49</v>
      </c>
      <c r="M25" s="76" t="s">
        <v>49</v>
      </c>
      <c r="N25" s="77" t="s">
        <v>49</v>
      </c>
      <c r="O25" s="59" t="s">
        <v>49</v>
      </c>
      <c r="P25" s="60" t="s">
        <v>49</v>
      </c>
      <c r="Q25" s="76" t="s">
        <v>49</v>
      </c>
      <c r="R25" s="77" t="s">
        <v>49</v>
      </c>
      <c r="S25" s="59" t="s">
        <v>49</v>
      </c>
      <c r="T25" s="60" t="s">
        <v>49</v>
      </c>
      <c r="U25" s="76" t="s">
        <v>49</v>
      </c>
      <c r="V25" s="77" t="s">
        <v>49</v>
      </c>
      <c r="W25" s="59" t="s">
        <v>49</v>
      </c>
      <c r="X25" s="60" t="s">
        <v>49</v>
      </c>
      <c r="Y25" s="76" t="s">
        <v>49</v>
      </c>
      <c r="Z25" s="82" t="s">
        <v>49</v>
      </c>
    </row>
    <row r="26" spans="2:31" x14ac:dyDescent="0.25">
      <c r="B26" s="44" t="s">
        <v>31</v>
      </c>
      <c r="C26" s="5">
        <v>0</v>
      </c>
      <c r="D26" s="6">
        <v>0</v>
      </c>
      <c r="E26" s="14">
        <v>0</v>
      </c>
      <c r="F26" s="15">
        <v>0</v>
      </c>
      <c r="G26" s="5">
        <v>0</v>
      </c>
      <c r="H26" s="6">
        <v>0</v>
      </c>
      <c r="I26" s="71" t="s">
        <v>49</v>
      </c>
      <c r="J26" s="72" t="s">
        <v>49</v>
      </c>
      <c r="K26" s="59" t="s">
        <v>49</v>
      </c>
      <c r="L26" s="60" t="s">
        <v>49</v>
      </c>
      <c r="M26" s="76" t="s">
        <v>49</v>
      </c>
      <c r="N26" s="77" t="s">
        <v>49</v>
      </c>
      <c r="O26" s="59" t="s">
        <v>49</v>
      </c>
      <c r="P26" s="60" t="s">
        <v>49</v>
      </c>
      <c r="Q26" s="76" t="s">
        <v>49</v>
      </c>
      <c r="R26" s="77" t="s">
        <v>49</v>
      </c>
      <c r="S26" s="59" t="s">
        <v>49</v>
      </c>
      <c r="T26" s="60" t="s">
        <v>49</v>
      </c>
      <c r="U26" s="76" t="s">
        <v>49</v>
      </c>
      <c r="V26" s="77" t="s">
        <v>49</v>
      </c>
      <c r="W26" s="59" t="s">
        <v>49</v>
      </c>
      <c r="X26" s="60" t="s">
        <v>49</v>
      </c>
      <c r="Y26" s="76" t="s">
        <v>49</v>
      </c>
      <c r="Z26" s="82" t="s">
        <v>49</v>
      </c>
    </row>
    <row r="27" spans="2:31" x14ac:dyDescent="0.25">
      <c r="B27" s="45" t="s">
        <v>42</v>
      </c>
      <c r="C27" s="8">
        <v>2.1100000000000001E-2</v>
      </c>
      <c r="D27" s="9">
        <v>1</v>
      </c>
      <c r="E27" s="16">
        <v>7.7000000000000002E-3</v>
      </c>
      <c r="F27" s="17">
        <v>1</v>
      </c>
      <c r="G27" s="8">
        <v>1.8499999999999999E-2</v>
      </c>
      <c r="H27" s="9">
        <v>1</v>
      </c>
      <c r="I27" s="73" t="s">
        <v>49</v>
      </c>
      <c r="J27" s="74" t="s">
        <v>49</v>
      </c>
      <c r="K27" s="61" t="s">
        <v>49</v>
      </c>
      <c r="L27" s="62" t="s">
        <v>49</v>
      </c>
      <c r="M27" s="78" t="s">
        <v>49</v>
      </c>
      <c r="N27" s="79" t="s">
        <v>49</v>
      </c>
      <c r="O27" s="61" t="s">
        <v>49</v>
      </c>
      <c r="P27" s="62" t="s">
        <v>49</v>
      </c>
      <c r="Q27" s="78" t="s">
        <v>49</v>
      </c>
      <c r="R27" s="79" t="s">
        <v>49</v>
      </c>
      <c r="S27" s="61" t="s">
        <v>49</v>
      </c>
      <c r="T27" s="62" t="s">
        <v>49</v>
      </c>
      <c r="U27" s="78" t="s">
        <v>49</v>
      </c>
      <c r="V27" s="79" t="s">
        <v>49</v>
      </c>
      <c r="W27" s="61" t="s">
        <v>49</v>
      </c>
      <c r="X27" s="62" t="s">
        <v>49</v>
      </c>
      <c r="Y27" s="78" t="s">
        <v>49</v>
      </c>
      <c r="Z27" s="83" t="s">
        <v>49</v>
      </c>
    </row>
    <row r="28" spans="2:31" x14ac:dyDescent="0.25">
      <c r="B28" s="49" t="s">
        <v>37</v>
      </c>
      <c r="C28" s="50">
        <v>215047.57085958001</v>
      </c>
      <c r="D28" s="58" t="s">
        <v>49</v>
      </c>
      <c r="E28" s="51">
        <v>80401.602228396398</v>
      </c>
      <c r="F28" s="70" t="s">
        <v>49</v>
      </c>
      <c r="G28" s="50">
        <v>192283.89282619601</v>
      </c>
      <c r="H28" s="58" t="s">
        <v>49</v>
      </c>
      <c r="I28" s="75" t="s">
        <v>49</v>
      </c>
      <c r="J28" s="70" t="s">
        <v>49</v>
      </c>
      <c r="K28" s="63" t="s">
        <v>49</v>
      </c>
      <c r="L28" s="58" t="s">
        <v>49</v>
      </c>
      <c r="M28" s="80" t="s">
        <v>49</v>
      </c>
      <c r="N28" s="81" t="s">
        <v>49</v>
      </c>
      <c r="O28" s="63" t="s">
        <v>49</v>
      </c>
      <c r="P28" s="58" t="s">
        <v>49</v>
      </c>
      <c r="Q28" s="80" t="s">
        <v>49</v>
      </c>
      <c r="R28" s="81" t="s">
        <v>49</v>
      </c>
      <c r="S28" s="63" t="s">
        <v>49</v>
      </c>
      <c r="T28" s="58" t="s">
        <v>49</v>
      </c>
      <c r="U28" s="80" t="s">
        <v>49</v>
      </c>
      <c r="V28" s="81" t="s">
        <v>49</v>
      </c>
      <c r="W28" s="63" t="s">
        <v>49</v>
      </c>
      <c r="X28" s="58" t="s">
        <v>49</v>
      </c>
      <c r="Y28" s="80" t="s">
        <v>49</v>
      </c>
      <c r="Z28" s="81" t="s">
        <v>49</v>
      </c>
    </row>
    <row r="29" spans="2:31" x14ac:dyDescent="0.25">
      <c r="B29" s="52" t="s">
        <v>40</v>
      </c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2:31" x14ac:dyDescent="0.25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2:31" ht="15.75" x14ac:dyDescent="0.25">
      <c r="B31" s="32" t="s">
        <v>39</v>
      </c>
      <c r="C31" s="36" t="s">
        <v>0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8"/>
    </row>
    <row r="32" spans="2:31" x14ac:dyDescent="0.25">
      <c r="B32" s="33"/>
      <c r="C32" s="92" t="str">
        <f ca="1">CONCATENATE(INDIRECT(CONCATENATE($C$3,$C$4))," ",$B$4)</f>
        <v>ינואר 2019</v>
      </c>
      <c r="D32" s="93"/>
      <c r="E32" s="94" t="str">
        <f ca="1">CONCATENATE(INDIRECT(CONCATENATE($C$3,$E$4))," ",$B$4)</f>
        <v>פברואר 2019</v>
      </c>
      <c r="F32" s="95"/>
      <c r="G32" s="92" t="str">
        <f ca="1">CONCATENATE(INDIRECT(CONCATENATE($C$3,$G$4))," ",$B$4)</f>
        <v>מרץ 2019</v>
      </c>
      <c r="H32" s="93"/>
      <c r="I32" s="94" t="str">
        <f ca="1">CONCATENATE(INDIRECT(CONCATENATE($C$3,$I$4))," ",$B$4)</f>
        <v>אפריל 2019</v>
      </c>
      <c r="J32" s="95"/>
      <c r="K32" s="92" t="str">
        <f ca="1">CONCATENATE(INDIRECT(CONCATENATE($C$3,$K$4))," ",$B$4)</f>
        <v>מאי 2019</v>
      </c>
      <c r="L32" s="93"/>
      <c r="M32" s="94" t="str">
        <f ca="1">CONCATENATE(INDIRECT(CONCATENATE($C$3,$M$4))," ",$B$4)</f>
        <v>יוני 2019</v>
      </c>
      <c r="N32" s="95"/>
      <c r="O32" s="92" t="str">
        <f ca="1">CONCATENATE(INDIRECT(CONCATENATE($C$3,$O$4))," ",$B$4)</f>
        <v>יולי 2019</v>
      </c>
      <c r="P32" s="93"/>
      <c r="Q32" s="94" t="str">
        <f ca="1">CONCATENATE(INDIRECT(CONCATENATE($C$3,$Q$4))," ",$B$4)</f>
        <v>אוגוסט 2019</v>
      </c>
      <c r="R32" s="95"/>
      <c r="S32" s="92" t="str">
        <f ca="1">CONCATENATE(INDIRECT(CONCATENATE($C$3,$S$4))," ",$B$4)</f>
        <v>ספטמבר 2019</v>
      </c>
      <c r="T32" s="93"/>
      <c r="U32" s="94" t="str">
        <f ca="1">CONCATENATE(INDIRECT(CONCATENATE($C$3,$U$4))," ",$B$4)</f>
        <v>אוקטובר 2019</v>
      </c>
      <c r="V32" s="95"/>
      <c r="W32" s="92" t="str">
        <f ca="1">CONCATENATE(INDIRECT(CONCATENATE($C$3,$W$4))," ",$B$4)</f>
        <v>נובמבר 2019</v>
      </c>
      <c r="X32" s="93"/>
      <c r="Y32" s="94" t="str">
        <f ca="1">CONCATENATE(INDIRECT(CONCATENATE($C$3,$Y$4))," ",$B$4)</f>
        <v>דצמבר 2019</v>
      </c>
      <c r="Z32" s="95"/>
    </row>
    <row r="33" spans="1:26" ht="30" x14ac:dyDescent="0.25">
      <c r="A33" s="1" t="s">
        <v>50</v>
      </c>
      <c r="B33" s="28" t="s">
        <v>48</v>
      </c>
      <c r="C33" s="96" t="s">
        <v>53</v>
      </c>
      <c r="D33" s="97" t="s">
        <v>54</v>
      </c>
      <c r="E33" s="99" t="s">
        <v>80</v>
      </c>
      <c r="F33" s="100" t="s">
        <v>79</v>
      </c>
      <c r="G33" s="96" t="s">
        <v>57</v>
      </c>
      <c r="H33" s="97" t="s">
        <v>58</v>
      </c>
      <c r="I33" s="99" t="s">
        <v>78</v>
      </c>
      <c r="J33" s="100" t="s">
        <v>77</v>
      </c>
      <c r="K33" s="96" t="s">
        <v>61</v>
      </c>
      <c r="L33" s="97" t="s">
        <v>62</v>
      </c>
      <c r="M33" s="99" t="s">
        <v>76</v>
      </c>
      <c r="N33" s="100" t="s">
        <v>75</v>
      </c>
      <c r="O33" s="96" t="s">
        <v>63</v>
      </c>
      <c r="P33" s="97" t="s">
        <v>64</v>
      </c>
      <c r="Q33" s="99" t="s">
        <v>74</v>
      </c>
      <c r="R33" s="100" t="s">
        <v>73</v>
      </c>
      <c r="S33" s="96" t="s">
        <v>65</v>
      </c>
      <c r="T33" s="97" t="s">
        <v>66</v>
      </c>
      <c r="U33" s="99" t="s">
        <v>72</v>
      </c>
      <c r="V33" s="100" t="s">
        <v>71</v>
      </c>
      <c r="W33" s="96" t="s">
        <v>67</v>
      </c>
      <c r="X33" s="97" t="s">
        <v>68</v>
      </c>
      <c r="Y33" s="99" t="s">
        <v>70</v>
      </c>
      <c r="Z33" s="98" t="s">
        <v>69</v>
      </c>
    </row>
    <row r="34" spans="1:26" x14ac:dyDescent="0.25">
      <c r="A34" s="27" t="s">
        <v>49</v>
      </c>
      <c r="B34" s="4" t="s">
        <v>32</v>
      </c>
      <c r="C34" s="10">
        <v>2.1000000000000001E-2</v>
      </c>
      <c r="D34" s="11">
        <v>0.97196069478565605</v>
      </c>
      <c r="E34" s="18">
        <v>7.7999999999999996E-3</v>
      </c>
      <c r="F34" s="19">
        <v>0.97120648092692796</v>
      </c>
      <c r="G34" s="10">
        <v>1.7999999999999999E-2</v>
      </c>
      <c r="H34" s="11">
        <v>0.96957324806955403</v>
      </c>
      <c r="I34" s="84" t="s">
        <v>49</v>
      </c>
      <c r="J34" s="86" t="s">
        <v>49</v>
      </c>
      <c r="K34" s="64" t="s">
        <v>49</v>
      </c>
      <c r="L34" s="65" t="s">
        <v>49</v>
      </c>
      <c r="M34" s="84" t="s">
        <v>49</v>
      </c>
      <c r="N34" s="86" t="s">
        <v>49</v>
      </c>
      <c r="O34" s="64" t="s">
        <v>49</v>
      </c>
      <c r="P34" s="65" t="s">
        <v>49</v>
      </c>
      <c r="Q34" s="84" t="s">
        <v>49</v>
      </c>
      <c r="R34" s="86" t="s">
        <v>49</v>
      </c>
      <c r="S34" s="64" t="s">
        <v>49</v>
      </c>
      <c r="T34" s="65" t="s">
        <v>49</v>
      </c>
      <c r="U34" s="84" t="s">
        <v>49</v>
      </c>
      <c r="V34" s="86" t="s">
        <v>49</v>
      </c>
      <c r="W34" s="64" t="s">
        <v>49</v>
      </c>
      <c r="X34" s="65" t="s">
        <v>49</v>
      </c>
      <c r="Y34" s="84" t="s">
        <v>49</v>
      </c>
      <c r="Z34" s="85" t="s">
        <v>49</v>
      </c>
    </row>
    <row r="35" spans="1:26" x14ac:dyDescent="0.25">
      <c r="A35" s="27" t="s">
        <v>49</v>
      </c>
      <c r="B35" s="7" t="s">
        <v>33</v>
      </c>
      <c r="C35" s="5">
        <v>1E-4</v>
      </c>
      <c r="D35" s="6">
        <v>2.8039305214344001E-2</v>
      </c>
      <c r="E35" s="14">
        <v>-1E-4</v>
      </c>
      <c r="F35" s="15">
        <v>2.8793519073072101E-2</v>
      </c>
      <c r="G35" s="5">
        <v>5.0000000000000001E-4</v>
      </c>
      <c r="H35" s="6">
        <v>3.0426751930445702E-2</v>
      </c>
      <c r="I35" s="76" t="s">
        <v>49</v>
      </c>
      <c r="J35" s="77" t="s">
        <v>49</v>
      </c>
      <c r="K35" s="59" t="s">
        <v>49</v>
      </c>
      <c r="L35" s="60" t="s">
        <v>49</v>
      </c>
      <c r="M35" s="76" t="s">
        <v>49</v>
      </c>
      <c r="N35" s="77" t="s">
        <v>49</v>
      </c>
      <c r="O35" s="59" t="s">
        <v>49</v>
      </c>
      <c r="P35" s="60" t="s">
        <v>49</v>
      </c>
      <c r="Q35" s="76" t="s">
        <v>49</v>
      </c>
      <c r="R35" s="77" t="s">
        <v>49</v>
      </c>
      <c r="S35" s="59" t="s">
        <v>49</v>
      </c>
      <c r="T35" s="60" t="s">
        <v>49</v>
      </c>
      <c r="U35" s="76" t="s">
        <v>49</v>
      </c>
      <c r="V35" s="77" t="s">
        <v>49</v>
      </c>
      <c r="W35" s="59" t="s">
        <v>49</v>
      </c>
      <c r="X35" s="60" t="s">
        <v>49</v>
      </c>
      <c r="Y35" s="76" t="s">
        <v>49</v>
      </c>
      <c r="Z35" s="82" t="s">
        <v>49</v>
      </c>
    </row>
    <row r="36" spans="1:26" x14ac:dyDescent="0.25">
      <c r="A36" s="27" t="s">
        <v>49</v>
      </c>
      <c r="B36" s="21" t="s">
        <v>42</v>
      </c>
      <c r="C36" s="8">
        <v>2.1100000000000001E-2</v>
      </c>
      <c r="D36" s="9">
        <v>1</v>
      </c>
      <c r="E36" s="16">
        <v>7.7000000000000002E-3</v>
      </c>
      <c r="F36" s="17">
        <v>1</v>
      </c>
      <c r="G36" s="8">
        <v>1.8499999999999999E-2</v>
      </c>
      <c r="H36" s="9">
        <v>1</v>
      </c>
      <c r="I36" s="78" t="s">
        <v>49</v>
      </c>
      <c r="J36" s="79" t="s">
        <v>49</v>
      </c>
      <c r="K36" s="61" t="s">
        <v>49</v>
      </c>
      <c r="L36" s="62" t="s">
        <v>49</v>
      </c>
      <c r="M36" s="78" t="s">
        <v>49</v>
      </c>
      <c r="N36" s="79" t="s">
        <v>49</v>
      </c>
      <c r="O36" s="61" t="s">
        <v>49</v>
      </c>
      <c r="P36" s="62" t="s">
        <v>49</v>
      </c>
      <c r="Q36" s="78" t="s">
        <v>49</v>
      </c>
      <c r="R36" s="79" t="s">
        <v>49</v>
      </c>
      <c r="S36" s="61" t="s">
        <v>49</v>
      </c>
      <c r="T36" s="62" t="s">
        <v>49</v>
      </c>
      <c r="U36" s="78" t="s">
        <v>49</v>
      </c>
      <c r="V36" s="79" t="s">
        <v>49</v>
      </c>
      <c r="W36" s="61" t="s">
        <v>49</v>
      </c>
      <c r="X36" s="62" t="s">
        <v>49</v>
      </c>
      <c r="Y36" s="78" t="s">
        <v>49</v>
      </c>
      <c r="Z36" s="83" t="s">
        <v>49</v>
      </c>
    </row>
    <row r="37" spans="1:26" x14ac:dyDescent="0.25">
      <c r="B37" s="53" t="s">
        <v>51</v>
      </c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x14ac:dyDescent="0.25">
      <c r="B38" s="33" t="s">
        <v>39</v>
      </c>
      <c r="C38" s="36" t="s">
        <v>0</v>
      </c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8"/>
    </row>
    <row r="39" spans="1:26" x14ac:dyDescent="0.25">
      <c r="B39" s="33"/>
      <c r="C39" s="92" t="str">
        <f ca="1">CONCATENATE(INDIRECT(CONCATENATE($C$3,$C$4))," ",$B$4)</f>
        <v>ינואר 2019</v>
      </c>
      <c r="D39" s="93"/>
      <c r="E39" s="94" t="str">
        <f ca="1">CONCATENATE(INDIRECT(CONCATENATE($C$3,$E$4))," ",$B$4)</f>
        <v>פברואר 2019</v>
      </c>
      <c r="F39" s="95"/>
      <c r="G39" s="92" t="str">
        <f ca="1">CONCATENATE(INDIRECT(CONCATENATE($C$3,$G$4))," ",$B$4)</f>
        <v>מרץ 2019</v>
      </c>
      <c r="H39" s="93"/>
      <c r="I39" s="94" t="str">
        <f ca="1">CONCATENATE(INDIRECT(CONCATENATE($C$3,$I$4))," ",$B$4)</f>
        <v>אפריל 2019</v>
      </c>
      <c r="J39" s="95"/>
      <c r="K39" s="92" t="str">
        <f ca="1">CONCATENATE(INDIRECT(CONCATENATE($C$3,$K$4))," ",$B$4)</f>
        <v>מאי 2019</v>
      </c>
      <c r="L39" s="93"/>
      <c r="M39" s="94" t="str">
        <f ca="1">CONCATENATE(INDIRECT(CONCATENATE($C$3,$M$4))," ",$B$4)</f>
        <v>יוני 2019</v>
      </c>
      <c r="N39" s="95"/>
      <c r="O39" s="92" t="str">
        <f ca="1">CONCATENATE(INDIRECT(CONCATENATE($C$3,$O$4))," ",$B$4)</f>
        <v>יולי 2019</v>
      </c>
      <c r="P39" s="93"/>
      <c r="Q39" s="94" t="str">
        <f ca="1">CONCATENATE(INDIRECT(CONCATENATE($C$3,$Q$4))," ",$B$4)</f>
        <v>אוגוסט 2019</v>
      </c>
      <c r="R39" s="95"/>
      <c r="S39" s="92" t="str">
        <f ca="1">CONCATENATE(INDIRECT(CONCATENATE($C$3,$S$4))," ",$B$4)</f>
        <v>ספטמבר 2019</v>
      </c>
      <c r="T39" s="93"/>
      <c r="U39" s="94" t="str">
        <f ca="1">CONCATENATE(INDIRECT(CONCATENATE($C$3,$U$4))," ",$B$4)</f>
        <v>אוקטובר 2019</v>
      </c>
      <c r="V39" s="95"/>
      <c r="W39" s="92" t="str">
        <f ca="1">CONCATENATE(INDIRECT(CONCATENATE($C$3,$W$4))," ",$B$4)</f>
        <v>נובמבר 2019</v>
      </c>
      <c r="X39" s="93"/>
      <c r="Y39" s="94" t="str">
        <f ca="1">CONCATENATE(INDIRECT(CONCATENATE($C$3,$Y$4))," ",$B$4)</f>
        <v>דצמבר 2019</v>
      </c>
      <c r="Z39" s="95"/>
    </row>
    <row r="40" spans="1:26" ht="30" x14ac:dyDescent="0.25">
      <c r="A40" s="1" t="s">
        <v>50</v>
      </c>
      <c r="B40" s="28" t="s">
        <v>48</v>
      </c>
      <c r="C40" s="96" t="s">
        <v>53</v>
      </c>
      <c r="D40" s="97" t="s">
        <v>54</v>
      </c>
      <c r="E40" s="99" t="s">
        <v>80</v>
      </c>
      <c r="F40" s="100" t="s">
        <v>79</v>
      </c>
      <c r="G40" s="96" t="s">
        <v>57</v>
      </c>
      <c r="H40" s="97" t="s">
        <v>58</v>
      </c>
      <c r="I40" s="99" t="s">
        <v>78</v>
      </c>
      <c r="J40" s="100" t="s">
        <v>77</v>
      </c>
      <c r="K40" s="96" t="s">
        <v>61</v>
      </c>
      <c r="L40" s="97" t="s">
        <v>62</v>
      </c>
      <c r="M40" s="99" t="s">
        <v>76</v>
      </c>
      <c r="N40" s="100" t="s">
        <v>75</v>
      </c>
      <c r="O40" s="96" t="s">
        <v>63</v>
      </c>
      <c r="P40" s="97" t="s">
        <v>64</v>
      </c>
      <c r="Q40" s="99" t="s">
        <v>74</v>
      </c>
      <c r="R40" s="100" t="s">
        <v>73</v>
      </c>
      <c r="S40" s="96" t="s">
        <v>65</v>
      </c>
      <c r="T40" s="97" t="s">
        <v>66</v>
      </c>
      <c r="U40" s="99" t="s">
        <v>72</v>
      </c>
      <c r="V40" s="100" t="s">
        <v>71</v>
      </c>
      <c r="W40" s="96" t="s">
        <v>67</v>
      </c>
      <c r="X40" s="97" t="s">
        <v>68</v>
      </c>
      <c r="Y40" s="99" t="s">
        <v>70</v>
      </c>
      <c r="Z40" s="100" t="s">
        <v>69</v>
      </c>
    </row>
    <row r="41" spans="1:26" x14ac:dyDescent="0.25">
      <c r="A41" s="27" t="s">
        <v>49</v>
      </c>
      <c r="B41" s="4" t="s">
        <v>34</v>
      </c>
      <c r="C41" s="10">
        <v>1.4200000000000001E-2</v>
      </c>
      <c r="D41" s="11">
        <v>0.50843758957817198</v>
      </c>
      <c r="E41" s="18">
        <v>3.8999999999999998E-3</v>
      </c>
      <c r="F41" s="19">
        <v>0.50840353110875403</v>
      </c>
      <c r="G41" s="10">
        <v>9.9000000000000008E-3</v>
      </c>
      <c r="H41" s="11">
        <v>0.508489623033203</v>
      </c>
      <c r="I41" s="84" t="s">
        <v>49</v>
      </c>
      <c r="J41" s="86" t="s">
        <v>49</v>
      </c>
      <c r="K41" s="64" t="s">
        <v>49</v>
      </c>
      <c r="L41" s="65" t="s">
        <v>49</v>
      </c>
      <c r="M41" s="84" t="s">
        <v>49</v>
      </c>
      <c r="N41" s="86" t="s">
        <v>49</v>
      </c>
      <c r="O41" s="64" t="s">
        <v>49</v>
      </c>
      <c r="P41" s="65" t="s">
        <v>49</v>
      </c>
      <c r="Q41" s="84" t="s">
        <v>49</v>
      </c>
      <c r="R41" s="86" t="s">
        <v>49</v>
      </c>
      <c r="S41" s="64" t="s">
        <v>49</v>
      </c>
      <c r="T41" s="65" t="s">
        <v>49</v>
      </c>
      <c r="U41" s="84" t="s">
        <v>49</v>
      </c>
      <c r="V41" s="86" t="s">
        <v>49</v>
      </c>
      <c r="W41" s="64" t="s">
        <v>49</v>
      </c>
      <c r="X41" s="65" t="s">
        <v>49</v>
      </c>
      <c r="Y41" s="84" t="s">
        <v>49</v>
      </c>
      <c r="Z41" s="86" t="s">
        <v>49</v>
      </c>
    </row>
    <row r="42" spans="1:26" x14ac:dyDescent="0.25">
      <c r="A42" s="27" t="s">
        <v>49</v>
      </c>
      <c r="B42" s="7" t="s">
        <v>35</v>
      </c>
      <c r="C42" s="5">
        <v>6.8999999999999999E-3</v>
      </c>
      <c r="D42" s="6">
        <v>0.49156241042182802</v>
      </c>
      <c r="E42" s="14">
        <v>3.8E-3</v>
      </c>
      <c r="F42" s="15">
        <v>0.49159646889124597</v>
      </c>
      <c r="G42" s="5">
        <v>8.6E-3</v>
      </c>
      <c r="H42" s="6">
        <v>0.491510376966797</v>
      </c>
      <c r="I42" s="76" t="s">
        <v>49</v>
      </c>
      <c r="J42" s="77" t="s">
        <v>49</v>
      </c>
      <c r="K42" s="59" t="s">
        <v>49</v>
      </c>
      <c r="L42" s="60" t="s">
        <v>49</v>
      </c>
      <c r="M42" s="76" t="s">
        <v>49</v>
      </c>
      <c r="N42" s="77" t="s">
        <v>49</v>
      </c>
      <c r="O42" s="59" t="s">
        <v>49</v>
      </c>
      <c r="P42" s="60" t="s">
        <v>49</v>
      </c>
      <c r="Q42" s="76" t="s">
        <v>49</v>
      </c>
      <c r="R42" s="77" t="s">
        <v>49</v>
      </c>
      <c r="S42" s="59" t="s">
        <v>49</v>
      </c>
      <c r="T42" s="60" t="s">
        <v>49</v>
      </c>
      <c r="U42" s="76" t="s">
        <v>49</v>
      </c>
      <c r="V42" s="77" t="s">
        <v>49</v>
      </c>
      <c r="W42" s="59" t="s">
        <v>49</v>
      </c>
      <c r="X42" s="60" t="s">
        <v>49</v>
      </c>
      <c r="Y42" s="76" t="s">
        <v>49</v>
      </c>
      <c r="Z42" s="77" t="s">
        <v>49</v>
      </c>
    </row>
    <row r="43" spans="1:26" x14ac:dyDescent="0.25">
      <c r="A43" s="27" t="s">
        <v>49</v>
      </c>
      <c r="B43" s="21" t="s">
        <v>42</v>
      </c>
      <c r="C43" s="8">
        <v>2.1100000000000001E-2</v>
      </c>
      <c r="D43" s="9">
        <v>1</v>
      </c>
      <c r="E43" s="16">
        <v>7.7000000000000002E-3</v>
      </c>
      <c r="F43" s="17">
        <v>1</v>
      </c>
      <c r="G43" s="8">
        <v>1.8499999999999999E-2</v>
      </c>
      <c r="H43" s="9">
        <v>1</v>
      </c>
      <c r="I43" s="78" t="s">
        <v>49</v>
      </c>
      <c r="J43" s="79" t="s">
        <v>49</v>
      </c>
      <c r="K43" s="61" t="s">
        <v>49</v>
      </c>
      <c r="L43" s="62" t="s">
        <v>49</v>
      </c>
      <c r="M43" s="78" t="s">
        <v>49</v>
      </c>
      <c r="N43" s="79" t="s">
        <v>49</v>
      </c>
      <c r="O43" s="61" t="s">
        <v>49</v>
      </c>
      <c r="P43" s="62" t="s">
        <v>49</v>
      </c>
      <c r="Q43" s="78" t="s">
        <v>49</v>
      </c>
      <c r="R43" s="79" t="s">
        <v>49</v>
      </c>
      <c r="S43" s="61" t="s">
        <v>49</v>
      </c>
      <c r="T43" s="62" t="s">
        <v>49</v>
      </c>
      <c r="U43" s="78" t="s">
        <v>49</v>
      </c>
      <c r="V43" s="79" t="s">
        <v>49</v>
      </c>
      <c r="W43" s="61" t="s">
        <v>49</v>
      </c>
      <c r="X43" s="62" t="s">
        <v>49</v>
      </c>
      <c r="Y43" s="78" t="s">
        <v>49</v>
      </c>
      <c r="Z43" s="79" t="s">
        <v>49</v>
      </c>
    </row>
    <row r="44" spans="1:26" x14ac:dyDescent="0.25">
      <c r="A44" s="27" t="s">
        <v>49</v>
      </c>
      <c r="B44" s="27" t="s">
        <v>49</v>
      </c>
      <c r="C44" s="27" t="s">
        <v>49</v>
      </c>
      <c r="D44" s="27" t="s">
        <v>49</v>
      </c>
      <c r="E44" s="27" t="s">
        <v>49</v>
      </c>
      <c r="F44" s="27" t="s">
        <v>49</v>
      </c>
      <c r="G44" s="27" t="s">
        <v>49</v>
      </c>
      <c r="H44" s="27" t="s">
        <v>49</v>
      </c>
      <c r="I44" s="27" t="s">
        <v>49</v>
      </c>
      <c r="J44" s="27" t="s">
        <v>49</v>
      </c>
      <c r="K44" s="27" t="s">
        <v>49</v>
      </c>
      <c r="L44" s="27" t="s">
        <v>49</v>
      </c>
      <c r="M44" s="27" t="s">
        <v>49</v>
      </c>
      <c r="N44" s="27" t="s">
        <v>49</v>
      </c>
      <c r="O44" s="27" t="s">
        <v>49</v>
      </c>
      <c r="P44" s="27" t="s">
        <v>49</v>
      </c>
      <c r="Q44" s="27" t="s">
        <v>49</v>
      </c>
      <c r="R44" s="27" t="s">
        <v>49</v>
      </c>
      <c r="S44" s="27" t="s">
        <v>49</v>
      </c>
      <c r="T44" s="27" t="s">
        <v>49</v>
      </c>
      <c r="U44" s="27" t="s">
        <v>49</v>
      </c>
      <c r="V44" s="27" t="s">
        <v>49</v>
      </c>
      <c r="W44" s="27" t="s">
        <v>49</v>
      </c>
      <c r="X44" s="27" t="s">
        <v>49</v>
      </c>
      <c r="Y44" s="27" t="s">
        <v>49</v>
      </c>
      <c r="Z44" s="27" t="s">
        <v>49</v>
      </c>
    </row>
    <row r="45" spans="1:26" x14ac:dyDescent="0.25">
      <c r="A45" s="27" t="s">
        <v>49</v>
      </c>
      <c r="B45" s="22" t="s">
        <v>43</v>
      </c>
      <c r="C45" s="57" t="s">
        <v>49</v>
      </c>
      <c r="D45" s="56" t="s">
        <v>49</v>
      </c>
      <c r="E45" s="57" t="s">
        <v>49</v>
      </c>
      <c r="F45" s="56" t="s">
        <v>49</v>
      </c>
      <c r="G45" s="23">
        <v>2.8E-3</v>
      </c>
      <c r="H45" s="56" t="s">
        <v>49</v>
      </c>
      <c r="I45" s="57" t="s">
        <v>49</v>
      </c>
      <c r="J45" s="56" t="s">
        <v>49</v>
      </c>
      <c r="K45" s="57" t="s">
        <v>49</v>
      </c>
      <c r="L45" s="56" t="s">
        <v>49</v>
      </c>
      <c r="M45" s="57" t="s">
        <v>49</v>
      </c>
      <c r="N45" s="56" t="s">
        <v>49</v>
      </c>
      <c r="O45" s="57" t="s">
        <v>49</v>
      </c>
      <c r="P45" s="56" t="s">
        <v>49</v>
      </c>
      <c r="Q45" s="57" t="s">
        <v>49</v>
      </c>
      <c r="R45" s="56" t="s">
        <v>49</v>
      </c>
      <c r="S45" s="57" t="s">
        <v>49</v>
      </c>
      <c r="T45" s="56" t="s">
        <v>49</v>
      </c>
      <c r="U45" s="57" t="s">
        <v>49</v>
      </c>
      <c r="V45" s="56" t="s">
        <v>49</v>
      </c>
      <c r="W45" s="57" t="s">
        <v>49</v>
      </c>
      <c r="X45" s="56" t="s">
        <v>49</v>
      </c>
      <c r="Y45" s="56" t="s">
        <v>49</v>
      </c>
      <c r="Z45" s="56" t="s">
        <v>49</v>
      </c>
    </row>
    <row r="46" spans="1:26" x14ac:dyDescent="0.25">
      <c r="A46" s="27" t="s">
        <v>49</v>
      </c>
      <c r="B46" s="24" t="s">
        <v>44</v>
      </c>
      <c r="C46" s="55" t="s">
        <v>49</v>
      </c>
      <c r="D46" s="54" t="s">
        <v>49</v>
      </c>
      <c r="E46" s="55" t="s">
        <v>49</v>
      </c>
      <c r="F46" s="54" t="s">
        <v>49</v>
      </c>
      <c r="G46" s="25">
        <v>2.1299999999999999E-2</v>
      </c>
      <c r="H46" s="54" t="s">
        <v>49</v>
      </c>
      <c r="I46" s="55" t="s">
        <v>49</v>
      </c>
      <c r="J46" s="54" t="s">
        <v>49</v>
      </c>
      <c r="K46" s="55" t="s">
        <v>49</v>
      </c>
      <c r="L46" s="54" t="s">
        <v>49</v>
      </c>
      <c r="M46" s="55" t="s">
        <v>49</v>
      </c>
      <c r="N46" s="54" t="s">
        <v>49</v>
      </c>
      <c r="O46" s="55" t="s">
        <v>49</v>
      </c>
      <c r="P46" s="54" t="s">
        <v>49</v>
      </c>
      <c r="Q46" s="55" t="s">
        <v>49</v>
      </c>
      <c r="R46" s="54" t="s">
        <v>49</v>
      </c>
      <c r="S46" s="55" t="s">
        <v>49</v>
      </c>
      <c r="T46" s="54" t="s">
        <v>49</v>
      </c>
      <c r="U46" s="55" t="s">
        <v>49</v>
      </c>
      <c r="V46" s="54" t="s">
        <v>49</v>
      </c>
      <c r="W46" s="55" t="s">
        <v>49</v>
      </c>
      <c r="X46" s="54" t="s">
        <v>49</v>
      </c>
      <c r="Y46" s="55" t="s">
        <v>49</v>
      </c>
      <c r="Z46" s="54" t="s">
        <v>49</v>
      </c>
    </row>
    <row r="47" spans="1:26" x14ac:dyDescent="0.25">
      <c r="B47" s="53" t="s">
        <v>51</v>
      </c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x14ac:dyDescent="0.25">
      <c r="B48" s="32" t="s">
        <v>36</v>
      </c>
      <c r="C48" s="36" t="s">
        <v>0</v>
      </c>
      <c r="D48" s="37"/>
      <c r="E48" s="37"/>
      <c r="F48" s="37"/>
      <c r="G48" s="37"/>
      <c r="H48" s="37"/>
      <c r="I48" s="37"/>
      <c r="J48" s="38"/>
      <c r="K48" s="31" t="s">
        <v>49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x14ac:dyDescent="0.25">
      <c r="B49" s="33"/>
      <c r="C49" s="39" t="str">
        <f ca="1">CONCATENATE(INDIRECT(CONCATENATE($C$3,C4))," - ",INDIRECT(CONCATENATE($C$3,G4))," ",$B$4)</f>
        <v>ינואר - מרץ 2019</v>
      </c>
      <c r="D49" s="40"/>
      <c r="E49" s="41" t="str">
        <f ca="1">CONCATENATE(INDIRECT(CONCATENATE($C$3,C4))," - ",INDIRECT(CONCATENATE($C$3,M4))," ",$B$4)</f>
        <v>ינואר - יוני 2019</v>
      </c>
      <c r="F49" s="42"/>
      <c r="G49" s="39" t="str">
        <f ca="1">CONCATENATE(INDIRECT(CONCATENATE($C$3,C4))," - ",INDIRECT(CONCATENATE($C$3,S4))," ",$B$4)</f>
        <v>ינואר - ספטמבר 2019</v>
      </c>
      <c r="H49" s="40"/>
      <c r="I49" s="41" t="str">
        <f ca="1">CONCATENATE(INDIRECT(CONCATENATE($C$3,C4))," - ",INDIRECT(CONCATENATE($C$3,Y4))," ",$B$4)</f>
        <v>ינואר - דצמבר 2019</v>
      </c>
      <c r="J49" s="42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30" x14ac:dyDescent="0.25">
      <c r="A50" s="1" t="s">
        <v>50</v>
      </c>
      <c r="B50" s="28" t="s">
        <v>48</v>
      </c>
      <c r="C50" s="96" t="s">
        <v>55</v>
      </c>
      <c r="D50" s="97" t="s">
        <v>56</v>
      </c>
      <c r="E50" s="99" t="s">
        <v>81</v>
      </c>
      <c r="F50" s="100" t="s">
        <v>82</v>
      </c>
      <c r="G50" s="96" t="s">
        <v>59</v>
      </c>
      <c r="H50" s="97" t="s">
        <v>60</v>
      </c>
      <c r="I50" s="99" t="s">
        <v>83</v>
      </c>
      <c r="J50" s="98" t="s">
        <v>84</v>
      </c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x14ac:dyDescent="0.25">
      <c r="A51" s="27" t="s">
        <v>49</v>
      </c>
      <c r="B51" s="4" t="s">
        <v>3</v>
      </c>
      <c r="C51" s="5">
        <v>0</v>
      </c>
      <c r="D51" s="6">
        <v>2.8411849430351702E-2</v>
      </c>
      <c r="E51" s="76" t="s">
        <v>49</v>
      </c>
      <c r="F51" s="77" t="s">
        <v>49</v>
      </c>
      <c r="G51" s="59" t="s">
        <v>49</v>
      </c>
      <c r="H51" s="60" t="s">
        <v>49</v>
      </c>
      <c r="I51" s="76" t="s">
        <v>49</v>
      </c>
      <c r="J51" s="82" t="s">
        <v>49</v>
      </c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x14ac:dyDescent="0.25">
      <c r="A52" s="27" t="s">
        <v>49</v>
      </c>
      <c r="B52" s="7" t="s">
        <v>5</v>
      </c>
      <c r="C52" s="5">
        <v>3.5099999999999999E-2</v>
      </c>
      <c r="D52" s="6">
        <v>0.66046009689044805</v>
      </c>
      <c r="E52" s="76" t="s">
        <v>49</v>
      </c>
      <c r="F52" s="77" t="s">
        <v>49</v>
      </c>
      <c r="G52" s="59" t="s">
        <v>49</v>
      </c>
      <c r="H52" s="60" t="s">
        <v>49</v>
      </c>
      <c r="I52" s="76" t="s">
        <v>49</v>
      </c>
      <c r="J52" s="82" t="s">
        <v>49</v>
      </c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x14ac:dyDescent="0.25">
      <c r="A53" s="27" t="s">
        <v>49</v>
      </c>
      <c r="B53" s="7" t="s">
        <v>7</v>
      </c>
      <c r="C53" s="5">
        <v>0</v>
      </c>
      <c r="D53" s="6">
        <v>0</v>
      </c>
      <c r="E53" s="76" t="s">
        <v>49</v>
      </c>
      <c r="F53" s="77" t="s">
        <v>49</v>
      </c>
      <c r="G53" s="59" t="s">
        <v>49</v>
      </c>
      <c r="H53" s="60" t="s">
        <v>49</v>
      </c>
      <c r="I53" s="76" t="s">
        <v>49</v>
      </c>
      <c r="J53" s="82" t="s">
        <v>49</v>
      </c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x14ac:dyDescent="0.25">
      <c r="A54" s="27" t="s">
        <v>49</v>
      </c>
      <c r="B54" s="7" t="s">
        <v>9</v>
      </c>
      <c r="C54" s="5">
        <v>0</v>
      </c>
      <c r="D54" s="6">
        <v>0</v>
      </c>
      <c r="E54" s="76" t="s">
        <v>49</v>
      </c>
      <c r="F54" s="77" t="s">
        <v>49</v>
      </c>
      <c r="G54" s="59" t="s">
        <v>49</v>
      </c>
      <c r="H54" s="60" t="s">
        <v>49</v>
      </c>
      <c r="I54" s="76" t="s">
        <v>49</v>
      </c>
      <c r="J54" s="82" t="s">
        <v>49</v>
      </c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x14ac:dyDescent="0.25">
      <c r="A55" s="27" t="s">
        <v>49</v>
      </c>
      <c r="B55" s="7" t="s">
        <v>11</v>
      </c>
      <c r="C55" s="5">
        <v>2.8E-3</v>
      </c>
      <c r="D55" s="6">
        <v>6.4172170192477798E-2</v>
      </c>
      <c r="E55" s="76" t="s">
        <v>49</v>
      </c>
      <c r="F55" s="77" t="s">
        <v>49</v>
      </c>
      <c r="G55" s="59" t="s">
        <v>49</v>
      </c>
      <c r="H55" s="60" t="s">
        <v>49</v>
      </c>
      <c r="I55" s="76" t="s">
        <v>49</v>
      </c>
      <c r="J55" s="82" t="s">
        <v>49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x14ac:dyDescent="0.25">
      <c r="A56" s="27" t="s">
        <v>49</v>
      </c>
      <c r="B56" s="7" t="s">
        <v>13</v>
      </c>
      <c r="C56" s="5">
        <v>1.4E-3</v>
      </c>
      <c r="D56" s="6">
        <v>2.1630689929417201E-2</v>
      </c>
      <c r="E56" s="76" t="s">
        <v>49</v>
      </c>
      <c r="F56" s="77" t="s">
        <v>49</v>
      </c>
      <c r="G56" s="59" t="s">
        <v>49</v>
      </c>
      <c r="H56" s="60" t="s">
        <v>49</v>
      </c>
      <c r="I56" s="76" t="s">
        <v>49</v>
      </c>
      <c r="J56" s="82" t="s">
        <v>49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x14ac:dyDescent="0.25">
      <c r="A57" s="27" t="s">
        <v>49</v>
      </c>
      <c r="B57" s="7" t="s">
        <v>15</v>
      </c>
      <c r="C57" s="5">
        <v>3.3999999999999998E-3</v>
      </c>
      <c r="D57" s="6">
        <v>5.4610975242322397E-2</v>
      </c>
      <c r="E57" s="76" t="s">
        <v>49</v>
      </c>
      <c r="F57" s="77" t="s">
        <v>49</v>
      </c>
      <c r="G57" s="59" t="s">
        <v>49</v>
      </c>
      <c r="H57" s="60" t="s">
        <v>49</v>
      </c>
      <c r="I57" s="76" t="s">
        <v>49</v>
      </c>
      <c r="J57" s="82" t="s">
        <v>49</v>
      </c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x14ac:dyDescent="0.25">
      <c r="A58" s="27" t="s">
        <v>49</v>
      </c>
      <c r="B58" s="7" t="s">
        <v>17</v>
      </c>
      <c r="C58" s="5">
        <v>5.1999999999999998E-3</v>
      </c>
      <c r="D58" s="6">
        <v>7.1468189224308198E-2</v>
      </c>
      <c r="E58" s="76" t="s">
        <v>49</v>
      </c>
      <c r="F58" s="77" t="s">
        <v>49</v>
      </c>
      <c r="G58" s="59" t="s">
        <v>49</v>
      </c>
      <c r="H58" s="60" t="s">
        <v>49</v>
      </c>
      <c r="I58" s="76" t="s">
        <v>49</v>
      </c>
      <c r="J58" s="82" t="s">
        <v>49</v>
      </c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x14ac:dyDescent="0.25">
      <c r="A59" s="27" t="s">
        <v>49</v>
      </c>
      <c r="B59" s="7" t="s">
        <v>19</v>
      </c>
      <c r="C59" s="5">
        <v>2.0000000000000001E-4</v>
      </c>
      <c r="D59" s="6">
        <v>3.9289343051525901E-3</v>
      </c>
      <c r="E59" s="76" t="s">
        <v>49</v>
      </c>
      <c r="F59" s="77" t="s">
        <v>49</v>
      </c>
      <c r="G59" s="59" t="s">
        <v>49</v>
      </c>
      <c r="H59" s="60" t="s">
        <v>49</v>
      </c>
      <c r="I59" s="76" t="s">
        <v>49</v>
      </c>
      <c r="J59" s="82" t="s">
        <v>49</v>
      </c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x14ac:dyDescent="0.25">
      <c r="A60" s="27" t="s">
        <v>49</v>
      </c>
      <c r="B60" s="7" t="s">
        <v>21</v>
      </c>
      <c r="C60" s="5">
        <v>-8.0000000000000004E-4</v>
      </c>
      <c r="D60" s="6">
        <v>5.0174336788848001E-2</v>
      </c>
      <c r="E60" s="76" t="s">
        <v>49</v>
      </c>
      <c r="F60" s="77" t="s">
        <v>49</v>
      </c>
      <c r="G60" s="59" t="s">
        <v>49</v>
      </c>
      <c r="H60" s="60" t="s">
        <v>49</v>
      </c>
      <c r="I60" s="76" t="s">
        <v>49</v>
      </c>
      <c r="J60" s="82" t="s">
        <v>49</v>
      </c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x14ac:dyDescent="0.25">
      <c r="A61" s="27" t="s">
        <v>49</v>
      </c>
      <c r="B61" s="7" t="s">
        <v>23</v>
      </c>
      <c r="C61" s="5">
        <v>0</v>
      </c>
      <c r="D61" s="6">
        <v>2.2521844945561699E-5</v>
      </c>
      <c r="E61" s="76" t="s">
        <v>49</v>
      </c>
      <c r="F61" s="77" t="s">
        <v>49</v>
      </c>
      <c r="G61" s="59" t="s">
        <v>49</v>
      </c>
      <c r="H61" s="60" t="s">
        <v>49</v>
      </c>
      <c r="I61" s="76" t="s">
        <v>49</v>
      </c>
      <c r="J61" s="82" t="s">
        <v>49</v>
      </c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x14ac:dyDescent="0.25">
      <c r="A62" s="27" t="s">
        <v>49</v>
      </c>
      <c r="B62" s="7" t="s">
        <v>24</v>
      </c>
      <c r="C62" s="5">
        <v>0</v>
      </c>
      <c r="D62" s="6">
        <v>0</v>
      </c>
      <c r="E62" s="76" t="s">
        <v>49</v>
      </c>
      <c r="F62" s="77" t="s">
        <v>49</v>
      </c>
      <c r="G62" s="59" t="s">
        <v>49</v>
      </c>
      <c r="H62" s="60" t="s">
        <v>49</v>
      </c>
      <c r="I62" s="76" t="s">
        <v>49</v>
      </c>
      <c r="J62" s="82" t="s">
        <v>49</v>
      </c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x14ac:dyDescent="0.25">
      <c r="A63" s="27" t="s">
        <v>49</v>
      </c>
      <c r="B63" s="7" t="s">
        <v>25</v>
      </c>
      <c r="C63" s="5">
        <v>0</v>
      </c>
      <c r="D63" s="6">
        <v>0</v>
      </c>
      <c r="E63" s="76" t="s">
        <v>49</v>
      </c>
      <c r="F63" s="77" t="s">
        <v>49</v>
      </c>
      <c r="G63" s="59" t="s">
        <v>49</v>
      </c>
      <c r="H63" s="60" t="s">
        <v>49</v>
      </c>
      <c r="I63" s="76" t="s">
        <v>49</v>
      </c>
      <c r="J63" s="82" t="s">
        <v>49</v>
      </c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x14ac:dyDescent="0.25">
      <c r="A64" s="27" t="s">
        <v>49</v>
      </c>
      <c r="B64" s="7" t="s">
        <v>26</v>
      </c>
      <c r="C64" s="5">
        <v>0</v>
      </c>
      <c r="D64" s="6">
        <v>0</v>
      </c>
      <c r="E64" s="76" t="s">
        <v>49</v>
      </c>
      <c r="F64" s="77" t="s">
        <v>49</v>
      </c>
      <c r="G64" s="59" t="s">
        <v>49</v>
      </c>
      <c r="H64" s="60" t="s">
        <v>49</v>
      </c>
      <c r="I64" s="76" t="s">
        <v>49</v>
      </c>
      <c r="J64" s="82" t="s">
        <v>49</v>
      </c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x14ac:dyDescent="0.25">
      <c r="A65" s="27" t="s">
        <v>49</v>
      </c>
      <c r="B65" s="7" t="s">
        <v>27</v>
      </c>
      <c r="C65" s="5">
        <v>5.9999999999999995E-4</v>
      </c>
      <c r="D65" s="6">
        <v>4.2997967634790003E-2</v>
      </c>
      <c r="E65" s="76" t="s">
        <v>49</v>
      </c>
      <c r="F65" s="77" t="s">
        <v>49</v>
      </c>
      <c r="G65" s="59" t="s">
        <v>49</v>
      </c>
      <c r="H65" s="60" t="s">
        <v>49</v>
      </c>
      <c r="I65" s="76" t="s">
        <v>49</v>
      </c>
      <c r="J65" s="82" t="s">
        <v>49</v>
      </c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x14ac:dyDescent="0.25">
      <c r="A66" s="27" t="s">
        <v>49</v>
      </c>
      <c r="B66" s="7" t="s">
        <v>28</v>
      </c>
      <c r="C66" s="5">
        <v>9.9999999999997105E-5</v>
      </c>
      <c r="D66" s="6">
        <v>1.4075601381414999E-3</v>
      </c>
      <c r="E66" s="76" t="s">
        <v>49</v>
      </c>
      <c r="F66" s="77" t="s">
        <v>49</v>
      </c>
      <c r="G66" s="59" t="s">
        <v>49</v>
      </c>
      <c r="H66" s="60" t="s">
        <v>49</v>
      </c>
      <c r="I66" s="76" t="s">
        <v>49</v>
      </c>
      <c r="J66" s="82" t="s">
        <v>49</v>
      </c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x14ac:dyDescent="0.25">
      <c r="A67" s="27" t="s">
        <v>49</v>
      </c>
      <c r="B67" s="7" t="s">
        <v>29</v>
      </c>
      <c r="C67" s="5">
        <v>0</v>
      </c>
      <c r="D67" s="6">
        <v>0</v>
      </c>
      <c r="E67" s="76" t="s">
        <v>49</v>
      </c>
      <c r="F67" s="77" t="s">
        <v>49</v>
      </c>
      <c r="G67" s="59" t="s">
        <v>49</v>
      </c>
      <c r="H67" s="60" t="s">
        <v>49</v>
      </c>
      <c r="I67" s="76" t="s">
        <v>49</v>
      </c>
      <c r="J67" s="82" t="s">
        <v>49</v>
      </c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x14ac:dyDescent="0.25">
      <c r="A68" s="27" t="s">
        <v>49</v>
      </c>
      <c r="B68" s="7" t="s">
        <v>30</v>
      </c>
      <c r="C68" s="5">
        <v>0</v>
      </c>
      <c r="D68" s="6">
        <v>7.1470837879714999E-4</v>
      </c>
      <c r="E68" s="76" t="s">
        <v>49</v>
      </c>
      <c r="F68" s="77" t="s">
        <v>49</v>
      </c>
      <c r="G68" s="59" t="s">
        <v>49</v>
      </c>
      <c r="H68" s="60" t="s">
        <v>49</v>
      </c>
      <c r="I68" s="76" t="s">
        <v>49</v>
      </c>
      <c r="J68" s="82" t="s">
        <v>49</v>
      </c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x14ac:dyDescent="0.25">
      <c r="A69" s="27" t="s">
        <v>49</v>
      </c>
      <c r="B69" s="7" t="s">
        <v>31</v>
      </c>
      <c r="C69" s="5">
        <v>0</v>
      </c>
      <c r="D69" s="6">
        <v>0</v>
      </c>
      <c r="E69" s="76" t="s">
        <v>49</v>
      </c>
      <c r="F69" s="77" t="s">
        <v>49</v>
      </c>
      <c r="G69" s="59" t="s">
        <v>49</v>
      </c>
      <c r="H69" s="60" t="s">
        <v>49</v>
      </c>
      <c r="I69" s="76" t="s">
        <v>49</v>
      </c>
      <c r="J69" s="82" t="s">
        <v>49</v>
      </c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x14ac:dyDescent="0.25">
      <c r="A70" s="27" t="s">
        <v>49</v>
      </c>
      <c r="B70" s="21" t="s">
        <v>45</v>
      </c>
      <c r="C70" s="8">
        <v>4.8000000000000001E-2</v>
      </c>
      <c r="D70" s="9">
        <v>1</v>
      </c>
      <c r="E70" s="78" t="s">
        <v>49</v>
      </c>
      <c r="F70" s="79" t="s">
        <v>49</v>
      </c>
      <c r="G70" s="61" t="s">
        <v>49</v>
      </c>
      <c r="H70" s="62" t="s">
        <v>49</v>
      </c>
      <c r="I70" s="78" t="s">
        <v>49</v>
      </c>
      <c r="J70" s="83" t="s">
        <v>49</v>
      </c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x14ac:dyDescent="0.25">
      <c r="A71" s="27" t="s">
        <v>49</v>
      </c>
      <c r="B71" s="20" t="s">
        <v>37</v>
      </c>
      <c r="C71" s="26">
        <v>487738.48310937302</v>
      </c>
      <c r="D71" s="67" t="s">
        <v>49</v>
      </c>
      <c r="E71" s="87" t="s">
        <v>49</v>
      </c>
      <c r="F71" s="88" t="s">
        <v>49</v>
      </c>
      <c r="G71" s="66" t="s">
        <v>49</v>
      </c>
      <c r="H71" s="67" t="s">
        <v>49</v>
      </c>
      <c r="I71" s="87" t="s">
        <v>49</v>
      </c>
      <c r="J71" s="88" t="s">
        <v>49</v>
      </c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x14ac:dyDescent="0.25">
      <c r="B72" s="53" t="s">
        <v>51</v>
      </c>
      <c r="C72" s="53"/>
      <c r="D72" s="53"/>
      <c r="E72" s="53"/>
      <c r="F72" s="53"/>
      <c r="G72" s="53"/>
      <c r="H72" s="53"/>
      <c r="I72" s="53"/>
      <c r="J72" s="53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x14ac:dyDescent="0.25">
      <c r="B73" s="32" t="s">
        <v>36</v>
      </c>
      <c r="C73" s="36" t="s">
        <v>0</v>
      </c>
      <c r="D73" s="37"/>
      <c r="E73" s="37"/>
      <c r="F73" s="37"/>
      <c r="G73" s="37"/>
      <c r="H73" s="37"/>
      <c r="I73" s="37"/>
      <c r="J73" s="38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x14ac:dyDescent="0.25">
      <c r="B74" s="33"/>
      <c r="C74" s="39" t="str">
        <f ca="1">CONCATENATE(INDIRECT(CONCATENATE($C$3,$C$4))," - ",INDIRECT(CONCATENATE($C$3,$G$4))," ",$B$4)</f>
        <v>ינואר - מרץ 2019</v>
      </c>
      <c r="D74" s="40"/>
      <c r="E74" s="41" t="str">
        <f ca="1">CONCATENATE(INDIRECT(CONCATENATE($C$3,$C$4))," - ",INDIRECT(CONCATENATE($C$3,$M4))," ",$B$4)</f>
        <v>ינואר - יוני 2019</v>
      </c>
      <c r="F74" s="42"/>
      <c r="G74" s="39" t="str">
        <f ca="1">CONCATENATE(INDIRECT(CONCATENATE($C$3,$C$4))," - ",INDIRECT(CONCATENATE($C$3,$S$4))," ",$B$4)</f>
        <v>ינואר - ספטמבר 2019</v>
      </c>
      <c r="H74" s="40"/>
      <c r="I74" s="41" t="str">
        <f ca="1">CONCATENATE(INDIRECT(CONCATENATE($C$3,$C$4))," - ",INDIRECT(CONCATENATE($C$3,$Y4))," ",$B$4)</f>
        <v>ינואר - דצמבר 2019</v>
      </c>
      <c r="J74" s="42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30" x14ac:dyDescent="0.25">
      <c r="B75" s="28" t="s">
        <v>48</v>
      </c>
      <c r="C75" s="96" t="s">
        <v>55</v>
      </c>
      <c r="D75" s="97" t="s">
        <v>56</v>
      </c>
      <c r="E75" s="99" t="s">
        <v>81</v>
      </c>
      <c r="F75" s="100" t="s">
        <v>82</v>
      </c>
      <c r="G75" s="96" t="s">
        <v>59</v>
      </c>
      <c r="H75" s="97" t="s">
        <v>60</v>
      </c>
      <c r="I75" s="99" t="s">
        <v>83</v>
      </c>
      <c r="J75" s="98" t="s">
        <v>84</v>
      </c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x14ac:dyDescent="0.25">
      <c r="B76" s="43" t="s">
        <v>32</v>
      </c>
      <c r="C76" s="10">
        <v>4.7500000000000001E-2</v>
      </c>
      <c r="D76" s="11">
        <v>0.96957324806955303</v>
      </c>
      <c r="E76" s="84" t="s">
        <v>49</v>
      </c>
      <c r="F76" s="86" t="s">
        <v>49</v>
      </c>
      <c r="G76" s="64" t="s">
        <v>49</v>
      </c>
      <c r="H76" s="65" t="s">
        <v>49</v>
      </c>
      <c r="I76" s="84" t="s">
        <v>49</v>
      </c>
      <c r="J76" s="85" t="s">
        <v>49</v>
      </c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x14ac:dyDescent="0.25">
      <c r="B77" s="44" t="s">
        <v>33</v>
      </c>
      <c r="C77" s="5">
        <v>4.9999999999999795E-4</v>
      </c>
      <c r="D77" s="6">
        <v>3.0426751930446898E-2</v>
      </c>
      <c r="E77" s="76" t="s">
        <v>49</v>
      </c>
      <c r="F77" s="77" t="s">
        <v>49</v>
      </c>
      <c r="G77" s="59" t="s">
        <v>49</v>
      </c>
      <c r="H77" s="60" t="s">
        <v>49</v>
      </c>
      <c r="I77" s="76" t="s">
        <v>49</v>
      </c>
      <c r="J77" s="82" t="s">
        <v>49</v>
      </c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x14ac:dyDescent="0.25">
      <c r="B78" s="46" t="s">
        <v>45</v>
      </c>
      <c r="C78" s="47">
        <v>4.8000000000000001E-2</v>
      </c>
      <c r="D78" s="48">
        <v>1</v>
      </c>
      <c r="E78" s="89" t="s">
        <v>49</v>
      </c>
      <c r="F78" s="91" t="s">
        <v>49</v>
      </c>
      <c r="G78" s="68" t="s">
        <v>49</v>
      </c>
      <c r="H78" s="69" t="s">
        <v>49</v>
      </c>
      <c r="I78" s="89" t="s">
        <v>49</v>
      </c>
      <c r="J78" s="90" t="s">
        <v>49</v>
      </c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x14ac:dyDescent="0.25">
      <c r="B79" s="31" t="s">
        <v>51</v>
      </c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x14ac:dyDescent="0.25">
      <c r="B80" s="32" t="s">
        <v>36</v>
      </c>
      <c r="C80" s="36" t="s">
        <v>0</v>
      </c>
      <c r="D80" s="37"/>
      <c r="E80" s="37"/>
      <c r="F80" s="37"/>
      <c r="G80" s="37"/>
      <c r="H80" s="37"/>
      <c r="I80" s="37"/>
      <c r="J80" s="38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x14ac:dyDescent="0.25">
      <c r="B81" s="33"/>
      <c r="C81" s="39" t="str">
        <f ca="1">CONCATENATE(INDIRECT(CONCATENATE($C$3,$C$4))," - ",INDIRECT(CONCATENATE($C$3,$G$4))," ",$B$4)</f>
        <v>ינואר - מרץ 2019</v>
      </c>
      <c r="D81" s="40"/>
      <c r="E81" s="41" t="str">
        <f ca="1">CONCATENATE(INDIRECT(CONCATENATE($C$3,$C$4))," - ",INDIRECT(CONCATENATE($C$3,$M$4))," ",$B$4)</f>
        <v>ינואר - יוני 2019</v>
      </c>
      <c r="F81" s="42"/>
      <c r="G81" s="39" t="str">
        <f ca="1">CONCATENATE(INDIRECT(CONCATENATE($C$3,$C$4))," - ",INDIRECT(CONCATENATE($C$3,$S$4))," ",$B$4)</f>
        <v>ינואר - ספטמבר 2019</v>
      </c>
      <c r="H81" s="40"/>
      <c r="I81" s="41" t="str">
        <f ca="1">CONCATENATE(INDIRECT(CONCATENATE($C$3,$C$4))," - ",INDIRECT(CONCATENATE($C$3,$Y$4))," ",$B$4)</f>
        <v>ינואר - דצמבר 2019</v>
      </c>
      <c r="J81" s="42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30" x14ac:dyDescent="0.25">
      <c r="A82" s="1" t="s">
        <v>50</v>
      </c>
      <c r="B82" s="28" t="s">
        <v>48</v>
      </c>
      <c r="C82" s="96" t="s">
        <v>55</v>
      </c>
      <c r="D82" s="97" t="s">
        <v>56</v>
      </c>
      <c r="E82" s="99" t="s">
        <v>81</v>
      </c>
      <c r="F82" s="100" t="s">
        <v>82</v>
      </c>
      <c r="G82" s="96" t="s">
        <v>59</v>
      </c>
      <c r="H82" s="97" t="s">
        <v>60</v>
      </c>
      <c r="I82" s="99" t="s">
        <v>83</v>
      </c>
      <c r="J82" s="100" t="s">
        <v>84</v>
      </c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x14ac:dyDescent="0.25">
      <c r="A83" s="27" t="s">
        <v>49</v>
      </c>
      <c r="B83" s="4" t="s">
        <v>34</v>
      </c>
      <c r="C83" s="10">
        <v>2.8400000000000002E-2</v>
      </c>
      <c r="D83" s="11">
        <v>0.508489623033203</v>
      </c>
      <c r="E83" s="84" t="s">
        <v>49</v>
      </c>
      <c r="F83" s="86" t="s">
        <v>49</v>
      </c>
      <c r="G83" s="64" t="s">
        <v>49</v>
      </c>
      <c r="H83" s="65" t="s">
        <v>49</v>
      </c>
      <c r="I83" s="84" t="s">
        <v>49</v>
      </c>
      <c r="J83" s="86" t="s">
        <v>49</v>
      </c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x14ac:dyDescent="0.25">
      <c r="A84" s="27" t="s">
        <v>49</v>
      </c>
      <c r="B84" s="7" t="s">
        <v>35</v>
      </c>
      <c r="C84" s="5">
        <v>1.9599999999999999E-2</v>
      </c>
      <c r="D84" s="6">
        <v>0.491510376966797</v>
      </c>
      <c r="E84" s="76" t="s">
        <v>49</v>
      </c>
      <c r="F84" s="77" t="s">
        <v>49</v>
      </c>
      <c r="G84" s="59" t="s">
        <v>49</v>
      </c>
      <c r="H84" s="60" t="s">
        <v>49</v>
      </c>
      <c r="I84" s="76" t="s">
        <v>49</v>
      </c>
      <c r="J84" s="77" t="s">
        <v>49</v>
      </c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x14ac:dyDescent="0.25">
      <c r="A85" s="27" t="s">
        <v>49</v>
      </c>
      <c r="B85" s="21" t="s">
        <v>45</v>
      </c>
      <c r="C85" s="8">
        <v>4.8000000000000001E-2</v>
      </c>
      <c r="D85" s="9">
        <v>1</v>
      </c>
      <c r="E85" s="78" t="s">
        <v>49</v>
      </c>
      <c r="F85" s="79" t="s">
        <v>49</v>
      </c>
      <c r="G85" s="61" t="s">
        <v>49</v>
      </c>
      <c r="H85" s="62" t="s">
        <v>49</v>
      </c>
      <c r="I85" s="78" t="s">
        <v>49</v>
      </c>
      <c r="J85" s="79" t="s">
        <v>49</v>
      </c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x14ac:dyDescent="0.25">
      <c r="A86" s="27" t="s">
        <v>49</v>
      </c>
      <c r="B86" s="27" t="s">
        <v>49</v>
      </c>
      <c r="C86" s="27" t="s">
        <v>49</v>
      </c>
      <c r="D86" s="27" t="s">
        <v>49</v>
      </c>
      <c r="E86" s="27" t="s">
        <v>49</v>
      </c>
      <c r="F86" s="27" t="s">
        <v>49</v>
      </c>
      <c r="G86" s="27" t="s">
        <v>49</v>
      </c>
      <c r="H86" s="27" t="s">
        <v>49</v>
      </c>
      <c r="I86" s="27" t="s">
        <v>49</v>
      </c>
      <c r="J86" s="27" t="s">
        <v>49</v>
      </c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x14ac:dyDescent="0.25">
      <c r="A87" s="27" t="s">
        <v>49</v>
      </c>
      <c r="B87" s="22" t="s">
        <v>43</v>
      </c>
      <c r="C87" s="23">
        <v>2.8E-3</v>
      </c>
      <c r="D87" s="56" t="s">
        <v>49</v>
      </c>
      <c r="E87" s="57" t="s">
        <v>49</v>
      </c>
      <c r="F87" s="56" t="s">
        <v>49</v>
      </c>
      <c r="G87" s="57" t="s">
        <v>49</v>
      </c>
      <c r="H87" s="56" t="s">
        <v>49</v>
      </c>
      <c r="I87" s="57" t="s">
        <v>49</v>
      </c>
      <c r="J87" s="56" t="s">
        <v>49</v>
      </c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x14ac:dyDescent="0.25">
      <c r="A88" s="27" t="s">
        <v>49</v>
      </c>
      <c r="B88" s="24" t="s">
        <v>46</v>
      </c>
      <c r="C88" s="25">
        <v>5.0799999999999998E-2</v>
      </c>
      <c r="D88" s="54" t="s">
        <v>49</v>
      </c>
      <c r="E88" s="55" t="s">
        <v>49</v>
      </c>
      <c r="F88" s="54" t="s">
        <v>49</v>
      </c>
      <c r="G88" s="55" t="s">
        <v>49</v>
      </c>
      <c r="H88" s="54" t="s">
        <v>49</v>
      </c>
      <c r="I88" s="55" t="s">
        <v>49</v>
      </c>
      <c r="J88" s="54" t="s">
        <v>49</v>
      </c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x14ac:dyDescent="0.25">
      <c r="B89" s="31" t="s">
        <v>52</v>
      </c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10012" spans="3:8" x14ac:dyDescent="0.25">
      <c r="C10012">
        <v>1</v>
      </c>
      <c r="D10012">
        <v>0</v>
      </c>
      <c r="E10012">
        <v>1</v>
      </c>
      <c r="F10012">
        <v>0</v>
      </c>
      <c r="G10012">
        <v>1</v>
      </c>
      <c r="H10012">
        <v>0</v>
      </c>
    </row>
    <row r="10013" spans="3:8" x14ac:dyDescent="0.25">
      <c r="C10013">
        <v>1.0210600000000001</v>
      </c>
      <c r="D10013">
        <v>0</v>
      </c>
      <c r="E10013">
        <v>1.0077199999999999</v>
      </c>
      <c r="F10013">
        <v>0</v>
      </c>
      <c r="G10013">
        <v>1.0184599999999999</v>
      </c>
      <c r="H10013">
        <v>0</v>
      </c>
    </row>
    <row r="10052" spans="3:4" x14ac:dyDescent="0.25">
      <c r="C10052">
        <v>1</v>
      </c>
      <c r="D10052">
        <v>0</v>
      </c>
    </row>
    <row r="10053" spans="3:4" x14ac:dyDescent="0.25">
      <c r="C10053">
        <v>1.048</v>
      </c>
      <c r="D10053">
        <v>0</v>
      </c>
    </row>
  </sheetData>
  <mergeCells count="70">
    <mergeCell ref="Q39:R39"/>
    <mergeCell ref="E32:F32"/>
    <mergeCell ref="C32:D32"/>
    <mergeCell ref="Y32:Z32"/>
    <mergeCell ref="W32:X32"/>
    <mergeCell ref="U32:V32"/>
    <mergeCell ref="S32:T32"/>
    <mergeCell ref="Q32:R32"/>
    <mergeCell ref="O32:P32"/>
    <mergeCell ref="M32:N32"/>
    <mergeCell ref="K32:L32"/>
    <mergeCell ref="I32:J32"/>
    <mergeCell ref="G32:H32"/>
    <mergeCell ref="I6:J6"/>
    <mergeCell ref="G6:H6"/>
    <mergeCell ref="E6:F6"/>
    <mergeCell ref="C6:D6"/>
    <mergeCell ref="Y6:Z6"/>
    <mergeCell ref="W6:X6"/>
    <mergeCell ref="U6:V6"/>
    <mergeCell ref="S6:T6"/>
    <mergeCell ref="Q6:R6"/>
    <mergeCell ref="O6:P6"/>
    <mergeCell ref="M6:N6"/>
    <mergeCell ref="K6:L6"/>
    <mergeCell ref="B37:Z37"/>
    <mergeCell ref="B47:Z47"/>
    <mergeCell ref="B72:J72"/>
    <mergeCell ref="B79:J79"/>
    <mergeCell ref="B89:Z89"/>
    <mergeCell ref="O39:P39"/>
    <mergeCell ref="M39:N39"/>
    <mergeCell ref="K39:L39"/>
    <mergeCell ref="I39:J39"/>
    <mergeCell ref="G39:H39"/>
    <mergeCell ref="E39:F39"/>
    <mergeCell ref="C39:D39"/>
    <mergeCell ref="Y39:Z39"/>
    <mergeCell ref="W39:X39"/>
    <mergeCell ref="U39:V39"/>
    <mergeCell ref="S39:T39"/>
    <mergeCell ref="C5:Z5"/>
    <mergeCell ref="C31:Z31"/>
    <mergeCell ref="C38:Z38"/>
    <mergeCell ref="B29:Z30"/>
    <mergeCell ref="C74:D74"/>
    <mergeCell ref="E74:F74"/>
    <mergeCell ref="G74:H74"/>
    <mergeCell ref="I74:J74"/>
    <mergeCell ref="C48:J48"/>
    <mergeCell ref="I49:J49"/>
    <mergeCell ref="E49:F49"/>
    <mergeCell ref="G49:H49"/>
    <mergeCell ref="C49:D49"/>
    <mergeCell ref="A1:Z1"/>
    <mergeCell ref="B2:Z2"/>
    <mergeCell ref="C3:Z3"/>
    <mergeCell ref="B80:B81"/>
    <mergeCell ref="B73:B74"/>
    <mergeCell ref="B48:B49"/>
    <mergeCell ref="B38:B39"/>
    <mergeCell ref="B31:B32"/>
    <mergeCell ref="B5:B6"/>
    <mergeCell ref="K48:Z88"/>
    <mergeCell ref="C80:J80"/>
    <mergeCell ref="C81:D81"/>
    <mergeCell ref="E81:F81"/>
    <mergeCell ref="G81:H81"/>
    <mergeCell ref="I81:J81"/>
    <mergeCell ref="C73:J73"/>
  </mergeCells>
  <pageMargins left="0" right="0" top="0" bottom="0.55118110236220474" header="0" footer="0.31496062992125984"/>
  <pageSetup paperSize="9" orientation="portrait" r:id="rId1"/>
  <headerFooter>
    <oddFooter>&amp;L&amp;Z&amp;F&amp;A</oddFooter>
  </headerFooter>
  <drawing r:id="rId2"/>
  <tableParts count="6">
    <tablePart r:id="rId3"/>
    <tablePart r:id="rId4"/>
    <tablePart r:id="rId5"/>
    <tablePart r:id="rId6"/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schemas.openxmlformats.org/package/2006/metadata/core-properties"/>
    <ds:schemaRef ds:uri="http://schemas.microsoft.com/sharepoint/v3"/>
    <ds:schemaRef ds:uri="http://www.w3.org/XML/1998/namespace"/>
    <ds:schemaRef ds:uri="a46656d4-8850-49b3-aebd-68bd05f7f43d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user</cp:lastModifiedBy>
  <cp:lastPrinted>2022-04-07T10:28:14Z</cp:lastPrinted>
  <dcterms:created xsi:type="dcterms:W3CDTF">2016-08-07T08:05:35Z</dcterms:created>
  <dcterms:modified xsi:type="dcterms:W3CDTF">2022-04-07T10:29:36Z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