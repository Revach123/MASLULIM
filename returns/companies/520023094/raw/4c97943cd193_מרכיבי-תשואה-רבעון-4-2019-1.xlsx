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6390593A-C332-4D62-8F49-CCFCEDCCDD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תשואה'!$B$1:$Z$71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" i="5" l="1"/>
  <c r="G71" i="5"/>
  <c r="E71" i="5"/>
  <c r="C71" i="5"/>
  <c r="Y37" i="5"/>
  <c r="S37" i="5"/>
  <c r="M37" i="5"/>
  <c r="G37" i="5"/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<sst xmlns="http://schemas.openxmlformats.org/spreadsheetml/2006/main" count="745" uniqueCount="69">
  <si>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</si>
  <si>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</si>
  <si>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</si>
  <si>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</si>
  <si>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</si>
  <si>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</si>
  <si>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</si>
  <si>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</si>
  <si>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</si>
  <si>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</si>
  <si>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</si>
  <si>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</si>
  <si>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</si>
  <si>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</si>
  <si>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</si>
  <si>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</si>
  <si>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</si>
  <si>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</si>
  <si>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</si>
  <si>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</si>
  <si>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</si>
  <si>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</si>
  <si>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</si>
  <si>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</si>
  <si>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</si>
  <si>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אפיקי השקעה:</t>
  </si>
  <si>
    <t>התרומה לתשואה ינואר 2019</t>
  </si>
  <si>
    <t>שיעור מסך הנכסים ינואר 2019</t>
  </si>
  <si>
    <t>התרומה לתשואה פברואר 2019</t>
  </si>
  <si>
    <t>שיעור מסך הנכסים פברואר 2019</t>
  </si>
  <si>
    <t>התרומה לתשואה מרץ 2019</t>
  </si>
  <si>
    <t>שיעור מסך הנכסים מרץ 2019</t>
  </si>
  <si>
    <t>התרומה לתשואה אפריל 2019</t>
  </si>
  <si>
    <t>שיעור מסך הנכסים אפריל 2019</t>
  </si>
  <si>
    <t>התרומה לתשואה מאי 2019</t>
  </si>
  <si>
    <t>שיעור מסך הנכסים מאי 2019</t>
  </si>
  <si>
    <t>התרומה לתשואה יוני 2019</t>
  </si>
  <si>
    <t>שיעור מסך הנכסים יוני 2019</t>
  </si>
  <si>
    <t>התרומה לתשואה יולי 2019</t>
  </si>
  <si>
    <t>שיעור מסך הנכסים יולי 2019</t>
  </si>
  <si>
    <t>התרומה לתשואה אוגוסט 2019</t>
  </si>
  <si>
    <t>שיעור מסך הנכסים אוגוסט 2019</t>
  </si>
  <si>
    <t>התרומה לתשואה ספטמבר 2019</t>
  </si>
  <si>
    <t>שיעור מסך הנכסים ספטמבר 2019</t>
  </si>
  <si>
    <t>התרומה לתשואה אוקטובר 2019</t>
  </si>
  <si>
    <t>שיעור מסך הנכסים אוקטובר 2019</t>
  </si>
  <si>
    <t>התרומה לתשואה נובמבר 2019</t>
  </si>
  <si>
    <t>שיעור מסך הנכסים נובמבר 2019</t>
  </si>
  <si>
    <t>התרומה לתשואה דצמבר 2019</t>
  </si>
  <si>
    <t>שיעור מסך הנכסים דצמבר 2019</t>
  </si>
  <si>
    <t>התרומה לתשואה ינואר-מרץ 2019</t>
  </si>
  <si>
    <t>שיעור מסך הנכסים ינואר-מרץ 2019</t>
  </si>
  <si>
    <t>התרומה לתשואה ינואר-יוני 2019</t>
  </si>
  <si>
    <t>שיעור מסך הנכסים ינואר-יוני 2019</t>
  </si>
  <si>
    <t>התרומה לתשואה ינואר-ספטמבר 2019</t>
  </si>
  <si>
    <t>שיעור מסך הנכסים ינואר-ספטמבר 2019</t>
  </si>
  <si>
    <t>התרומה לתשואה ינואר-דצמבר 2019</t>
  </si>
  <si>
    <t>שיעור מסך הנכסים ינואר-דצמבר 2019</t>
  </si>
  <si>
    <t>קרנות סל</t>
  </si>
  <si>
    <t>תשואה חודשית מהשקעות</t>
  </si>
  <si>
    <t>תשואה מצטברת מהשקעות</t>
  </si>
  <si>
    <t>החברה המנהלת - גילעד גמלאות לעובדים דתיים בע"מ</t>
  </si>
  <si>
    <t>קרן הפנסיה - גילעד גמלאות לעובדים דתיים</t>
  </si>
  <si>
    <t>נוסף סיוע האוצר לקרן ותיקה</t>
  </si>
  <si>
    <t>תשואה חודשית כוללת</t>
  </si>
  <si>
    <t>תשואה מצטברת כוללת</t>
  </si>
  <si>
    <t>שורה ריקה</t>
  </si>
  <si>
    <t>תא ריק</t>
  </si>
  <si>
    <t>סוף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</si>
</sst>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5"/>
      <color theme="3"/>
      <name val="Arial"/>
      <family val="2"/>
      <charset val="177"/>
      <scheme val="minor"/>
    </font>
    <font>
      <sz val="11"/>
      <color theme="0"/>
      <name val="David"/>
      <family val="2"/>
    </font>
    <font>
      <b/>
      <sz val="14"/>
      <name val="David"/>
      <family val="2"/>
    </font>
    <font>
      <b/>
      <sz val="10"/>
      <name val="David"/>
      <family val="2"/>
      <charset val="177"/>
    </font>
    <font>
      <sz val="8"/>
      <name val="Arial"/>
      <family val="2"/>
      <charset val="177"/>
      <scheme val="minor"/>
    </font>
    <font>
      <b/>
      <sz val="11"/>
      <color rgb="FFD9D9D9"/>
      <name val="David"/>
      <family val="2"/>
      <charset val="177"/>
    </font>
    <font>
      <sz val="11"/>
      <color rgb="FFFFFF00"/>
      <name val="David"/>
      <family val="2"/>
      <charset val="177"/>
    </font>
    <font>
      <b/>
      <sz val="11"/>
      <color rgb="FFFFFF00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lightGray">
        <fgColor theme="0" tint="-0.14996795556505021"/>
        <bgColor rgb="FFD9D9D9"/>
      </patternFill>
    </fill>
    <fill>
      <patternFill patternType="solid">
        <fgColor rgb="FFDAEEF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0" fillId="0" borderId="12" applyNumberFormat="0" applyFill="0" applyAlignment="0" applyProtection="0"/>
  </cellStyleXfs>
  <cellXfs count="103">
    <xf numFmtId="0" fontId="0" fillId="0" borderId="0" xfId="0"/>
    <xf numFmtId="0" fontId="18" fillId="0" borderId="0" xfId="0" applyFont="1"/>
    <xf numFmtId="10" fontId="3" fillId="2" borderId="7" xfId="421" applyNumberFormat="1" applyFont="1" applyFill="1" applyBorder="1"/>
    <xf numFmtId="10" fontId="3" fillId="2" borderId="11" xfId="421" applyNumberFormat="1" applyFont="1" applyFill="1" applyBorder="1"/>
    <xf numFmtId="10" fontId="3" fillId="5" borderId="11" xfId="421" applyNumberFormat="1" applyFont="1" applyFill="1" applyBorder="1"/>
    <xf numFmtId="0" fontId="3" fillId="0" borderId="1" xfId="0" applyFont="1" applyBorder="1" applyAlignment="1">
      <alignment horizontal="center"/>
    </xf>
    <xf numFmtId="10" fontId="2" fillId="6" borderId="5" xfId="421" applyNumberFormat="1" applyFont="1" applyFill="1" applyBorder="1"/>
    <xf numFmtId="10" fontId="2" fillId="6" borderId="4" xfId="421" applyNumberFormat="1" applyFont="1" applyFill="1" applyBorder="1"/>
    <xf numFmtId="0" fontId="2" fillId="3" borderId="15" xfId="0" applyFont="1" applyFill="1" applyBorder="1"/>
    <xf numFmtId="10" fontId="2" fillId="2" borderId="18" xfId="421" applyNumberFormat="1" applyFont="1" applyFill="1" applyBorder="1"/>
    <xf numFmtId="10" fontId="2" fillId="2" borderId="19" xfId="421" applyNumberFormat="1" applyFont="1" applyFill="1" applyBorder="1"/>
    <xf numFmtId="10" fontId="2" fillId="5" borderId="18" xfId="421" applyNumberFormat="1" applyFont="1" applyFill="1" applyBorder="1"/>
    <xf numFmtId="10" fontId="2" fillId="5" borderId="19" xfId="421" applyNumberFormat="1" applyFont="1" applyFill="1" applyBorder="1"/>
    <xf numFmtId="10" fontId="2" fillId="5" borderId="11" xfId="421" applyNumberFormat="1" applyFont="1" applyFill="1" applyBorder="1"/>
    <xf numFmtId="0" fontId="2" fillId="3" borderId="18" xfId="0" applyFont="1" applyFill="1" applyBorder="1"/>
    <xf numFmtId="0" fontId="3" fillId="6" borderId="18" xfId="0" applyFont="1" applyFill="1" applyBorder="1"/>
    <xf numFmtId="10" fontId="3" fillId="2" borderId="18" xfId="421" applyNumberFormat="1" applyFont="1" applyFill="1" applyBorder="1"/>
    <xf numFmtId="10" fontId="3" fillId="2" borderId="19" xfId="421" applyNumberFormat="1" applyFont="1" applyFill="1" applyBorder="1"/>
    <xf numFmtId="10" fontId="3" fillId="5" borderId="18" xfId="421" applyNumberFormat="1" applyFont="1" applyFill="1" applyBorder="1"/>
    <xf numFmtId="10" fontId="3" fillId="5" borderId="19" xfId="421" applyNumberFormat="1" applyFont="1" applyFill="1" applyBorder="1"/>
    <xf numFmtId="0" fontId="3" fillId="8" borderId="15" xfId="0" applyFont="1" applyFill="1" applyBorder="1"/>
    <xf numFmtId="3" fontId="3" fillId="2" borderId="15" xfId="421" applyNumberFormat="1" applyFont="1" applyFill="1" applyBorder="1"/>
    <xf numFmtId="3" fontId="3" fillId="5" borderId="15" xfId="421" applyNumberFormat="1" applyFont="1" applyFill="1" applyBorder="1"/>
    <xf numFmtId="10" fontId="2" fillId="2" borderId="15" xfId="421" applyNumberFormat="1" applyFont="1" applyFill="1" applyBorder="1"/>
    <xf numFmtId="10" fontId="2" fillId="2" borderId="16" xfId="421" applyNumberFormat="1" applyFont="1" applyFill="1" applyBorder="1"/>
    <xf numFmtId="10" fontId="2" fillId="5" borderId="15" xfId="421" applyNumberFormat="1" applyFont="1" applyFill="1" applyBorder="1"/>
    <xf numFmtId="10" fontId="2" fillId="5" borderId="16" xfId="421" applyNumberFormat="1" applyFont="1" applyFill="1" applyBorder="1"/>
    <xf numFmtId="10" fontId="2" fillId="5" borderId="17" xfId="421" applyNumberFormat="1" applyFont="1" applyFill="1" applyBorder="1"/>
    <xf numFmtId="0" fontId="3" fillId="6" borderId="22" xfId="0" applyFont="1" applyFill="1" applyBorder="1"/>
    <xf numFmtId="10" fontId="3" fillId="2" borderId="22" xfId="421" applyNumberFormat="1" applyFont="1" applyFill="1" applyBorder="1"/>
    <xf numFmtId="10" fontId="3" fillId="2" borderId="23" xfId="421" applyNumberFormat="1" applyFont="1" applyFill="1" applyBorder="1"/>
    <xf numFmtId="0" fontId="3" fillId="7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24" xfId="0" applyFont="1" applyFill="1" applyBorder="1" applyAlignment="1">
      <alignment horizontal="center" vertical="center" wrapText="1"/>
    </xf>
    <xf numFmtId="0" fontId="23" fillId="5" borderId="25" xfId="0" applyFont="1" applyFill="1" applyBorder="1" applyAlignment="1">
      <alignment horizontal="center" vertical="center" wrapText="1"/>
    </xf>
    <xf numFmtId="10" fontId="2" fillId="6" borderId="11" xfId="421" applyNumberFormat="1" applyFont="1" applyFill="1" applyBorder="1"/>
    <xf numFmtId="10" fontId="2" fillId="6" borderId="10" xfId="421" applyNumberFormat="1" applyFont="1" applyFill="1" applyBorder="1"/>
    <xf numFmtId="10" fontId="3" fillId="6" borderId="11" xfId="421" applyNumberFormat="1" applyFont="1" applyFill="1" applyBorder="1"/>
    <xf numFmtId="10" fontId="3" fillId="6" borderId="10" xfId="421" applyNumberFormat="1" applyFont="1" applyFill="1" applyBorder="1"/>
    <xf numFmtId="10" fontId="2" fillId="2" borderId="11" xfId="421" applyNumberFormat="1" applyFont="1" applyFill="1" applyBorder="1"/>
    <xf numFmtId="10" fontId="2" fillId="2" borderId="17" xfId="421" applyNumberFormat="1" applyFont="1" applyFill="1" applyBorder="1"/>
    <xf numFmtId="0" fontId="23" fillId="2" borderId="25" xfId="0" applyFont="1" applyFill="1" applyBorder="1" applyAlignment="1">
      <alignment horizontal="center" vertical="center" wrapText="1"/>
    </xf>
    <xf numFmtId="0" fontId="19" fillId="0" borderId="20" xfId="0" applyFont="1" applyBorder="1"/>
    <xf numFmtId="0" fontId="19" fillId="0" borderId="14" xfId="0" applyFont="1" applyBorder="1"/>
    <xf numFmtId="0" fontId="19" fillId="0" borderId="21" xfId="0" applyFont="1" applyBorder="1"/>
    <xf numFmtId="0" fontId="19" fillId="0" borderId="0" xfId="0" applyFont="1"/>
    <xf numFmtId="10" fontId="25" fillId="9" borderId="17" xfId="421" applyNumberFormat="1" applyFont="1" applyFill="1" applyBorder="1"/>
    <xf numFmtId="10" fontId="25" fillId="9" borderId="16" xfId="421" applyNumberFormat="1" applyFont="1" applyFill="1" applyBorder="1"/>
    <xf numFmtId="10" fontId="25" fillId="4" borderId="17" xfId="421" applyNumberFormat="1" applyFont="1" applyFill="1" applyBorder="1"/>
    <xf numFmtId="10" fontId="25" fillId="4" borderId="16" xfId="421" applyNumberFormat="1" applyFont="1" applyFill="1" applyBorder="1"/>
    <xf numFmtId="10" fontId="26" fillId="6" borderId="5" xfId="421" applyNumberFormat="1" applyFont="1" applyFill="1" applyBorder="1"/>
    <xf numFmtId="10" fontId="27" fillId="6" borderId="11" xfId="421" applyNumberFormat="1" applyFont="1" applyFill="1" applyBorder="1"/>
    <xf numFmtId="10" fontId="26" fillId="6" borderId="11" xfId="421" applyNumberFormat="1" applyFont="1" applyFill="1" applyBorder="1"/>
    <xf numFmtId="10" fontId="26" fillId="6" borderId="10" xfId="421" applyNumberFormat="1" applyFont="1" applyFill="1" applyBorder="1"/>
    <xf numFmtId="10" fontId="27" fillId="6" borderId="10" xfId="421" applyNumberFormat="1" applyFont="1" applyFill="1" applyBorder="1"/>
    <xf numFmtId="0" fontId="28" fillId="2" borderId="2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horizontal="center" vertical="center" wrapText="1"/>
    </xf>
    <xf numFmtId="10" fontId="28" fillId="2" borderId="4" xfId="421" applyNumberFormat="1" applyFont="1" applyFill="1" applyBorder="1"/>
    <xf numFmtId="10" fontId="28" fillId="2" borderId="5" xfId="421" applyNumberFormat="1" applyFont="1" applyFill="1" applyBorder="1"/>
    <xf numFmtId="3" fontId="29" fillId="2" borderId="8" xfId="421" applyNumberFormat="1" applyFont="1" applyFill="1" applyBorder="1"/>
    <xf numFmtId="10" fontId="29" fillId="4" borderId="9" xfId="421" applyNumberFormat="1" applyFont="1" applyFill="1" applyBorder="1"/>
    <xf numFmtId="10" fontId="28" fillId="2" borderId="2" xfId="421" applyNumberFormat="1" applyFont="1" applyFill="1" applyBorder="1"/>
    <xf numFmtId="10" fontId="28" fillId="2" borderId="3" xfId="421" applyNumberFormat="1" applyFont="1" applyFill="1" applyBorder="1"/>
    <xf numFmtId="10" fontId="29" fillId="2" borderId="6" xfId="421" applyNumberFormat="1" applyFont="1" applyFill="1" applyBorder="1"/>
    <xf numFmtId="10" fontId="29" fillId="2" borderId="7" xfId="421" applyNumberFormat="1" applyFont="1" applyFill="1" applyBorder="1"/>
    <xf numFmtId="10" fontId="29" fillId="2" borderId="10" xfId="421" applyNumberFormat="1" applyFont="1" applyFill="1" applyBorder="1"/>
    <xf numFmtId="10" fontId="29" fillId="2" borderId="11" xfId="421" applyNumberFormat="1" applyFont="1" applyFill="1" applyBorder="1"/>
    <xf numFmtId="0" fontId="30" fillId="10" borderId="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10" fontId="30" fillId="10" borderId="4" xfId="421" applyNumberFormat="1" applyFont="1" applyFill="1" applyBorder="1"/>
    <xf numFmtId="10" fontId="30" fillId="10" borderId="5" xfId="421" applyNumberFormat="1" applyFont="1" applyFill="1" applyBorder="1"/>
    <xf numFmtId="3" fontId="31" fillId="10" borderId="8" xfId="421" applyNumberFormat="1" applyFont="1" applyFill="1" applyBorder="1"/>
    <xf numFmtId="10" fontId="30" fillId="10" borderId="2" xfId="421" applyNumberFormat="1" applyFont="1" applyFill="1" applyBorder="1"/>
    <xf numFmtId="10" fontId="30" fillId="10" borderId="3" xfId="421" applyNumberFormat="1" applyFont="1" applyFill="1" applyBorder="1"/>
    <xf numFmtId="10" fontId="31" fillId="10" borderId="6" xfId="421" applyNumberFormat="1" applyFont="1" applyFill="1" applyBorder="1"/>
    <xf numFmtId="10" fontId="31" fillId="10" borderId="7" xfId="421" applyNumberFormat="1" applyFont="1" applyFill="1" applyBorder="1"/>
    <xf numFmtId="10" fontId="31" fillId="10" borderId="10" xfId="421" applyNumberFormat="1" applyFont="1" applyFill="1" applyBorder="1"/>
    <xf numFmtId="10" fontId="31" fillId="10" borderId="11" xfId="421" applyNumberFormat="1" applyFont="1" applyFill="1" applyBorder="1"/>
    <xf numFmtId="10" fontId="30" fillId="5" borderId="2" xfId="421" applyNumberFormat="1" applyFont="1" applyFill="1" applyBorder="1"/>
    <xf numFmtId="10" fontId="30" fillId="5" borderId="3" xfId="421" applyNumberFormat="1" applyFont="1" applyFill="1" applyBorder="1"/>
    <xf numFmtId="10" fontId="30" fillId="5" borderId="4" xfId="421" applyNumberFormat="1" applyFont="1" applyFill="1" applyBorder="1"/>
    <xf numFmtId="10" fontId="30" fillId="5" borderId="5" xfId="421" applyNumberFormat="1" applyFont="1" applyFill="1" applyBorder="1"/>
    <xf numFmtId="10" fontId="31" fillId="5" borderId="6" xfId="421" applyNumberFormat="1" applyFont="1" applyFill="1" applyBorder="1"/>
    <xf numFmtId="10" fontId="31" fillId="5" borderId="7" xfId="421" applyNumberFormat="1" applyFont="1" applyFill="1" applyBorder="1"/>
    <xf numFmtId="10" fontId="31" fillId="5" borderId="10" xfId="421" applyNumberFormat="1" applyFont="1" applyFill="1" applyBorder="1"/>
    <xf numFmtId="10" fontId="31" fillId="5" borderId="11" xfId="421" applyNumberFormat="1" applyFont="1" applyFill="1" applyBorder="1"/>
    <xf numFmtId="3" fontId="31" fillId="5" borderId="8" xfId="421" applyNumberFormat="1" applyFont="1" applyFill="1" applyBorder="1"/>
    <xf numFmtId="0" fontId="30" fillId="5" borderId="2" xfId="0" applyFont="1" applyFill="1" applyBorder="1" applyAlignment="1">
      <alignment horizontal="center" vertical="center" wrapText="1"/>
    </xf>
    <xf numFmtId="0" fontId="30" fillId="5" borderId="3" xfId="0" applyFont="1" applyFill="1" applyBorder="1" applyAlignment="1">
      <alignment horizontal="center" vertical="center" wrapText="1"/>
    </xf>
    <xf numFmtId="10" fontId="25" fillId="4" borderId="9" xfId="421" applyNumberFormat="1" applyFont="1" applyFill="1" applyBorder="1"/>
    <xf numFmtId="0" fontId="21" fillId="0" borderId="20" xfId="0" applyFont="1" applyBorder="1"/>
    <xf numFmtId="0" fontId="21" fillId="0" borderId="14" xfId="0" applyFont="1" applyBorder="1"/>
    <xf numFmtId="0" fontId="21" fillId="0" borderId="21" xfId="0" applyFont="1" applyBorder="1"/>
    <xf numFmtId="0" fontId="21" fillId="0" borderId="0" xfId="0" applyFont="1" applyFill="1" applyBorder="1"/>
    <xf numFmtId="0" fontId="21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13" xfId="0" applyFont="1" applyBorder="1" applyAlignment="1">
      <alignment horizontal="center"/>
    </xf>
    <xf numFmtId="0" fontId="22" fillId="0" borderId="0" xfId="504" applyFont="1" applyBorder="1" applyAlignment="1">
      <alignment horizontal="right"/>
    </xf>
    <xf numFmtId="0" fontId="5" fillId="6" borderId="0" xfId="0" applyFont="1" applyFill="1" applyAlignment="1">
      <alignment horizontal="right" readingOrder="2"/>
    </xf>
    <xf numFmtId="0" fontId="5" fillId="6" borderId="0" xfId="0" applyFont="1" applyFill="1" applyBorder="1" applyAlignment="1">
      <alignment horizontal="right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"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David"/>
        <family val="2"/>
        <charset val="177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D9D9D9"/>
      <color rgb="FFDAEEF3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306112</xdr:colOff>
      <xdr:row>1</xdr:row>
      <xdr:rowOff>112059</xdr:rowOff>
    </xdr:from>
    <xdr:to>
      <xdr:col>5</xdr:col>
      <xdr:colOff>619312</xdr:colOff>
      <xdr:row>2</xdr:row>
      <xdr:rowOff>182465</xdr:rowOff>
    </xdr:to>
    <xdr:pic>
      <xdr:nvPicPr>
        <xdr:cNvPr id="3" name="תמונה 2" descr="מסמך נגיש">
          <a:extLst>
            <a:ext uri="{FF2B5EF4-FFF2-40B4-BE49-F238E27FC236}">
              <a16:creationId xmlns:a16="http://schemas.microsoft.com/office/drawing/2014/main" id="{20BCCC85-E22C-4EBF-910D-AF6403BB0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1451865" y="354853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9BF0C-EEDB-4472-8564-6798566125ED}" name="טבלה1" displayName="טבלה1" ref="B5:Z37" totalsRowShown="0" tableBorderDxfId="2">
  <autoFilter ref="B5:Z37" xr:uid="{7AD9BF0C-EEDB-4472-8564-6798566125ED}"/>
  <tableColumns count="25">
    <tableColumn id="1" xr3:uid="{127C206C-26E0-4DB8-A4B5-B2F61E2605B7}" name="אפיקי השקעה:"/>
    <tableColumn id="2" xr3:uid="{9296540A-23BA-4D42-AC0D-AA2C5F986AEF}" name="התרומה לתשואה ינואר 2019"/>
    <tableColumn id="3" xr3:uid="{9E8037C1-A037-435E-A90F-963D624D28A3}" name="שיעור מסך הנכסים ינואר 2019"/>
    <tableColumn id="4" xr3:uid="{5EC16C28-E10D-43E8-BEA5-F13F7C952332}" name="התרומה לתשואה פברואר 2019"/>
    <tableColumn id="5" xr3:uid="{6B1D1516-3CBF-4117-B5DA-05AD8DFBD0F8}" name="שיעור מסך הנכסים פברואר 2019"/>
    <tableColumn id="6" xr3:uid="{3090CF8A-2A8F-4D7C-8254-7DDB936D51C7}" name="התרומה לתשואה מרץ 2019"/>
    <tableColumn id="7" xr3:uid="{3C7DD4D3-3B47-4CF8-A48E-4ED8941A0C3A}" name="שיעור מסך הנכסים מרץ 2019"/>
    <tableColumn id="8" xr3:uid="{F7B17386-A48F-43A3-A4B1-FE6B51F09E37}" name="התרומה לתשואה אפריל 2019"/>
    <tableColumn id="9" xr3:uid="{33354A67-029D-43C2-ACD9-6861C0672F59}" name="שיעור מסך הנכסים אפריל 2019"/>
    <tableColumn id="10" xr3:uid="{E303F266-62E4-485C-916E-D04849AA899C}" name="התרומה לתשואה מאי 2019"/>
    <tableColumn id="11" xr3:uid="{84F52E06-217B-4719-B05D-C4BF52CBB0D6}" name="שיעור מסך הנכסים מאי 2019"/>
    <tableColumn id="12" xr3:uid="{CAFF67A0-2D97-4125-B70B-3D454BAC891C}" name="התרומה לתשואה יוני 2019"/>
    <tableColumn id="13" xr3:uid="{53B0C6E2-3D31-46E3-A24A-A1E8D0AF4860}" name="שיעור מסך הנכסים יוני 2019"/>
    <tableColumn id="14" xr3:uid="{0E78ECD1-CF07-4D30-8473-36323C684B31}" name="התרומה לתשואה יולי 2019"/>
    <tableColumn id="15" xr3:uid="{B2ED7076-C424-41D4-86B7-C698A1E6B67A}" name="שיעור מסך הנכסים יולי 2019"/>
    <tableColumn id="16" xr3:uid="{D08A67F6-F186-4C2C-8EFE-C1B71AB725AF}" name="התרומה לתשואה אוגוסט 2019"/>
    <tableColumn id="17" xr3:uid="{0011AFF6-1197-4358-8A9B-C6008C7ED687}" name="שיעור מסך הנכסים אוגוסט 2019"/>
    <tableColumn id="18" xr3:uid="{D6C710C7-ABFD-4044-97C3-71AB8511A887}" name="התרומה לתשואה ספטמבר 2019"/>
    <tableColumn id="19" xr3:uid="{6DB1D55F-F77D-4091-A1E8-4A9FB4D2F55B}" name="שיעור מסך הנכסים ספטמבר 2019"/>
    <tableColumn id="20" xr3:uid="{4F1576DA-2435-4B8C-BF09-D82FD2B09C2E}" name="התרומה לתשואה אוקטובר 2019"/>
    <tableColumn id="21" xr3:uid="{53A8D823-F99C-4CED-AB43-037790BA26C2}" name="שיעור מסך הנכסים אוקטובר 2019"/>
    <tableColumn id="22" xr3:uid="{58B182E2-572D-4C57-B469-CA1259284F1F}" name="התרומה לתשואה נובמבר 2019"/>
    <tableColumn id="23" xr3:uid="{438B6F35-DD70-4031-AE85-80230DC6CAA9}" name="שיעור מסך הנכסים נובמבר 2019"/>
    <tableColumn id="24" xr3:uid="{E81A28BE-E377-4821-887A-64F7900F4629}" name="התרומה לתשואה דצמבר 2019"/>
    <tableColumn id="25" xr3:uid="{0E52866D-B177-4E4E-877E-DCADEEE4E767}" name="שיעור מסך הנכסים דצמבר 201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6735D6-DB32-46C3-B53F-C5F9E60A0AE8}" name="טבלה2" displayName="טבלה2" ref="B39:J71" totalsRowShown="0" headerRowDxfId="1" tableBorderDxfId="0">
  <autoFilter ref="B39:J71" xr:uid="{B26735D6-DB32-46C3-B53F-C5F9E60A0AE8}"/>
  <tableColumns count="9">
    <tableColumn id="1" xr3:uid="{4E9A7B88-C2D5-44B6-8F16-DD01950A1D9B}" name="נתונים מצטברים"/>
    <tableColumn id="2" xr3:uid="{038C7A97-7CAB-4B67-A0E9-00B2B4DA6207}" name="התרומה לתשואה ינואר-מרץ 2019"/>
    <tableColumn id="3" xr3:uid="{9C38EC45-AAD1-4330-98EA-03E389169E77}" name="שיעור מסך הנכסים ינואר-מרץ 2019"/>
    <tableColumn id="4" xr3:uid="{6B1479F3-0AA4-42DC-8CCD-107602717617}" name="התרומה לתשואה ינואר-יוני 2019"/>
    <tableColumn id="5" xr3:uid="{AE4F21CB-4C66-490D-98F2-2DD295FFB974}" name="שיעור מסך הנכסים ינואר-יוני 2019"/>
    <tableColumn id="6" xr3:uid="{87A405D8-142A-4FA0-8FD0-0FFFA641CA36}" name="התרומה לתשואה ינואר-ספטמבר 2019"/>
    <tableColumn id="7" xr3:uid="{96A3AB5A-C414-4F1E-89FA-EF2FDDBFB821}" name="שיעור מסך הנכסים ינואר-ספטמבר 2019"/>
    <tableColumn id="8" xr3:uid="{8489BA6C-64E1-4DC9-A356-2F4FD6BA155B}" name="התרומה לתשואה ינואר-דצמבר 2019"/>
    <tableColumn id="9" xr3:uid="{B788A0A7-F27B-424B-B197-51CE4F727B3C}" name="שיעור מסך הנכסים ינואר-דצמבר 2019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8"/>
  <sheetViews>
    <sheetView rightToLeft="1" tabSelected="1" topLeftCell="B1" zoomScale="51" zoomScaleNormal="51" workbookViewId="0">
      <selection activeCell="B72" sqref="B1:Z72"/>
    </sheetView>
  </sheetViews>
  <sheetFormatPr defaultColWidth="9.125" defaultRowHeight="15" x14ac:dyDescent="0.25"/>
  <cols>
    <col min="1" max="1" width="2.125" style="1" hidden="1" customWidth="1"/>
    <col min="2" max="2" width="31.25" style="1" customWidth="1"/>
    <col min="3" max="3" width="29" style="1" bestFit="1" customWidth="1"/>
    <col min="4" max="4" width="30.375" style="1" bestFit="1" customWidth="1"/>
    <col min="5" max="5" width="28.625" style="1" bestFit="1" customWidth="1"/>
    <col min="6" max="6" width="28.25" style="1" customWidth="1"/>
    <col min="7" max="7" width="31.5" style="1" customWidth="1"/>
    <col min="8" max="8" width="33.5" style="1" customWidth="1"/>
    <col min="9" max="9" width="31" style="1" customWidth="1"/>
    <col min="10" max="10" width="33" style="1" customWidth="1"/>
    <col min="11" max="11" width="19.75" style="1" customWidth="1"/>
    <col min="12" max="12" width="20.75" style="1" customWidth="1"/>
    <col min="13" max="13" width="19.375" style="1" customWidth="1"/>
    <col min="14" max="14" width="20.25" style="1" customWidth="1"/>
    <col min="15" max="15" width="19.625" style="1" customWidth="1"/>
    <col min="16" max="16" width="20.5" style="1" customWidth="1"/>
    <col min="17" max="17" width="21.875" style="1" customWidth="1"/>
    <col min="18" max="18" width="22.875" style="1" customWidth="1"/>
    <col min="19" max="19" width="22.375" style="1" customWidth="1"/>
    <col min="20" max="20" width="23.375" style="1" customWidth="1"/>
    <col min="21" max="21" width="22.625" style="1" customWidth="1"/>
    <col min="22" max="22" width="23.625" style="1" customWidth="1"/>
    <col min="23" max="23" width="21.5" style="1" customWidth="1"/>
    <col min="24" max="24" width="22.375" style="1" customWidth="1"/>
    <col min="25" max="25" width="21.25" style="1" customWidth="1"/>
    <col min="26" max="26" width="22.125" style="1" customWidth="1"/>
    <col min="27" max="16384" width="9.125" style="1"/>
  </cols>
  <sheetData>
    <row r="1" spans="2:26" ht="18.75" x14ac:dyDescent="0.3"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2:26" ht="18.75" x14ac:dyDescent="0.3">
      <c r="B2" s="101" t="s">
        <v>61</v>
      </c>
      <c r="C2" s="101"/>
      <c r="D2" s="101"/>
      <c r="E2" s="101"/>
      <c r="F2" s="97" t="s">
        <v>66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spans="2:26" ht="18.75" x14ac:dyDescent="0.3">
      <c r="B3" s="102" t="s">
        <v>62</v>
      </c>
      <c r="C3" s="102"/>
      <c r="D3" s="102"/>
      <c r="E3" s="102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2:26" x14ac:dyDescent="0.25">
      <c r="B4" s="5">
        <v>2019</v>
      </c>
      <c r="C4" s="99">
        <v>5</v>
      </c>
      <c r="D4" s="99"/>
      <c r="E4" s="99">
        <f>C4+1</f>
        <v>6</v>
      </c>
      <c r="F4" s="99"/>
      <c r="G4" s="99">
        <f>E4+1</f>
        <v>7</v>
      </c>
      <c r="H4" s="99"/>
      <c r="I4" s="99">
        <f>G4+1</f>
        <v>8</v>
      </c>
      <c r="J4" s="99"/>
      <c r="K4" s="99">
        <f>I4+1</f>
        <v>9</v>
      </c>
      <c r="L4" s="99"/>
      <c r="M4" s="99">
        <f>K4+1</f>
        <v>10</v>
      </c>
      <c r="N4" s="99"/>
      <c r="O4" s="99">
        <f>M4+1</f>
        <v>11</v>
      </c>
      <c r="P4" s="99"/>
      <c r="Q4" s="99">
        <f>O4+1</f>
        <v>12</v>
      </c>
      <c r="R4" s="99"/>
      <c r="S4" s="99">
        <f>Q4+1</f>
        <v>13</v>
      </c>
      <c r="T4" s="99"/>
      <c r="U4" s="99">
        <f>S4+1</f>
        <v>14</v>
      </c>
      <c r="V4" s="99"/>
      <c r="W4" s="99">
        <f>U4+1</f>
        <v>15</v>
      </c>
      <c r="X4" s="99"/>
      <c r="Y4" s="99">
        <f>W4+1</f>
        <v>16</v>
      </c>
      <c r="Z4" s="99"/>
    </row>
    <row r="5" spans="2:26" x14ac:dyDescent="0.25">
      <c r="B5" s="31" t="s">
        <v>25</v>
      </c>
      <c r="C5" s="32" t="s">
        <v>26</v>
      </c>
      <c r="D5" s="33" t="s">
        <v>27</v>
      </c>
      <c r="E5" s="32" t="s">
        <v>28</v>
      </c>
      <c r="F5" s="33" t="s">
        <v>29</v>
      </c>
      <c r="G5" s="32" t="s">
        <v>30</v>
      </c>
      <c r="H5" s="33" t="s">
        <v>31</v>
      </c>
      <c r="I5" s="32" t="s">
        <v>32</v>
      </c>
      <c r="J5" s="33" t="s">
        <v>33</v>
      </c>
      <c r="K5" s="32" t="s">
        <v>34</v>
      </c>
      <c r="L5" s="33" t="s">
        <v>35</v>
      </c>
      <c r="M5" s="34" t="s">
        <v>36</v>
      </c>
      <c r="N5" s="35" t="s">
        <v>37</v>
      </c>
      <c r="O5" s="32" t="s">
        <v>38</v>
      </c>
      <c r="P5" s="33" t="s">
        <v>39</v>
      </c>
      <c r="Q5" s="34" t="s">
        <v>40</v>
      </c>
      <c r="R5" s="35" t="s">
        <v>41</v>
      </c>
      <c r="S5" s="32" t="s">
        <v>42</v>
      </c>
      <c r="T5" s="33" t="s">
        <v>43</v>
      </c>
      <c r="U5" s="34" t="s">
        <v>44</v>
      </c>
      <c r="V5" s="35" t="s">
        <v>45</v>
      </c>
      <c r="W5" s="32" t="s">
        <v>46</v>
      </c>
      <c r="X5" s="33" t="s">
        <v>47</v>
      </c>
      <c r="Y5" s="34" t="s">
        <v>48</v>
      </c>
      <c r="Z5" s="36" t="s">
        <v>49</v>
      </c>
    </row>
    <row r="6" spans="2:26" x14ac:dyDescent="0.25">
      <c r="B6" s="8" t="s">
        <v>1</v>
      </c>
      <c r="C6" s="9">
        <v>-1E-4</v>
      </c>
      <c r="D6" s="10">
        <v>1.49971239562815E-2</v>
      </c>
      <c r="E6" s="9">
        <v>0</v>
      </c>
      <c r="F6" s="10">
        <v>2.2301101015754301E-2</v>
      </c>
      <c r="G6" s="9">
        <v>0</v>
      </c>
      <c r="H6" s="10">
        <v>2.8411849430351702E-2</v>
      </c>
      <c r="I6" s="9">
        <v>0</v>
      </c>
      <c r="J6" s="10">
        <v>3.1602791451936799E-2</v>
      </c>
      <c r="K6" s="9">
        <v>0</v>
      </c>
      <c r="L6" s="10">
        <v>3.6609324619207698E-2</v>
      </c>
      <c r="M6" s="11">
        <v>0</v>
      </c>
      <c r="N6" s="12">
        <v>3.4789602644537503E-2</v>
      </c>
      <c r="O6" s="9">
        <v>-1E-4</v>
      </c>
      <c r="P6" s="10">
        <v>4.71557178333782E-2</v>
      </c>
      <c r="Q6" s="11">
        <v>0</v>
      </c>
      <c r="R6" s="12">
        <v>3.4865541485336903E-2</v>
      </c>
      <c r="S6" s="9">
        <v>-1E-4</v>
      </c>
      <c r="T6" s="10">
        <v>3.7136348814750399E-2</v>
      </c>
      <c r="U6" s="11">
        <v>1E-4</v>
      </c>
      <c r="V6" s="12">
        <v>5.8835519053829499E-2</v>
      </c>
      <c r="W6" s="9">
        <v>0</v>
      </c>
      <c r="X6" s="10">
        <v>1.5422288301580401E-2</v>
      </c>
      <c r="Y6" s="11">
        <v>2.9999999999999997E-4</v>
      </c>
      <c r="Z6" s="13">
        <v>3.49E-2</v>
      </c>
    </row>
    <row r="7" spans="2:26" x14ac:dyDescent="0.25">
      <c r="B7" s="14" t="s">
        <v>2</v>
      </c>
      <c r="C7" s="9">
        <v>1.43E-2</v>
      </c>
      <c r="D7" s="10">
        <v>0.67412173485967997</v>
      </c>
      <c r="E7" s="9">
        <v>4.4999999999999997E-3</v>
      </c>
      <c r="F7" s="10">
        <v>0.66266871026760099</v>
      </c>
      <c r="G7" s="9">
        <v>1.5900000000000001E-2</v>
      </c>
      <c r="H7" s="10">
        <v>0.66046009689044805</v>
      </c>
      <c r="I7" s="9">
        <v>1.01E-2</v>
      </c>
      <c r="J7" s="10">
        <v>0.66246498208153004</v>
      </c>
      <c r="K7" s="9">
        <v>3.8999999999999998E-3</v>
      </c>
      <c r="L7" s="10">
        <v>0.66510711302567005</v>
      </c>
      <c r="M7" s="11">
        <v>9.1000000000000004E-3</v>
      </c>
      <c r="N7" s="12">
        <v>0.66749697638918504</v>
      </c>
      <c r="O7" s="9">
        <v>1.9599999999999999E-2</v>
      </c>
      <c r="P7" s="10">
        <v>0.65639761366530103</v>
      </c>
      <c r="Q7" s="11">
        <v>1.52E-2</v>
      </c>
      <c r="R7" s="12">
        <v>0.66653706731090001</v>
      </c>
      <c r="S7" s="9">
        <v>6.8999999999999999E-3</v>
      </c>
      <c r="T7" s="10">
        <v>0.66169181836796698</v>
      </c>
      <c r="U7" s="11">
        <v>6.6E-3</v>
      </c>
      <c r="V7" s="12">
        <v>0.635931465104557</v>
      </c>
      <c r="W7" s="9">
        <v>6.9999999999999999E-4</v>
      </c>
      <c r="X7" s="10">
        <v>0.67366391900530598</v>
      </c>
      <c r="Y7" s="11">
        <v>1.6999999999999999E-3</v>
      </c>
      <c r="Z7" s="13">
        <v>0.6603</v>
      </c>
    </row>
    <row r="8" spans="2:26" x14ac:dyDescent="0.25">
      <c r="B8" s="14" t="s">
        <v>3</v>
      </c>
      <c r="C8" s="9">
        <v>0</v>
      </c>
      <c r="D8" s="10">
        <v>0</v>
      </c>
      <c r="E8" s="9">
        <v>0</v>
      </c>
      <c r="F8" s="10">
        <v>0</v>
      </c>
      <c r="G8" s="9">
        <v>0</v>
      </c>
      <c r="H8" s="10">
        <v>0</v>
      </c>
      <c r="I8" s="9">
        <v>0</v>
      </c>
      <c r="J8" s="10">
        <v>0</v>
      </c>
      <c r="K8" s="9">
        <v>0</v>
      </c>
      <c r="L8" s="10">
        <v>0</v>
      </c>
      <c r="M8" s="11">
        <v>0</v>
      </c>
      <c r="N8" s="12">
        <v>0</v>
      </c>
      <c r="O8" s="9">
        <v>0</v>
      </c>
      <c r="P8" s="10">
        <v>0</v>
      </c>
      <c r="Q8" s="11">
        <v>0</v>
      </c>
      <c r="R8" s="12">
        <v>0</v>
      </c>
      <c r="S8" s="9">
        <v>0</v>
      </c>
      <c r="T8" s="10">
        <v>0</v>
      </c>
      <c r="U8" s="11">
        <v>0</v>
      </c>
      <c r="V8" s="12">
        <v>0</v>
      </c>
      <c r="W8" s="9">
        <v>0</v>
      </c>
      <c r="X8" s="10">
        <v>0</v>
      </c>
      <c r="Y8" s="11">
        <v>0</v>
      </c>
      <c r="Z8" s="13">
        <v>0</v>
      </c>
    </row>
    <row r="9" spans="2:26" x14ac:dyDescent="0.25">
      <c r="B9" s="14" t="s">
        <v>4</v>
      </c>
      <c r="C9" s="9">
        <v>0</v>
      </c>
      <c r="D9" s="10">
        <v>0</v>
      </c>
      <c r="E9" s="9">
        <v>0</v>
      </c>
      <c r="F9" s="10">
        <v>0</v>
      </c>
      <c r="G9" s="9">
        <v>0</v>
      </c>
      <c r="H9" s="10">
        <v>0</v>
      </c>
      <c r="I9" s="9">
        <v>0</v>
      </c>
      <c r="J9" s="10">
        <v>0</v>
      </c>
      <c r="K9" s="9">
        <v>0</v>
      </c>
      <c r="L9" s="10">
        <v>0</v>
      </c>
      <c r="M9" s="11">
        <v>0</v>
      </c>
      <c r="N9" s="12">
        <v>0</v>
      </c>
      <c r="O9" s="9">
        <v>0</v>
      </c>
      <c r="P9" s="10">
        <v>0</v>
      </c>
      <c r="Q9" s="11">
        <v>0</v>
      </c>
      <c r="R9" s="12">
        <v>0</v>
      </c>
      <c r="S9" s="9">
        <v>0</v>
      </c>
      <c r="T9" s="10">
        <v>0</v>
      </c>
      <c r="U9" s="11">
        <v>0</v>
      </c>
      <c r="V9" s="12">
        <v>0</v>
      </c>
      <c r="W9" s="9">
        <v>0</v>
      </c>
      <c r="X9" s="10">
        <v>0</v>
      </c>
      <c r="Y9" s="11">
        <v>0</v>
      </c>
      <c r="Z9" s="13">
        <v>0</v>
      </c>
    </row>
    <row r="10" spans="2:26" x14ac:dyDescent="0.25">
      <c r="B10" s="14" t="s">
        <v>5</v>
      </c>
      <c r="C10" s="9">
        <v>1E-3</v>
      </c>
      <c r="D10" s="10">
        <v>5.9053024465564902E-2</v>
      </c>
      <c r="E10" s="9">
        <v>8.0000000000000004E-4</v>
      </c>
      <c r="F10" s="10">
        <v>6.2914217232529698E-2</v>
      </c>
      <c r="G10" s="9">
        <v>1E-3</v>
      </c>
      <c r="H10" s="10">
        <v>6.4172170192477798E-2</v>
      </c>
      <c r="I10" s="9">
        <v>5.0000000000000001E-4</v>
      </c>
      <c r="J10" s="10">
        <v>6.3745220737443806E-2</v>
      </c>
      <c r="K10" s="9">
        <v>1E-4</v>
      </c>
      <c r="L10" s="10">
        <v>5.7145391897831702E-2</v>
      </c>
      <c r="M10" s="11">
        <v>5.9999999999999995E-4</v>
      </c>
      <c r="N10" s="12">
        <v>5.6718332186327103E-2</v>
      </c>
      <c r="O10" s="9">
        <v>6.9999999999999999E-4</v>
      </c>
      <c r="P10" s="10">
        <v>5.97726588657706E-2</v>
      </c>
      <c r="Q10" s="11">
        <v>-2.0000000000000001E-4</v>
      </c>
      <c r="R10" s="12">
        <v>5.8636845241603001E-2</v>
      </c>
      <c r="S10" s="9">
        <v>5.0000000000000001E-4</v>
      </c>
      <c r="T10" s="10">
        <v>5.8706435606045902E-2</v>
      </c>
      <c r="U10" s="11">
        <v>1E-4</v>
      </c>
      <c r="V10" s="12">
        <v>6.0524931777033303E-2</v>
      </c>
      <c r="W10" s="9">
        <v>1E-4</v>
      </c>
      <c r="X10" s="10">
        <v>5.9596979696694197E-2</v>
      </c>
      <c r="Y10" s="11">
        <v>-1E-4</v>
      </c>
      <c r="Z10" s="13">
        <v>5.9200000000000003E-2</v>
      </c>
    </row>
    <row r="11" spans="2:26" x14ac:dyDescent="0.25">
      <c r="B11" s="14" t="s">
        <v>6</v>
      </c>
      <c r="C11" s="9">
        <v>6.9999999999999999E-4</v>
      </c>
      <c r="D11" s="10">
        <v>2.2180252620637601E-2</v>
      </c>
      <c r="E11" s="9">
        <v>2.9999999999999997E-4</v>
      </c>
      <c r="F11" s="10">
        <v>2.2136415139641898E-2</v>
      </c>
      <c r="G11" s="9">
        <v>2.9999999999999997E-4</v>
      </c>
      <c r="H11" s="10">
        <v>2.1630689929417201E-2</v>
      </c>
      <c r="I11" s="9">
        <v>2.9999999999999997E-4</v>
      </c>
      <c r="J11" s="10">
        <v>2.1410383366029E-2</v>
      </c>
      <c r="K11" s="9">
        <v>0</v>
      </c>
      <c r="L11" s="10">
        <v>2.1370198919283701E-2</v>
      </c>
      <c r="M11" s="11">
        <v>4.0000000000000002E-4</v>
      </c>
      <c r="N11" s="12">
        <v>2.1358949828555299E-2</v>
      </c>
      <c r="O11" s="9">
        <v>5.0000000000000001E-4</v>
      </c>
      <c r="P11" s="10">
        <v>2.0937296784680801E-2</v>
      </c>
      <c r="Q11" s="11">
        <v>-1E-4</v>
      </c>
      <c r="R11" s="12">
        <v>2.0638356534297599E-2</v>
      </c>
      <c r="S11" s="9">
        <v>1E-4</v>
      </c>
      <c r="T11" s="10">
        <v>2.0590569718714001E-2</v>
      </c>
      <c r="U11" s="11">
        <v>1E-4</v>
      </c>
      <c r="V11" s="12">
        <v>2.0180272518890301E-2</v>
      </c>
      <c r="W11" s="9">
        <v>1E-4</v>
      </c>
      <c r="X11" s="10">
        <v>2.0266260851732502E-2</v>
      </c>
      <c r="Y11" s="11">
        <v>0</v>
      </c>
      <c r="Z11" s="13">
        <v>1.9800000000000002E-2</v>
      </c>
    </row>
    <row r="12" spans="2:26" x14ac:dyDescent="0.25">
      <c r="B12" s="14" t="s">
        <v>7</v>
      </c>
      <c r="C12" s="9">
        <v>2.8E-3</v>
      </c>
      <c r="D12" s="10">
        <v>5.6679598146030602E-2</v>
      </c>
      <c r="E12" s="9">
        <v>6.9999999999999999E-4</v>
      </c>
      <c r="F12" s="10">
        <v>5.5698202569671999E-2</v>
      </c>
      <c r="G12" s="9">
        <v>-1E-4</v>
      </c>
      <c r="H12" s="10">
        <v>5.4610975242322397E-2</v>
      </c>
      <c r="I12" s="9">
        <v>1.8E-3</v>
      </c>
      <c r="J12" s="10">
        <v>5.1970470451850097E-2</v>
      </c>
      <c r="K12" s="9">
        <v>-5.0000000000000001E-4</v>
      </c>
      <c r="L12" s="10">
        <v>5.2031547787521601E-2</v>
      </c>
      <c r="M12" s="11">
        <v>1.6999999999999999E-3</v>
      </c>
      <c r="N12" s="12">
        <v>5.1854705290028003E-2</v>
      </c>
      <c r="O12" s="9">
        <v>8.9999999999999998E-4</v>
      </c>
      <c r="P12" s="10">
        <v>5.3334525226655501E-2</v>
      </c>
      <c r="Q12" s="11">
        <v>-5.0000000000000001E-4</v>
      </c>
      <c r="R12" s="12">
        <v>5.4644639779419801E-2</v>
      </c>
      <c r="S12" s="9">
        <v>1.6000000000000001E-3</v>
      </c>
      <c r="T12" s="10">
        <v>5.6685025226803902E-2</v>
      </c>
      <c r="U12" s="11">
        <v>1.9E-3</v>
      </c>
      <c r="V12" s="12">
        <v>5.6802704393639103E-2</v>
      </c>
      <c r="W12" s="9">
        <v>1.6000000000000001E-3</v>
      </c>
      <c r="X12" s="10">
        <v>5.9348935913185602E-2</v>
      </c>
      <c r="Y12" s="11">
        <v>-2.0000000000000001E-4</v>
      </c>
      <c r="Z12" s="13">
        <v>5.4399999999999997E-2</v>
      </c>
    </row>
    <row r="13" spans="2:26" x14ac:dyDescent="0.25">
      <c r="B13" s="14" t="s">
        <v>58</v>
      </c>
      <c r="C13" s="9">
        <v>3.0000000000000001E-3</v>
      </c>
      <c r="D13" s="10">
        <v>7.3003429393229097E-2</v>
      </c>
      <c r="E13" s="9">
        <v>1.6000000000000001E-3</v>
      </c>
      <c r="F13" s="10">
        <v>7.3797136407026495E-2</v>
      </c>
      <c r="G13" s="9">
        <v>5.9999999999999995E-4</v>
      </c>
      <c r="H13" s="10">
        <v>7.1468189224308198E-2</v>
      </c>
      <c r="I13" s="9">
        <v>1.6000000000000001E-3</v>
      </c>
      <c r="J13" s="10">
        <v>6.7573926899924502E-2</v>
      </c>
      <c r="K13" s="9">
        <v>-1.9E-3</v>
      </c>
      <c r="L13" s="10">
        <v>6.5115496632370096E-2</v>
      </c>
      <c r="M13" s="11">
        <v>1.6999999999999999E-3</v>
      </c>
      <c r="N13" s="12">
        <v>6.5080051294092001E-2</v>
      </c>
      <c r="O13" s="9">
        <v>-4.0000000000000002E-4</v>
      </c>
      <c r="P13" s="10">
        <v>6.2480342619489503E-2</v>
      </c>
      <c r="Q13" s="11">
        <v>-6.9999999999999999E-4</v>
      </c>
      <c r="R13" s="12">
        <v>6.3846957493298107E-2</v>
      </c>
      <c r="S13" s="9">
        <v>1E-3</v>
      </c>
      <c r="T13" s="10">
        <v>6.4298682750475095E-2</v>
      </c>
      <c r="U13" s="11">
        <v>1.4E-3</v>
      </c>
      <c r="V13" s="12">
        <v>6.5073219805493396E-2</v>
      </c>
      <c r="W13" s="9">
        <v>6.9999999999999999E-4</v>
      </c>
      <c r="X13" s="10">
        <v>6.8231578681579697E-2</v>
      </c>
      <c r="Y13" s="11">
        <v>8.9999999999999998E-4</v>
      </c>
      <c r="Z13" s="13">
        <v>6.5600000000000006E-2</v>
      </c>
    </row>
    <row r="14" spans="2:26" x14ac:dyDescent="0.25">
      <c r="B14" s="14" t="s">
        <v>8</v>
      </c>
      <c r="C14" s="9">
        <v>0</v>
      </c>
      <c r="D14" s="10">
        <v>3.81858591734673E-3</v>
      </c>
      <c r="E14" s="9">
        <v>0</v>
      </c>
      <c r="F14" s="10">
        <v>3.8477035033504499E-3</v>
      </c>
      <c r="G14" s="9">
        <v>1E-4</v>
      </c>
      <c r="H14" s="10">
        <v>3.9289343051525901E-3</v>
      </c>
      <c r="I14" s="9">
        <v>0</v>
      </c>
      <c r="J14" s="10">
        <v>3.6253727515104198E-3</v>
      </c>
      <c r="K14" s="9">
        <v>-1E-4</v>
      </c>
      <c r="L14" s="10">
        <v>3.5151785456092599E-3</v>
      </c>
      <c r="M14" s="11">
        <v>0</v>
      </c>
      <c r="N14" s="12">
        <v>3.5106059559598698E-3</v>
      </c>
      <c r="O14" s="9">
        <v>-1E-4</v>
      </c>
      <c r="P14" s="10">
        <v>3.2799874635454601E-3</v>
      </c>
      <c r="Q14" s="11">
        <v>-1E-4</v>
      </c>
      <c r="R14" s="12">
        <v>4.1270282697062101E-3</v>
      </c>
      <c r="S14" s="9">
        <v>1E-4</v>
      </c>
      <c r="T14" s="10">
        <v>4.6860543791903504E-3</v>
      </c>
      <c r="U14" s="11">
        <v>2.9999999999999997E-4</v>
      </c>
      <c r="V14" s="12">
        <v>4.8960867988711403E-3</v>
      </c>
      <c r="W14" s="9">
        <v>0</v>
      </c>
      <c r="X14" s="10">
        <v>5.8071894972552404E-3</v>
      </c>
      <c r="Y14" s="11">
        <v>1E-4</v>
      </c>
      <c r="Z14" s="13">
        <v>5.8999999999999999E-3</v>
      </c>
    </row>
    <row r="15" spans="2:26" x14ac:dyDescent="0.25">
      <c r="B15" s="14" t="s">
        <v>9</v>
      </c>
      <c r="C15" s="9">
        <v>-1E-3</v>
      </c>
      <c r="D15" s="10">
        <v>4.8970928024055997E-2</v>
      </c>
      <c r="E15" s="9">
        <v>-2.9999999999999997E-4</v>
      </c>
      <c r="F15" s="10">
        <v>5.0060862609847503E-2</v>
      </c>
      <c r="G15" s="9">
        <v>4.0000000000000002E-4</v>
      </c>
      <c r="H15" s="10">
        <v>5.0174336788848001E-2</v>
      </c>
      <c r="I15" s="9">
        <v>-2.0000000000000001E-4</v>
      </c>
      <c r="J15" s="10">
        <v>5.3240344224986698E-2</v>
      </c>
      <c r="K15" s="9">
        <v>1E-3</v>
      </c>
      <c r="L15" s="10">
        <v>5.5069884007291098E-2</v>
      </c>
      <c r="M15" s="11">
        <v>-4.0000000000000002E-4</v>
      </c>
      <c r="N15" s="12">
        <v>5.5891698504520297E-2</v>
      </c>
      <c r="O15" s="9">
        <v>-2.9999999999999997E-4</v>
      </c>
      <c r="P15" s="10">
        <v>5.4797422568440203E-2</v>
      </c>
      <c r="Q15" s="11">
        <v>5.0000000000000001E-4</v>
      </c>
      <c r="R15" s="12">
        <v>5.5549455522922703E-2</v>
      </c>
      <c r="S15" s="9">
        <v>0</v>
      </c>
      <c r="T15" s="10">
        <v>5.5562304253491901E-2</v>
      </c>
      <c r="U15" s="11">
        <v>8.0000000000000004E-4</v>
      </c>
      <c r="V15" s="12">
        <v>5.7647522895913003E-2</v>
      </c>
      <c r="W15" s="9">
        <v>-5.0000000000000001E-4</v>
      </c>
      <c r="X15" s="10">
        <v>5.7862822761975199E-2</v>
      </c>
      <c r="Y15" s="11">
        <v>5.0000000000000001E-4</v>
      </c>
      <c r="Z15" s="13">
        <v>6.08E-2</v>
      </c>
    </row>
    <row r="16" spans="2:26" x14ac:dyDescent="0.25">
      <c r="B16" s="14" t="s">
        <v>10</v>
      </c>
      <c r="C16" s="9">
        <v>0</v>
      </c>
      <c r="D16" s="10">
        <v>1.7884664482617001E-5</v>
      </c>
      <c r="E16" s="9">
        <v>0</v>
      </c>
      <c r="F16" s="10">
        <v>2.1663253766342801E-5</v>
      </c>
      <c r="G16" s="9">
        <v>0</v>
      </c>
      <c r="H16" s="10">
        <v>2.2521844945561699E-5</v>
      </c>
      <c r="I16" s="9">
        <v>0</v>
      </c>
      <c r="J16" s="10">
        <v>2.1858920353007099E-5</v>
      </c>
      <c r="K16" s="9">
        <v>0</v>
      </c>
      <c r="L16" s="10">
        <v>1.7602477698573601E-5</v>
      </c>
      <c r="M16" s="11">
        <v>0</v>
      </c>
      <c r="N16" s="12">
        <v>2.0141503835157601E-5</v>
      </c>
      <c r="O16" s="9">
        <v>0</v>
      </c>
      <c r="P16" s="10">
        <v>1.28997539017177E-5</v>
      </c>
      <c r="Q16" s="11">
        <v>0</v>
      </c>
      <c r="R16" s="12">
        <v>9.8835308883211294E-6</v>
      </c>
      <c r="S16" s="9">
        <v>0</v>
      </c>
      <c r="T16" s="10">
        <v>3.0234606873132698E-6</v>
      </c>
      <c r="U16" s="11">
        <v>0</v>
      </c>
      <c r="V16" s="12">
        <v>3.78284718953271E-6</v>
      </c>
      <c r="W16" s="9">
        <v>0</v>
      </c>
      <c r="X16" s="10">
        <v>5.1866231443140804E-6</v>
      </c>
      <c r="Y16" s="11">
        <v>0</v>
      </c>
      <c r="Z16" s="13">
        <v>0</v>
      </c>
    </row>
    <row r="17" spans="2:26" x14ac:dyDescent="0.25">
      <c r="B17" s="14" t="s">
        <v>11</v>
      </c>
      <c r="C17" s="9">
        <v>0</v>
      </c>
      <c r="D17" s="10">
        <v>0</v>
      </c>
      <c r="E17" s="9">
        <v>0</v>
      </c>
      <c r="F17" s="10">
        <v>0</v>
      </c>
      <c r="G17" s="9">
        <v>0</v>
      </c>
      <c r="H17" s="10">
        <v>0</v>
      </c>
      <c r="I17" s="9">
        <v>0</v>
      </c>
      <c r="J17" s="10">
        <v>0</v>
      </c>
      <c r="K17" s="9">
        <v>0</v>
      </c>
      <c r="L17" s="10">
        <v>0</v>
      </c>
      <c r="M17" s="11">
        <v>0</v>
      </c>
      <c r="N17" s="12">
        <v>0</v>
      </c>
      <c r="O17" s="9">
        <v>0</v>
      </c>
      <c r="P17" s="10">
        <v>0</v>
      </c>
      <c r="Q17" s="11">
        <v>0</v>
      </c>
      <c r="R17" s="12">
        <v>0</v>
      </c>
      <c r="S17" s="9">
        <v>0</v>
      </c>
      <c r="T17" s="10">
        <v>0</v>
      </c>
      <c r="U17" s="11">
        <v>0</v>
      </c>
      <c r="V17" s="12">
        <v>0</v>
      </c>
      <c r="W17" s="9">
        <v>0</v>
      </c>
      <c r="X17" s="10">
        <v>0</v>
      </c>
      <c r="Y17" s="11">
        <v>0</v>
      </c>
      <c r="Z17" s="13">
        <v>0</v>
      </c>
    </row>
    <row r="18" spans="2:26" x14ac:dyDescent="0.25">
      <c r="B18" s="14" t="s">
        <v>12</v>
      </c>
      <c r="C18" s="9">
        <v>0</v>
      </c>
      <c r="D18" s="10">
        <v>0</v>
      </c>
      <c r="E18" s="9">
        <v>0</v>
      </c>
      <c r="F18" s="10">
        <v>0</v>
      </c>
      <c r="G18" s="9">
        <v>0</v>
      </c>
      <c r="H18" s="10">
        <v>0</v>
      </c>
      <c r="I18" s="9">
        <v>0</v>
      </c>
      <c r="J18" s="10">
        <v>0</v>
      </c>
      <c r="K18" s="9">
        <v>0</v>
      </c>
      <c r="L18" s="10">
        <v>0</v>
      </c>
      <c r="M18" s="11">
        <v>0</v>
      </c>
      <c r="N18" s="12">
        <v>0</v>
      </c>
      <c r="O18" s="9">
        <v>0</v>
      </c>
      <c r="P18" s="10">
        <v>0</v>
      </c>
      <c r="Q18" s="11">
        <v>0</v>
      </c>
      <c r="R18" s="12">
        <v>0</v>
      </c>
      <c r="S18" s="9">
        <v>0</v>
      </c>
      <c r="T18" s="10">
        <v>0</v>
      </c>
      <c r="U18" s="11">
        <v>0</v>
      </c>
      <c r="V18" s="12">
        <v>0</v>
      </c>
      <c r="W18" s="9">
        <v>0</v>
      </c>
      <c r="X18" s="10">
        <v>0</v>
      </c>
      <c r="Y18" s="11">
        <v>0</v>
      </c>
      <c r="Z18" s="13">
        <v>0</v>
      </c>
    </row>
    <row r="19" spans="2:26" x14ac:dyDescent="0.25">
      <c r="B19" s="14" t="s">
        <v>13</v>
      </c>
      <c r="C19" s="9">
        <v>0</v>
      </c>
      <c r="D19" s="10">
        <v>0</v>
      </c>
      <c r="E19" s="9">
        <v>0</v>
      </c>
      <c r="F19" s="10">
        <v>0</v>
      </c>
      <c r="G19" s="9">
        <v>0</v>
      </c>
      <c r="H19" s="10">
        <v>0</v>
      </c>
      <c r="I19" s="9">
        <v>0</v>
      </c>
      <c r="J19" s="10">
        <v>0</v>
      </c>
      <c r="K19" s="9">
        <v>0</v>
      </c>
      <c r="L19" s="10">
        <v>0</v>
      </c>
      <c r="M19" s="11">
        <v>0</v>
      </c>
      <c r="N19" s="12">
        <v>0</v>
      </c>
      <c r="O19" s="9">
        <v>0</v>
      </c>
      <c r="P19" s="10">
        <v>0</v>
      </c>
      <c r="Q19" s="11">
        <v>0</v>
      </c>
      <c r="R19" s="12">
        <v>0</v>
      </c>
      <c r="S19" s="9">
        <v>0</v>
      </c>
      <c r="T19" s="10">
        <v>0</v>
      </c>
      <c r="U19" s="11">
        <v>0</v>
      </c>
      <c r="V19" s="12">
        <v>0</v>
      </c>
      <c r="W19" s="9">
        <v>0</v>
      </c>
      <c r="X19" s="10">
        <v>0</v>
      </c>
      <c r="Y19" s="11">
        <v>0</v>
      </c>
      <c r="Z19" s="13">
        <v>0</v>
      </c>
    </row>
    <row r="20" spans="2:26" x14ac:dyDescent="0.25">
      <c r="B20" s="14" t="s">
        <v>14</v>
      </c>
      <c r="C20" s="9">
        <v>2.9999999999999997E-4</v>
      </c>
      <c r="D20" s="10">
        <v>4.4395082415011902E-2</v>
      </c>
      <c r="E20" s="9">
        <v>0</v>
      </c>
      <c r="F20" s="10">
        <v>4.38166816089018E-2</v>
      </c>
      <c r="G20" s="9">
        <v>2.9999999999999997E-4</v>
      </c>
      <c r="H20" s="10">
        <v>4.2997967634790003E-2</v>
      </c>
      <c r="I20" s="9">
        <v>2.0000000000000001E-4</v>
      </c>
      <c r="J20" s="10">
        <v>4.2240868446828499E-2</v>
      </c>
      <c r="K20" s="9">
        <v>2.9999999999999997E-4</v>
      </c>
      <c r="L20" s="10">
        <v>4.1959399097154002E-2</v>
      </c>
      <c r="M20" s="11">
        <v>2.9999999999999997E-4</v>
      </c>
      <c r="N20" s="12">
        <v>4.1241541036020103E-2</v>
      </c>
      <c r="O20" s="9">
        <v>2.9999999999999997E-4</v>
      </c>
      <c r="P20" s="10">
        <v>3.9966146732916701E-2</v>
      </c>
      <c r="Q20" s="11">
        <v>2.0000000000000001E-4</v>
      </c>
      <c r="R20" s="12">
        <v>3.93375177862859E-2</v>
      </c>
      <c r="S20" s="9">
        <v>1E-4</v>
      </c>
      <c r="T20" s="10">
        <v>3.8846735181188398E-2</v>
      </c>
      <c r="U20" s="11">
        <v>2.9999999999999997E-4</v>
      </c>
      <c r="V20" s="12">
        <v>3.83715207101279E-2</v>
      </c>
      <c r="W20" s="9">
        <v>1E-4</v>
      </c>
      <c r="X20" s="10">
        <v>3.8103780828565803E-2</v>
      </c>
      <c r="Y20" s="11">
        <v>0</v>
      </c>
      <c r="Z20" s="13">
        <v>3.7499999999999999E-2</v>
      </c>
    </row>
    <row r="21" spans="2:26" x14ac:dyDescent="0.25">
      <c r="B21" s="14" t="s">
        <v>15</v>
      </c>
      <c r="C21" s="9">
        <v>1E-4</v>
      </c>
      <c r="D21" s="10">
        <v>2.0321715971898802E-3</v>
      </c>
      <c r="E21" s="9">
        <v>9.9999999999999707E-5</v>
      </c>
      <c r="F21" s="10">
        <v>2.0110561882085202E-3</v>
      </c>
      <c r="G21" s="9">
        <v>-6.32089866559049E-19</v>
      </c>
      <c r="H21" s="10">
        <v>1.40756013814122E-3</v>
      </c>
      <c r="I21" s="9">
        <v>6.7220534694101299E-20</v>
      </c>
      <c r="J21" s="10">
        <v>1.39762702846007E-3</v>
      </c>
      <c r="K21" s="9">
        <v>-1E-4</v>
      </c>
      <c r="L21" s="10">
        <v>1.3530414535664499E-3</v>
      </c>
      <c r="M21" s="11">
        <v>7.6110992508482397E-19</v>
      </c>
      <c r="N21" s="12">
        <v>1.33915656767999E-3</v>
      </c>
      <c r="O21" s="9">
        <v>9.5409791178724403E-20</v>
      </c>
      <c r="P21" s="10">
        <v>1.1874005842824401E-3</v>
      </c>
      <c r="Q21" s="11">
        <v>1E-4</v>
      </c>
      <c r="R21" s="12">
        <v>1.13660702861994E-3</v>
      </c>
      <c r="S21" s="9">
        <v>1E-4</v>
      </c>
      <c r="T21" s="10">
        <v>1.12642640528765E-3</v>
      </c>
      <c r="U21" s="11">
        <v>-2.0000000000000101E-4</v>
      </c>
      <c r="V21" s="12">
        <v>1.0740998095309399E-3</v>
      </c>
      <c r="W21" s="9">
        <v>-1E-4</v>
      </c>
      <c r="X21" s="10">
        <v>1.0326885041662E-3</v>
      </c>
      <c r="Y21" s="11">
        <v>0</v>
      </c>
      <c r="Z21" s="13">
        <v>1E-3</v>
      </c>
    </row>
    <row r="22" spans="2:26" x14ac:dyDescent="0.25">
      <c r="B22" s="14" t="s">
        <v>16</v>
      </c>
      <c r="C22" s="9">
        <v>0</v>
      </c>
      <c r="D22" s="10">
        <v>0</v>
      </c>
      <c r="E22" s="9">
        <v>0</v>
      </c>
      <c r="F22" s="10">
        <v>0</v>
      </c>
      <c r="G22" s="9">
        <v>0</v>
      </c>
      <c r="H22" s="10">
        <v>0</v>
      </c>
      <c r="I22" s="9">
        <v>0</v>
      </c>
      <c r="J22" s="10">
        <v>0</v>
      </c>
      <c r="K22" s="9">
        <v>0</v>
      </c>
      <c r="L22" s="10">
        <v>0</v>
      </c>
      <c r="M22" s="11">
        <v>0</v>
      </c>
      <c r="N22" s="12">
        <v>0</v>
      </c>
      <c r="O22" s="9">
        <v>0</v>
      </c>
      <c r="P22" s="10">
        <v>0</v>
      </c>
      <c r="Q22" s="11">
        <v>0</v>
      </c>
      <c r="R22" s="12">
        <v>0</v>
      </c>
      <c r="S22" s="9">
        <v>0</v>
      </c>
      <c r="T22" s="10">
        <v>0</v>
      </c>
      <c r="U22" s="11">
        <v>0</v>
      </c>
      <c r="V22" s="12">
        <v>0</v>
      </c>
      <c r="W22" s="9">
        <v>0</v>
      </c>
      <c r="X22" s="10">
        <v>0</v>
      </c>
      <c r="Y22" s="11">
        <v>0</v>
      </c>
      <c r="Z22" s="13">
        <v>0</v>
      </c>
    </row>
    <row r="23" spans="2:26" x14ac:dyDescent="0.25">
      <c r="B23" s="14" t="s">
        <v>17</v>
      </c>
      <c r="C23" s="9">
        <v>0</v>
      </c>
      <c r="D23" s="10">
        <v>7.3018394048939602E-4</v>
      </c>
      <c r="E23" s="9">
        <v>0</v>
      </c>
      <c r="F23" s="10">
        <v>7.2625020370024201E-4</v>
      </c>
      <c r="G23" s="9">
        <v>0</v>
      </c>
      <c r="H23" s="10">
        <v>7.1470837879714999E-4</v>
      </c>
      <c r="I23" s="9">
        <v>0</v>
      </c>
      <c r="J23" s="10">
        <v>7.0615363914701E-4</v>
      </c>
      <c r="K23" s="9">
        <v>0</v>
      </c>
      <c r="L23" s="10">
        <v>7.0582153679530203E-4</v>
      </c>
      <c r="M23" s="11">
        <v>0</v>
      </c>
      <c r="N23" s="12">
        <v>6.9823879925970497E-4</v>
      </c>
      <c r="O23" s="9">
        <v>0</v>
      </c>
      <c r="P23" s="10">
        <v>6.77987901637604E-4</v>
      </c>
      <c r="Q23" s="11">
        <v>0</v>
      </c>
      <c r="R23" s="12">
        <v>6.7010001672166395E-4</v>
      </c>
      <c r="S23" s="9">
        <v>0</v>
      </c>
      <c r="T23" s="10">
        <v>6.6657583539818995E-4</v>
      </c>
      <c r="U23" s="11">
        <v>0</v>
      </c>
      <c r="V23" s="12">
        <v>6.5887428492511003E-4</v>
      </c>
      <c r="W23" s="9">
        <v>0</v>
      </c>
      <c r="X23" s="10">
        <v>6.5836933481508702E-4</v>
      </c>
      <c r="Y23" s="11">
        <v>-1E-4</v>
      </c>
      <c r="Z23" s="13">
        <v>5.9999999999999995E-4</v>
      </c>
    </row>
    <row r="24" spans="2:26" x14ac:dyDescent="0.25">
      <c r="B24" s="14" t="s">
        <v>18</v>
      </c>
      <c r="C24" s="9">
        <v>0</v>
      </c>
      <c r="D24" s="10">
        <v>0</v>
      </c>
      <c r="E24" s="9">
        <v>0</v>
      </c>
      <c r="F24" s="10">
        <v>0</v>
      </c>
      <c r="G24" s="9">
        <v>0</v>
      </c>
      <c r="H24" s="10">
        <v>0</v>
      </c>
      <c r="I24" s="9">
        <v>0</v>
      </c>
      <c r="J24" s="10">
        <v>0</v>
      </c>
      <c r="K24" s="9">
        <v>0</v>
      </c>
      <c r="L24" s="10">
        <v>0</v>
      </c>
      <c r="M24" s="11">
        <v>0</v>
      </c>
      <c r="N24" s="12">
        <v>0</v>
      </c>
      <c r="O24" s="9">
        <v>0</v>
      </c>
      <c r="P24" s="10">
        <v>0</v>
      </c>
      <c r="Q24" s="11">
        <v>0</v>
      </c>
      <c r="R24" s="12">
        <v>0</v>
      </c>
      <c r="S24" s="9">
        <v>0</v>
      </c>
      <c r="T24" s="10">
        <v>0</v>
      </c>
      <c r="U24" s="11">
        <v>0</v>
      </c>
      <c r="V24" s="12">
        <v>0</v>
      </c>
      <c r="W24" s="9">
        <v>0</v>
      </c>
      <c r="X24" s="10">
        <v>0</v>
      </c>
      <c r="Y24" s="11">
        <v>0</v>
      </c>
      <c r="Z24" s="13">
        <v>0</v>
      </c>
    </row>
    <row r="25" spans="2:26" x14ac:dyDescent="0.25">
      <c r="B25" s="15" t="s">
        <v>59</v>
      </c>
      <c r="C25" s="16">
        <v>2.1100000000000001E-2</v>
      </c>
      <c r="D25" s="17">
        <v>1</v>
      </c>
      <c r="E25" s="16">
        <v>7.7000000000000002E-3</v>
      </c>
      <c r="F25" s="17">
        <v>1</v>
      </c>
      <c r="G25" s="16">
        <v>1.8499999999999999E-2</v>
      </c>
      <c r="H25" s="17">
        <v>1</v>
      </c>
      <c r="I25" s="16">
        <v>1.43E-2</v>
      </c>
      <c r="J25" s="17">
        <v>1</v>
      </c>
      <c r="K25" s="16">
        <v>2.7000000000000001E-3</v>
      </c>
      <c r="L25" s="17">
        <v>1</v>
      </c>
      <c r="M25" s="18">
        <v>1.34E-2</v>
      </c>
      <c r="N25" s="19">
        <v>1</v>
      </c>
      <c r="O25" s="16">
        <v>2.1100000000000001E-2</v>
      </c>
      <c r="P25" s="17">
        <v>1</v>
      </c>
      <c r="Q25" s="18">
        <v>1.44E-2</v>
      </c>
      <c r="R25" s="19">
        <v>1</v>
      </c>
      <c r="S25" s="16">
        <v>1.03E-2</v>
      </c>
      <c r="T25" s="17">
        <v>1</v>
      </c>
      <c r="U25" s="18">
        <v>1.14E-2</v>
      </c>
      <c r="V25" s="19">
        <v>1</v>
      </c>
      <c r="W25" s="16">
        <v>2.7000000000000001E-3</v>
      </c>
      <c r="X25" s="17">
        <v>1</v>
      </c>
      <c r="Y25" s="18">
        <v>3.0999999999999999E-3</v>
      </c>
      <c r="Z25" s="3">
        <v>1</v>
      </c>
    </row>
    <row r="26" spans="2:26" x14ac:dyDescent="0.25">
      <c r="B26" s="20" t="s">
        <v>24</v>
      </c>
      <c r="C26" s="21">
        <v>215047.57085958001</v>
      </c>
      <c r="D26" s="49" t="s">
        <v>67</v>
      </c>
      <c r="E26" s="21">
        <v>80401.602228396398</v>
      </c>
      <c r="F26" s="49" t="s">
        <v>67</v>
      </c>
      <c r="G26" s="21">
        <v>192283.89282619601</v>
      </c>
      <c r="H26" s="49" t="s">
        <v>67</v>
      </c>
      <c r="I26" s="21">
        <v>152174.257476631</v>
      </c>
      <c r="J26" s="49" t="s">
        <v>67</v>
      </c>
      <c r="K26" s="21">
        <v>29186.156634354</v>
      </c>
      <c r="L26" s="49" t="s">
        <v>67</v>
      </c>
      <c r="M26" s="22">
        <v>144615.66832428399</v>
      </c>
      <c r="N26" s="49" t="s">
        <v>67</v>
      </c>
      <c r="O26" s="21">
        <v>230907.080238728</v>
      </c>
      <c r="P26" s="49" t="s">
        <v>67</v>
      </c>
      <c r="Q26" s="22">
        <v>160793.54299034001</v>
      </c>
      <c r="R26" s="49" t="s">
        <v>67</v>
      </c>
      <c r="S26" s="21">
        <v>116105.171446844</v>
      </c>
      <c r="T26" s="49" t="s">
        <v>67</v>
      </c>
      <c r="U26" s="22">
        <v>130083.848547192</v>
      </c>
      <c r="V26" s="49" t="s">
        <v>67</v>
      </c>
      <c r="W26" s="21">
        <v>31291.7009628753</v>
      </c>
      <c r="X26" s="49" t="s">
        <v>67</v>
      </c>
      <c r="Y26" s="22">
        <v>35301</v>
      </c>
      <c r="Z26" s="48" t="s">
        <v>67</v>
      </c>
    </row>
    <row r="27" spans="2:26" x14ac:dyDescent="0.25">
      <c r="B27" s="44" t="s">
        <v>67</v>
      </c>
      <c r="C27" s="45" t="s">
        <v>67</v>
      </c>
      <c r="D27" s="45" t="s">
        <v>67</v>
      </c>
      <c r="E27" s="45" t="s">
        <v>67</v>
      </c>
      <c r="F27" s="45" t="s">
        <v>67</v>
      </c>
      <c r="G27" s="45" t="s">
        <v>67</v>
      </c>
      <c r="H27" s="45" t="s">
        <v>67</v>
      </c>
      <c r="I27" s="45" t="s">
        <v>67</v>
      </c>
      <c r="J27" s="45" t="s">
        <v>67</v>
      </c>
      <c r="K27" s="45" t="s">
        <v>67</v>
      </c>
      <c r="L27" s="45" t="s">
        <v>67</v>
      </c>
      <c r="M27" s="45" t="s">
        <v>67</v>
      </c>
      <c r="N27" s="45" t="s">
        <v>67</v>
      </c>
      <c r="O27" s="45" t="s">
        <v>67</v>
      </c>
      <c r="P27" s="45" t="s">
        <v>67</v>
      </c>
      <c r="Q27" s="45" t="s">
        <v>67</v>
      </c>
      <c r="R27" s="45" t="s">
        <v>67</v>
      </c>
      <c r="S27" s="45" t="s">
        <v>67</v>
      </c>
      <c r="T27" s="45" t="s">
        <v>67</v>
      </c>
      <c r="U27" s="45" t="s">
        <v>67</v>
      </c>
      <c r="V27" s="45" t="s">
        <v>67</v>
      </c>
      <c r="W27" s="45" t="s">
        <v>67</v>
      </c>
      <c r="X27" s="45" t="s">
        <v>67</v>
      </c>
      <c r="Y27" s="45" t="s">
        <v>67</v>
      </c>
      <c r="Z27" s="46" t="s">
        <v>67</v>
      </c>
    </row>
    <row r="28" spans="2:26" x14ac:dyDescent="0.25">
      <c r="B28" s="8" t="s">
        <v>19</v>
      </c>
      <c r="C28" s="23">
        <v>2.1000000000000001E-2</v>
      </c>
      <c r="D28" s="24">
        <v>0.97196069478565605</v>
      </c>
      <c r="E28" s="23">
        <v>7.7999999999999996E-3</v>
      </c>
      <c r="F28" s="24">
        <v>0.97120648092692796</v>
      </c>
      <c r="G28" s="23">
        <v>1.7999999999999999E-2</v>
      </c>
      <c r="H28" s="24">
        <v>0.96957324806955403</v>
      </c>
      <c r="I28" s="23">
        <v>1.43E-2</v>
      </c>
      <c r="J28" s="24">
        <v>0.96662701776946303</v>
      </c>
      <c r="K28" s="23">
        <v>3.0000000000000001E-3</v>
      </c>
      <c r="L28" s="24">
        <v>0.96560425448737197</v>
      </c>
      <c r="M28" s="25">
        <v>1.32E-2</v>
      </c>
      <c r="N28" s="26">
        <v>0.96510421533438395</v>
      </c>
      <c r="O28" s="23">
        <v>2.1600000000000001E-2</v>
      </c>
      <c r="P28" s="24">
        <v>0.96525919962207196</v>
      </c>
      <c r="Q28" s="25">
        <v>1.41E-2</v>
      </c>
      <c r="R28" s="26">
        <v>0.96212290822841595</v>
      </c>
      <c r="S28" s="23">
        <v>1.0200000000000001E-2</v>
      </c>
      <c r="T28" s="24">
        <v>0.96266404167526898</v>
      </c>
      <c r="U28" s="25">
        <v>1.01E-2</v>
      </c>
      <c r="V28" s="26">
        <v>0.95891140285232401</v>
      </c>
      <c r="W28" s="23">
        <v>2.7000000000000001E-3</v>
      </c>
      <c r="X28" s="24">
        <v>0.95643817208968596</v>
      </c>
      <c r="Y28" s="25">
        <v>2.5999999999999999E-3</v>
      </c>
      <c r="Z28" s="27">
        <v>0.9526</v>
      </c>
    </row>
    <row r="29" spans="2:26" x14ac:dyDescent="0.25">
      <c r="B29" s="14" t="s">
        <v>20</v>
      </c>
      <c r="C29" s="9">
        <v>1E-4</v>
      </c>
      <c r="D29" s="10">
        <v>2.8039305214344001E-2</v>
      </c>
      <c r="E29" s="9">
        <v>-1E-4</v>
      </c>
      <c r="F29" s="10">
        <v>2.8793519073072101E-2</v>
      </c>
      <c r="G29" s="9">
        <v>5.0000000000000001E-4</v>
      </c>
      <c r="H29" s="10">
        <v>3.0426751930445702E-2</v>
      </c>
      <c r="I29" s="9">
        <v>-1.11022302462516E-18</v>
      </c>
      <c r="J29" s="10">
        <v>3.3372982230536599E-2</v>
      </c>
      <c r="K29" s="9">
        <v>-2.9999999999999997E-4</v>
      </c>
      <c r="L29" s="10">
        <v>3.4395745512628001E-2</v>
      </c>
      <c r="M29" s="11">
        <v>1.9999999999999901E-4</v>
      </c>
      <c r="N29" s="12">
        <v>3.4895784665615798E-2</v>
      </c>
      <c r="O29" s="9">
        <v>-5.00000000000005E-4</v>
      </c>
      <c r="P29" s="10">
        <v>3.4740800377928399E-2</v>
      </c>
      <c r="Q29" s="11">
        <v>2.9999999999999997E-4</v>
      </c>
      <c r="R29" s="12">
        <v>3.7877091771584402E-2</v>
      </c>
      <c r="S29" s="9">
        <v>1.0000000000000099E-4</v>
      </c>
      <c r="T29" s="10">
        <v>3.7335958324731397E-2</v>
      </c>
      <c r="U29" s="11">
        <v>1.2999999999999999E-3</v>
      </c>
      <c r="V29" s="12">
        <v>4.1088597147676001E-2</v>
      </c>
      <c r="W29" s="9">
        <v>0</v>
      </c>
      <c r="X29" s="10">
        <v>4.3561827910313697E-2</v>
      </c>
      <c r="Y29" s="11">
        <v>5.0000000000000001E-4</v>
      </c>
      <c r="Z29" s="13">
        <v>4.7399999999999998E-2</v>
      </c>
    </row>
    <row r="30" spans="2:26" x14ac:dyDescent="0.25">
      <c r="B30" s="15" t="s">
        <v>59</v>
      </c>
      <c r="C30" s="16">
        <v>2.1100000000000001E-2</v>
      </c>
      <c r="D30" s="17">
        <v>1</v>
      </c>
      <c r="E30" s="16">
        <v>7.7000000000000002E-3</v>
      </c>
      <c r="F30" s="17">
        <v>1</v>
      </c>
      <c r="G30" s="16">
        <v>1.8499999999999999E-2</v>
      </c>
      <c r="H30" s="17">
        <v>1</v>
      </c>
      <c r="I30" s="16">
        <v>1.43E-2</v>
      </c>
      <c r="J30" s="17">
        <v>1</v>
      </c>
      <c r="K30" s="16">
        <v>2.7000000000000001E-3</v>
      </c>
      <c r="L30" s="17">
        <v>1</v>
      </c>
      <c r="M30" s="18">
        <v>1.34E-2</v>
      </c>
      <c r="N30" s="19">
        <v>1</v>
      </c>
      <c r="O30" s="16">
        <v>2.1100000000000001E-2</v>
      </c>
      <c r="P30" s="17">
        <v>1</v>
      </c>
      <c r="Q30" s="18">
        <v>1.44E-2</v>
      </c>
      <c r="R30" s="19">
        <v>1</v>
      </c>
      <c r="S30" s="16">
        <v>1.03E-2</v>
      </c>
      <c r="T30" s="17">
        <v>1</v>
      </c>
      <c r="U30" s="18">
        <v>1.14E-2</v>
      </c>
      <c r="V30" s="19">
        <v>1</v>
      </c>
      <c r="W30" s="16">
        <v>2.7000000000000001E-3</v>
      </c>
      <c r="X30" s="17">
        <v>1</v>
      </c>
      <c r="Y30" s="18">
        <v>3.0999999999999999E-3</v>
      </c>
      <c r="Z30" s="4">
        <v>1</v>
      </c>
    </row>
    <row r="31" spans="2:26" x14ac:dyDescent="0.25">
      <c r="B31" s="44" t="s">
        <v>67</v>
      </c>
      <c r="C31" s="45" t="s">
        <v>67</v>
      </c>
      <c r="D31" s="45" t="s">
        <v>67</v>
      </c>
      <c r="E31" s="45" t="s">
        <v>67</v>
      </c>
      <c r="F31" s="45" t="s">
        <v>67</v>
      </c>
      <c r="G31" s="45" t="s">
        <v>67</v>
      </c>
      <c r="H31" s="45" t="s">
        <v>67</v>
      </c>
      <c r="I31" s="45" t="s">
        <v>67</v>
      </c>
      <c r="J31" s="45" t="s">
        <v>67</v>
      </c>
      <c r="K31" s="45" t="s">
        <v>67</v>
      </c>
      <c r="L31" s="45" t="s">
        <v>67</v>
      </c>
      <c r="M31" s="45" t="s">
        <v>67</v>
      </c>
      <c r="N31" s="45" t="s">
        <v>67</v>
      </c>
      <c r="O31" s="45" t="s">
        <v>67</v>
      </c>
      <c r="P31" s="45" t="s">
        <v>67</v>
      </c>
      <c r="Q31" s="45" t="s">
        <v>67</v>
      </c>
      <c r="R31" s="45" t="s">
        <v>67</v>
      </c>
      <c r="S31" s="45" t="s">
        <v>67</v>
      </c>
      <c r="T31" s="45" t="s">
        <v>67</v>
      </c>
      <c r="U31" s="45" t="s">
        <v>67</v>
      </c>
      <c r="V31" s="45" t="s">
        <v>67</v>
      </c>
      <c r="W31" s="45" t="s">
        <v>67</v>
      </c>
      <c r="X31" s="45" t="s">
        <v>67</v>
      </c>
      <c r="Y31" s="45" t="s">
        <v>67</v>
      </c>
      <c r="Z31" s="46" t="s">
        <v>67</v>
      </c>
    </row>
    <row r="32" spans="2:26" x14ac:dyDescent="0.25">
      <c r="B32" s="8" t="s">
        <v>21</v>
      </c>
      <c r="C32" s="23">
        <v>1.4200000000000001E-2</v>
      </c>
      <c r="D32" s="24">
        <v>0.50843758957817198</v>
      </c>
      <c r="E32" s="23">
        <v>3.8999999999999998E-3</v>
      </c>
      <c r="F32" s="24">
        <v>0.50840353110875403</v>
      </c>
      <c r="G32" s="23">
        <v>9.9000000000000008E-3</v>
      </c>
      <c r="H32" s="24">
        <v>0.508489623033203</v>
      </c>
      <c r="I32" s="23">
        <v>8.0000000000000002E-3</v>
      </c>
      <c r="J32" s="24">
        <v>0.50336040499097801</v>
      </c>
      <c r="K32" s="23">
        <v>-2.8E-3</v>
      </c>
      <c r="L32" s="24">
        <v>0.49771418414393598</v>
      </c>
      <c r="M32" s="25">
        <v>8.5000000000000006E-3</v>
      </c>
      <c r="N32" s="26">
        <v>0.498799347219474</v>
      </c>
      <c r="O32" s="23">
        <v>0.01</v>
      </c>
      <c r="P32" s="24">
        <v>0.50261768193753298</v>
      </c>
      <c r="Q32" s="25">
        <v>6.6E-3</v>
      </c>
      <c r="R32" s="26">
        <v>0.49504378649733799</v>
      </c>
      <c r="S32" s="23">
        <v>4.1999999999999997E-3</v>
      </c>
      <c r="T32" s="24">
        <v>0.49069631869094799</v>
      </c>
      <c r="U32" s="25">
        <v>6.4000000000000003E-3</v>
      </c>
      <c r="V32" s="26">
        <v>0.489314137841314</v>
      </c>
      <c r="W32" s="23">
        <v>1.8E-3</v>
      </c>
      <c r="X32" s="24">
        <v>0.48798940802428498</v>
      </c>
      <c r="Y32" s="25">
        <v>2.7000000000000001E-3</v>
      </c>
      <c r="Z32" s="27">
        <v>0.4884</v>
      </c>
    </row>
    <row r="33" spans="2:26" x14ac:dyDescent="0.25">
      <c r="B33" s="14" t="s">
        <v>22</v>
      </c>
      <c r="C33" s="9">
        <v>6.8999999999999999E-3</v>
      </c>
      <c r="D33" s="10">
        <v>0.49156241042182802</v>
      </c>
      <c r="E33" s="9">
        <v>3.8E-3</v>
      </c>
      <c r="F33" s="10">
        <v>0.49159646889124597</v>
      </c>
      <c r="G33" s="9">
        <v>8.6E-3</v>
      </c>
      <c r="H33" s="10">
        <v>0.491510376966797</v>
      </c>
      <c r="I33" s="9">
        <v>6.3E-3</v>
      </c>
      <c r="J33" s="10">
        <v>0.49663959500902199</v>
      </c>
      <c r="K33" s="9">
        <v>5.4999999999999997E-3</v>
      </c>
      <c r="L33" s="10">
        <v>0.50228581585606402</v>
      </c>
      <c r="M33" s="11">
        <v>4.8999999999999998E-3</v>
      </c>
      <c r="N33" s="12">
        <v>0.50120065278052595</v>
      </c>
      <c r="O33" s="9">
        <v>1.11E-2</v>
      </c>
      <c r="P33" s="10">
        <v>0.49738231806246702</v>
      </c>
      <c r="Q33" s="11">
        <v>7.7999999999999996E-3</v>
      </c>
      <c r="R33" s="12">
        <v>0.50495621350266195</v>
      </c>
      <c r="S33" s="9">
        <v>6.1000000000000004E-3</v>
      </c>
      <c r="T33" s="10">
        <v>0.50930368130905201</v>
      </c>
      <c r="U33" s="11">
        <v>5.0000000000000001E-3</v>
      </c>
      <c r="V33" s="12">
        <v>0.51068586215868605</v>
      </c>
      <c r="W33" s="9">
        <v>8.9999999999999998E-4</v>
      </c>
      <c r="X33" s="10">
        <v>0.51201059197571497</v>
      </c>
      <c r="Y33" s="11">
        <v>4.0000000000000002E-4</v>
      </c>
      <c r="Z33" s="13">
        <v>0.51160000000000005</v>
      </c>
    </row>
    <row r="34" spans="2:26" x14ac:dyDescent="0.25">
      <c r="B34" s="15" t="s">
        <v>59</v>
      </c>
      <c r="C34" s="16">
        <v>2.1100000000000001E-2</v>
      </c>
      <c r="D34" s="17">
        <v>1</v>
      </c>
      <c r="E34" s="16">
        <v>7.7000000000000002E-3</v>
      </c>
      <c r="F34" s="17">
        <v>1</v>
      </c>
      <c r="G34" s="16">
        <v>1.8499999999999999E-2</v>
      </c>
      <c r="H34" s="17">
        <v>1</v>
      </c>
      <c r="I34" s="16">
        <v>1.43E-2</v>
      </c>
      <c r="J34" s="17">
        <v>1</v>
      </c>
      <c r="K34" s="16">
        <v>2.7000000000000001E-3</v>
      </c>
      <c r="L34" s="17">
        <v>1</v>
      </c>
      <c r="M34" s="18">
        <v>1.34E-2</v>
      </c>
      <c r="N34" s="19">
        <v>1</v>
      </c>
      <c r="O34" s="16">
        <v>2.1100000000000001E-2</v>
      </c>
      <c r="P34" s="17">
        <v>1</v>
      </c>
      <c r="Q34" s="18">
        <v>1.44E-2</v>
      </c>
      <c r="R34" s="19">
        <v>1</v>
      </c>
      <c r="S34" s="16">
        <v>1.03E-2</v>
      </c>
      <c r="T34" s="17">
        <v>1</v>
      </c>
      <c r="U34" s="18">
        <v>1.14E-2</v>
      </c>
      <c r="V34" s="19">
        <v>1</v>
      </c>
      <c r="W34" s="16">
        <v>2.7000000000000001E-3</v>
      </c>
      <c r="X34" s="17">
        <v>1</v>
      </c>
      <c r="Y34" s="18">
        <v>3.0999999999999999E-3</v>
      </c>
      <c r="Z34" s="4">
        <v>1</v>
      </c>
    </row>
    <row r="35" spans="2:26" x14ac:dyDescent="0.25">
      <c r="B35" s="47" t="s">
        <v>67</v>
      </c>
      <c r="C35" s="47" t="s">
        <v>67</v>
      </c>
      <c r="D35" s="47" t="s">
        <v>67</v>
      </c>
      <c r="E35" s="47" t="s">
        <v>67</v>
      </c>
      <c r="F35" s="47" t="s">
        <v>67</v>
      </c>
      <c r="G35" s="47" t="s">
        <v>67</v>
      </c>
      <c r="H35" s="47" t="s">
        <v>67</v>
      </c>
      <c r="I35" s="47" t="s">
        <v>67</v>
      </c>
      <c r="J35" s="47" t="s">
        <v>67</v>
      </c>
      <c r="K35" s="47" t="s">
        <v>67</v>
      </c>
      <c r="L35" s="47" t="s">
        <v>67</v>
      </c>
      <c r="M35" s="47" t="s">
        <v>67</v>
      </c>
      <c r="N35" s="47" t="s">
        <v>67</v>
      </c>
      <c r="O35" s="47" t="s">
        <v>67</v>
      </c>
      <c r="P35" s="47" t="s">
        <v>67</v>
      </c>
      <c r="Q35" s="47" t="s">
        <v>67</v>
      </c>
      <c r="R35" s="47" t="s">
        <v>67</v>
      </c>
      <c r="S35" s="47" t="s">
        <v>67</v>
      </c>
      <c r="T35" s="47" t="s">
        <v>67</v>
      </c>
      <c r="U35" s="47" t="s">
        <v>67</v>
      </c>
      <c r="V35" s="47" t="s">
        <v>67</v>
      </c>
      <c r="W35" s="47" t="s">
        <v>67</v>
      </c>
      <c r="X35" s="47" t="s">
        <v>67</v>
      </c>
      <c r="Y35" s="47" t="s">
        <v>67</v>
      </c>
      <c r="Z35" s="47" t="s">
        <v>67</v>
      </c>
    </row>
    <row r="36" spans="2:26" x14ac:dyDescent="0.25">
      <c r="B36" s="37" t="s">
        <v>63</v>
      </c>
      <c r="C36" s="55" t="s">
        <v>67</v>
      </c>
      <c r="D36" s="54" t="s">
        <v>67</v>
      </c>
      <c r="E36" s="55" t="s">
        <v>67</v>
      </c>
      <c r="F36" s="54" t="s">
        <v>67</v>
      </c>
      <c r="G36" s="38">
        <v>2.8E-3</v>
      </c>
      <c r="H36" s="54" t="s">
        <v>67</v>
      </c>
      <c r="I36" s="55" t="s">
        <v>67</v>
      </c>
      <c r="J36" s="54" t="s">
        <v>67</v>
      </c>
      <c r="K36" s="55" t="s">
        <v>67</v>
      </c>
      <c r="L36" s="54" t="s">
        <v>67</v>
      </c>
      <c r="M36" s="38">
        <v>2.8999999999999998E-3</v>
      </c>
      <c r="N36" s="54" t="s">
        <v>67</v>
      </c>
      <c r="O36" s="55" t="s">
        <v>67</v>
      </c>
      <c r="P36" s="54" t="s">
        <v>67</v>
      </c>
      <c r="Q36" s="55" t="s">
        <v>67</v>
      </c>
      <c r="R36" s="54" t="s">
        <v>67</v>
      </c>
      <c r="S36" s="38">
        <v>2.8999999999999998E-3</v>
      </c>
      <c r="T36" s="54" t="s">
        <v>67</v>
      </c>
      <c r="U36" s="55" t="s">
        <v>67</v>
      </c>
      <c r="V36" s="54" t="s">
        <v>67</v>
      </c>
      <c r="W36" s="55" t="s">
        <v>67</v>
      </c>
      <c r="X36" s="54" t="s">
        <v>67</v>
      </c>
      <c r="Y36" s="38">
        <v>2.8999999999999998E-3</v>
      </c>
      <c r="Z36" s="54" t="s">
        <v>67</v>
      </c>
    </row>
    <row r="37" spans="2:26" x14ac:dyDescent="0.25">
      <c r="B37" s="39" t="s">
        <v>64</v>
      </c>
      <c r="C37" s="56" t="s">
        <v>67</v>
      </c>
      <c r="D37" s="53" t="s">
        <v>67</v>
      </c>
      <c r="E37" s="56" t="s">
        <v>67</v>
      </c>
      <c r="F37" s="53" t="s">
        <v>67</v>
      </c>
      <c r="G37" s="40">
        <f>G34+G36</f>
        <v>2.1299999999999999E-2</v>
      </c>
      <c r="H37" s="53" t="s">
        <v>67</v>
      </c>
      <c r="I37" s="56" t="s">
        <v>67</v>
      </c>
      <c r="J37" s="53" t="s">
        <v>67</v>
      </c>
      <c r="K37" s="56" t="s">
        <v>67</v>
      </c>
      <c r="L37" s="53" t="s">
        <v>67</v>
      </c>
      <c r="M37" s="40">
        <f>M34+M36</f>
        <v>1.6300000000000002E-2</v>
      </c>
      <c r="N37" s="53" t="s">
        <v>67</v>
      </c>
      <c r="O37" s="56" t="s">
        <v>67</v>
      </c>
      <c r="P37" s="53" t="s">
        <v>67</v>
      </c>
      <c r="Q37" s="56" t="s">
        <v>67</v>
      </c>
      <c r="R37" s="53" t="s">
        <v>67</v>
      </c>
      <c r="S37" s="40">
        <f>S34+S36</f>
        <v>1.32E-2</v>
      </c>
      <c r="T37" s="53" t="s">
        <v>67</v>
      </c>
      <c r="U37" s="56" t="s">
        <v>67</v>
      </c>
      <c r="V37" s="53" t="s">
        <v>67</v>
      </c>
      <c r="W37" s="56" t="s">
        <v>67</v>
      </c>
      <c r="X37" s="53" t="s">
        <v>67</v>
      </c>
      <c r="Y37" s="40">
        <f>Y34+Y36</f>
        <v>6.0000000000000001E-3</v>
      </c>
      <c r="Z37" s="53" t="s">
        <v>67</v>
      </c>
    </row>
    <row r="38" spans="2:26" x14ac:dyDescent="0.25">
      <c r="B38" s="97" t="s">
        <v>66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2:26" x14ac:dyDescent="0.25">
      <c r="B39" s="31" t="s">
        <v>23</v>
      </c>
      <c r="C39" s="32" t="s">
        <v>50</v>
      </c>
      <c r="D39" s="33" t="s">
        <v>51</v>
      </c>
      <c r="E39" s="32" t="s">
        <v>52</v>
      </c>
      <c r="F39" s="33" t="s">
        <v>53</v>
      </c>
      <c r="G39" s="32" t="s">
        <v>54</v>
      </c>
      <c r="H39" s="33" t="s">
        <v>55</v>
      </c>
      <c r="I39" s="32" t="s">
        <v>56</v>
      </c>
      <c r="J39" s="43" t="s">
        <v>57</v>
      </c>
      <c r="K39" s="57" t="s">
        <v>67</v>
      </c>
      <c r="L39" s="58" t="s">
        <v>67</v>
      </c>
      <c r="M39" s="89" t="s">
        <v>67</v>
      </c>
      <c r="N39" s="90" t="s">
        <v>67</v>
      </c>
      <c r="O39" s="57" t="s">
        <v>67</v>
      </c>
      <c r="P39" s="58" t="s">
        <v>67</v>
      </c>
      <c r="Q39" s="89" t="s">
        <v>67</v>
      </c>
      <c r="R39" s="90" t="s">
        <v>67</v>
      </c>
      <c r="S39" s="57" t="s">
        <v>67</v>
      </c>
      <c r="T39" s="58" t="s">
        <v>67</v>
      </c>
      <c r="U39" s="89" t="s">
        <v>67</v>
      </c>
      <c r="V39" s="90" t="s">
        <v>67</v>
      </c>
      <c r="W39" s="57" t="s">
        <v>67</v>
      </c>
      <c r="X39" s="58" t="s">
        <v>67</v>
      </c>
      <c r="Y39" s="69" t="s">
        <v>67</v>
      </c>
      <c r="Z39" s="70" t="s">
        <v>67</v>
      </c>
    </row>
    <row r="40" spans="2:26" x14ac:dyDescent="0.25">
      <c r="B40" s="8" t="s">
        <v>1</v>
      </c>
      <c r="C40" s="9">
        <v>0</v>
      </c>
      <c r="D40" s="10">
        <v>2.8411849430351702E-2</v>
      </c>
      <c r="E40" s="9">
        <v>0</v>
      </c>
      <c r="F40" s="10">
        <v>3.4789602644537398E-2</v>
      </c>
      <c r="G40" s="9">
        <v>0</v>
      </c>
      <c r="H40" s="10">
        <v>3.7136348814750399E-2</v>
      </c>
      <c r="I40" s="9">
        <v>5.0000000000000001E-4</v>
      </c>
      <c r="J40" s="41">
        <v>3.49E-2</v>
      </c>
      <c r="K40" s="59" t="s">
        <v>67</v>
      </c>
      <c r="L40" s="60" t="s">
        <v>67</v>
      </c>
      <c r="M40" s="82" t="s">
        <v>67</v>
      </c>
      <c r="N40" s="83" t="s">
        <v>67</v>
      </c>
      <c r="O40" s="59" t="s">
        <v>67</v>
      </c>
      <c r="P40" s="60" t="s">
        <v>67</v>
      </c>
      <c r="Q40" s="82" t="s">
        <v>67</v>
      </c>
      <c r="R40" s="83" t="s">
        <v>67</v>
      </c>
      <c r="S40" s="59" t="s">
        <v>67</v>
      </c>
      <c r="T40" s="60" t="s">
        <v>67</v>
      </c>
      <c r="U40" s="82" t="s">
        <v>67</v>
      </c>
      <c r="V40" s="83" t="s">
        <v>67</v>
      </c>
      <c r="W40" s="59" t="s">
        <v>67</v>
      </c>
      <c r="X40" s="60" t="s">
        <v>67</v>
      </c>
      <c r="Y40" s="71" t="s">
        <v>67</v>
      </c>
      <c r="Z40" s="72" t="s">
        <v>67</v>
      </c>
    </row>
    <row r="41" spans="2:26" x14ac:dyDescent="0.25">
      <c r="B41" s="14" t="s">
        <v>2</v>
      </c>
      <c r="C41" s="9">
        <v>3.5099999999999999E-2</v>
      </c>
      <c r="D41" s="10">
        <v>0.66046009689044805</v>
      </c>
      <c r="E41" s="9">
        <v>5.9299999999999999E-2</v>
      </c>
      <c r="F41" s="10">
        <v>0.66749697638918404</v>
      </c>
      <c r="G41" s="9">
        <v>0.1042</v>
      </c>
      <c r="H41" s="10">
        <v>0.66169181836796698</v>
      </c>
      <c r="I41" s="9">
        <v>0.1144</v>
      </c>
      <c r="J41" s="41">
        <v>0.6603</v>
      </c>
      <c r="K41" s="59" t="s">
        <v>67</v>
      </c>
      <c r="L41" s="60" t="s">
        <v>67</v>
      </c>
      <c r="M41" s="82" t="s">
        <v>67</v>
      </c>
      <c r="N41" s="83" t="s">
        <v>67</v>
      </c>
      <c r="O41" s="59" t="s">
        <v>67</v>
      </c>
      <c r="P41" s="60" t="s">
        <v>67</v>
      </c>
      <c r="Q41" s="82" t="s">
        <v>67</v>
      </c>
      <c r="R41" s="83" t="s">
        <v>67</v>
      </c>
      <c r="S41" s="59" t="s">
        <v>67</v>
      </c>
      <c r="T41" s="60" t="s">
        <v>67</v>
      </c>
      <c r="U41" s="82" t="s">
        <v>67</v>
      </c>
      <c r="V41" s="83" t="s">
        <v>67</v>
      </c>
      <c r="W41" s="59" t="s">
        <v>67</v>
      </c>
      <c r="X41" s="60" t="s">
        <v>67</v>
      </c>
      <c r="Y41" s="71" t="s">
        <v>67</v>
      </c>
      <c r="Z41" s="72" t="s">
        <v>67</v>
      </c>
    </row>
    <row r="42" spans="2:26" x14ac:dyDescent="0.25">
      <c r="B42" s="14" t="s">
        <v>3</v>
      </c>
      <c r="C42" s="9">
        <v>0</v>
      </c>
      <c r="D42" s="10">
        <v>0</v>
      </c>
      <c r="E42" s="9">
        <v>0</v>
      </c>
      <c r="F42" s="10">
        <v>0</v>
      </c>
      <c r="G42" s="9">
        <v>0</v>
      </c>
      <c r="H42" s="10">
        <v>0</v>
      </c>
      <c r="I42" s="9">
        <v>0</v>
      </c>
      <c r="J42" s="41">
        <v>0</v>
      </c>
      <c r="K42" s="59" t="s">
        <v>67</v>
      </c>
      <c r="L42" s="60" t="s">
        <v>67</v>
      </c>
      <c r="M42" s="82" t="s">
        <v>67</v>
      </c>
      <c r="N42" s="83" t="s">
        <v>67</v>
      </c>
      <c r="O42" s="59" t="s">
        <v>67</v>
      </c>
      <c r="P42" s="60" t="s">
        <v>67</v>
      </c>
      <c r="Q42" s="82" t="s">
        <v>67</v>
      </c>
      <c r="R42" s="83" t="s">
        <v>67</v>
      </c>
      <c r="S42" s="59" t="s">
        <v>67</v>
      </c>
      <c r="T42" s="60" t="s">
        <v>67</v>
      </c>
      <c r="U42" s="82" t="s">
        <v>67</v>
      </c>
      <c r="V42" s="83" t="s">
        <v>67</v>
      </c>
      <c r="W42" s="59" t="s">
        <v>67</v>
      </c>
      <c r="X42" s="60" t="s">
        <v>67</v>
      </c>
      <c r="Y42" s="71" t="s">
        <v>67</v>
      </c>
      <c r="Z42" s="72" t="s">
        <v>67</v>
      </c>
    </row>
    <row r="43" spans="2:26" x14ac:dyDescent="0.25">
      <c r="B43" s="14" t="s">
        <v>4</v>
      </c>
      <c r="C43" s="9">
        <v>0</v>
      </c>
      <c r="D43" s="10">
        <v>0</v>
      </c>
      <c r="E43" s="9">
        <v>0</v>
      </c>
      <c r="F43" s="10">
        <v>0</v>
      </c>
      <c r="G43" s="9">
        <v>0</v>
      </c>
      <c r="H43" s="10">
        <v>0</v>
      </c>
      <c r="I43" s="9">
        <v>0</v>
      </c>
      <c r="J43" s="41">
        <v>0</v>
      </c>
      <c r="K43" s="59" t="s">
        <v>67</v>
      </c>
      <c r="L43" s="60" t="s">
        <v>67</v>
      </c>
      <c r="M43" s="82" t="s">
        <v>67</v>
      </c>
      <c r="N43" s="83" t="s">
        <v>67</v>
      </c>
      <c r="O43" s="59" t="s">
        <v>67</v>
      </c>
      <c r="P43" s="60" t="s">
        <v>67</v>
      </c>
      <c r="Q43" s="82" t="s">
        <v>67</v>
      </c>
      <c r="R43" s="83" t="s">
        <v>67</v>
      </c>
      <c r="S43" s="59" t="s">
        <v>67</v>
      </c>
      <c r="T43" s="60" t="s">
        <v>67</v>
      </c>
      <c r="U43" s="82" t="s">
        <v>67</v>
      </c>
      <c r="V43" s="83" t="s">
        <v>67</v>
      </c>
      <c r="W43" s="59" t="s">
        <v>67</v>
      </c>
      <c r="X43" s="60" t="s">
        <v>67</v>
      </c>
      <c r="Y43" s="71" t="s">
        <v>67</v>
      </c>
      <c r="Z43" s="72" t="s">
        <v>67</v>
      </c>
    </row>
    <row r="44" spans="2:26" x14ac:dyDescent="0.25">
      <c r="B44" s="14" t="s">
        <v>5</v>
      </c>
      <c r="C44" s="9">
        <v>2.8E-3</v>
      </c>
      <c r="D44" s="10">
        <v>6.4172170192477798E-2</v>
      </c>
      <c r="E44" s="9">
        <v>4.1000000000000003E-3</v>
      </c>
      <c r="F44" s="10">
        <v>5.6718332186326999E-2</v>
      </c>
      <c r="G44" s="9">
        <v>5.3E-3</v>
      </c>
      <c r="H44" s="10">
        <v>5.8706435606045902E-2</v>
      </c>
      <c r="I44" s="9">
        <v>5.4999999999999997E-3</v>
      </c>
      <c r="J44" s="41">
        <v>5.9200000000000003E-2</v>
      </c>
      <c r="K44" s="59" t="s">
        <v>67</v>
      </c>
      <c r="L44" s="60" t="s">
        <v>67</v>
      </c>
      <c r="M44" s="82" t="s">
        <v>67</v>
      </c>
      <c r="N44" s="83" t="s">
        <v>67</v>
      </c>
      <c r="O44" s="59" t="s">
        <v>67</v>
      </c>
      <c r="P44" s="60" t="s">
        <v>67</v>
      </c>
      <c r="Q44" s="82" t="s">
        <v>67</v>
      </c>
      <c r="R44" s="83" t="s">
        <v>67</v>
      </c>
      <c r="S44" s="59" t="s">
        <v>67</v>
      </c>
      <c r="T44" s="60" t="s">
        <v>67</v>
      </c>
      <c r="U44" s="82" t="s">
        <v>67</v>
      </c>
      <c r="V44" s="83" t="s">
        <v>67</v>
      </c>
      <c r="W44" s="59" t="s">
        <v>67</v>
      </c>
      <c r="X44" s="60" t="s">
        <v>67</v>
      </c>
      <c r="Y44" s="71" t="s">
        <v>67</v>
      </c>
      <c r="Z44" s="72" t="s">
        <v>67</v>
      </c>
    </row>
    <row r="45" spans="2:26" x14ac:dyDescent="0.25">
      <c r="B45" s="14" t="s">
        <v>6</v>
      </c>
      <c r="C45" s="9">
        <v>1.4E-3</v>
      </c>
      <c r="D45" s="10">
        <v>2.1630689929417201E-2</v>
      </c>
      <c r="E45" s="9">
        <v>2.2000000000000001E-3</v>
      </c>
      <c r="F45" s="10">
        <v>2.1358949828555299E-2</v>
      </c>
      <c r="G45" s="9">
        <v>2.8999999999999998E-3</v>
      </c>
      <c r="H45" s="10">
        <v>2.0590569718714001E-2</v>
      </c>
      <c r="I45" s="9">
        <v>3.2000000000000002E-3</v>
      </c>
      <c r="J45" s="41">
        <v>1.9800000000000002E-2</v>
      </c>
      <c r="K45" s="59" t="s">
        <v>67</v>
      </c>
      <c r="L45" s="60" t="s">
        <v>67</v>
      </c>
      <c r="M45" s="82" t="s">
        <v>67</v>
      </c>
      <c r="N45" s="83" t="s">
        <v>67</v>
      </c>
      <c r="O45" s="59" t="s">
        <v>67</v>
      </c>
      <c r="P45" s="60" t="s">
        <v>67</v>
      </c>
      <c r="Q45" s="82" t="s">
        <v>67</v>
      </c>
      <c r="R45" s="83" t="s">
        <v>67</v>
      </c>
      <c r="S45" s="59" t="s">
        <v>67</v>
      </c>
      <c r="T45" s="60" t="s">
        <v>67</v>
      </c>
      <c r="U45" s="82" t="s">
        <v>67</v>
      </c>
      <c r="V45" s="83" t="s">
        <v>67</v>
      </c>
      <c r="W45" s="59" t="s">
        <v>67</v>
      </c>
      <c r="X45" s="60" t="s">
        <v>67</v>
      </c>
      <c r="Y45" s="71" t="s">
        <v>67</v>
      </c>
      <c r="Z45" s="72" t="s">
        <v>67</v>
      </c>
    </row>
    <row r="46" spans="2:26" x14ac:dyDescent="0.25">
      <c r="B46" s="14" t="s">
        <v>7</v>
      </c>
      <c r="C46" s="9">
        <v>3.3999999999999998E-3</v>
      </c>
      <c r="D46" s="10">
        <v>5.4610975242322397E-2</v>
      </c>
      <c r="E46" s="9">
        <v>6.4999999999999997E-3</v>
      </c>
      <c r="F46" s="10">
        <v>5.1854705290028003E-2</v>
      </c>
      <c r="G46" s="9">
        <v>8.6999999999999994E-3</v>
      </c>
      <c r="H46" s="10">
        <v>5.6685025226803902E-2</v>
      </c>
      <c r="I46" s="9">
        <v>1.21E-2</v>
      </c>
      <c r="J46" s="41">
        <v>5.4399999999999997E-2</v>
      </c>
      <c r="K46" s="59" t="s">
        <v>67</v>
      </c>
      <c r="L46" s="60" t="s">
        <v>67</v>
      </c>
      <c r="M46" s="82" t="s">
        <v>67</v>
      </c>
      <c r="N46" s="83" t="s">
        <v>67</v>
      </c>
      <c r="O46" s="59" t="s">
        <v>67</v>
      </c>
      <c r="P46" s="60" t="s">
        <v>67</v>
      </c>
      <c r="Q46" s="82" t="s">
        <v>67</v>
      </c>
      <c r="R46" s="83" t="s">
        <v>67</v>
      </c>
      <c r="S46" s="59" t="s">
        <v>67</v>
      </c>
      <c r="T46" s="60" t="s">
        <v>67</v>
      </c>
      <c r="U46" s="82" t="s">
        <v>67</v>
      </c>
      <c r="V46" s="83" t="s">
        <v>67</v>
      </c>
      <c r="W46" s="59" t="s">
        <v>67</v>
      </c>
      <c r="X46" s="60" t="s">
        <v>67</v>
      </c>
      <c r="Y46" s="71" t="s">
        <v>67</v>
      </c>
      <c r="Z46" s="72" t="s">
        <v>67</v>
      </c>
    </row>
    <row r="47" spans="2:26" x14ac:dyDescent="0.25">
      <c r="B47" s="14" t="s">
        <v>58</v>
      </c>
      <c r="C47" s="9">
        <v>5.1999999999999998E-3</v>
      </c>
      <c r="D47" s="10">
        <v>7.1468189224308198E-2</v>
      </c>
      <c r="E47" s="9">
        <v>6.7999999999999996E-3</v>
      </c>
      <c r="F47" s="10">
        <v>6.5080051294091903E-2</v>
      </c>
      <c r="G47" s="9">
        <v>6.8999999999999999E-3</v>
      </c>
      <c r="H47" s="10">
        <v>6.4298682750475095E-2</v>
      </c>
      <c r="I47" s="9">
        <v>0.01</v>
      </c>
      <c r="J47" s="41">
        <v>6.5600000000000006E-2</v>
      </c>
      <c r="K47" s="59" t="s">
        <v>67</v>
      </c>
      <c r="L47" s="60" t="s">
        <v>67</v>
      </c>
      <c r="M47" s="82" t="s">
        <v>67</v>
      </c>
      <c r="N47" s="83" t="s">
        <v>67</v>
      </c>
      <c r="O47" s="59" t="s">
        <v>67</v>
      </c>
      <c r="P47" s="60" t="s">
        <v>67</v>
      </c>
      <c r="Q47" s="82" t="s">
        <v>67</v>
      </c>
      <c r="R47" s="83" t="s">
        <v>67</v>
      </c>
      <c r="S47" s="59" t="s">
        <v>67</v>
      </c>
      <c r="T47" s="60" t="s">
        <v>67</v>
      </c>
      <c r="U47" s="82" t="s">
        <v>67</v>
      </c>
      <c r="V47" s="83" t="s">
        <v>67</v>
      </c>
      <c r="W47" s="59" t="s">
        <v>67</v>
      </c>
      <c r="X47" s="60" t="s">
        <v>67</v>
      </c>
      <c r="Y47" s="71" t="s">
        <v>67</v>
      </c>
      <c r="Z47" s="72" t="s">
        <v>67</v>
      </c>
    </row>
    <row r="48" spans="2:26" x14ac:dyDescent="0.25">
      <c r="B48" s="14" t="s">
        <v>8</v>
      </c>
      <c r="C48" s="9">
        <v>2.0000000000000001E-4</v>
      </c>
      <c r="D48" s="10">
        <v>3.9289343051525901E-3</v>
      </c>
      <c r="E48" s="9">
        <v>2.9999999999999997E-4</v>
      </c>
      <c r="F48" s="10">
        <v>3.5106059559598599E-3</v>
      </c>
      <c r="G48" s="9">
        <v>4.0000000000000002E-4</v>
      </c>
      <c r="H48" s="10">
        <v>4.6860543791903504E-3</v>
      </c>
      <c r="I48" s="9">
        <v>8.0000000000000004E-4</v>
      </c>
      <c r="J48" s="41">
        <v>5.8999999999999999E-3</v>
      </c>
      <c r="K48" s="59" t="s">
        <v>67</v>
      </c>
      <c r="L48" s="60" t="s">
        <v>67</v>
      </c>
      <c r="M48" s="82" t="s">
        <v>67</v>
      </c>
      <c r="N48" s="83" t="s">
        <v>67</v>
      </c>
      <c r="O48" s="59" t="s">
        <v>67</v>
      </c>
      <c r="P48" s="60" t="s">
        <v>67</v>
      </c>
      <c r="Q48" s="82" t="s">
        <v>67</v>
      </c>
      <c r="R48" s="83" t="s">
        <v>67</v>
      </c>
      <c r="S48" s="59" t="s">
        <v>67</v>
      </c>
      <c r="T48" s="60" t="s">
        <v>67</v>
      </c>
      <c r="U48" s="82" t="s">
        <v>67</v>
      </c>
      <c r="V48" s="83" t="s">
        <v>67</v>
      </c>
      <c r="W48" s="59" t="s">
        <v>67</v>
      </c>
      <c r="X48" s="60" t="s">
        <v>67</v>
      </c>
      <c r="Y48" s="71" t="s">
        <v>67</v>
      </c>
      <c r="Z48" s="72" t="s">
        <v>67</v>
      </c>
    </row>
    <row r="49" spans="2:26" x14ac:dyDescent="0.25">
      <c r="B49" s="14" t="s">
        <v>9</v>
      </c>
      <c r="C49" s="9">
        <v>-8.0000000000000004E-4</v>
      </c>
      <c r="D49" s="10">
        <v>5.0174336788848001E-2</v>
      </c>
      <c r="E49" s="9">
        <v>-2.9999999999999997E-4</v>
      </c>
      <c r="F49" s="10">
        <v>5.58916985045202E-2</v>
      </c>
      <c r="G49" s="9">
        <v>1E-4</v>
      </c>
      <c r="H49" s="10">
        <v>5.5562304253491998E-2</v>
      </c>
      <c r="I49" s="9">
        <v>1E-3</v>
      </c>
      <c r="J49" s="41">
        <v>6.08E-2</v>
      </c>
      <c r="K49" s="59" t="s">
        <v>67</v>
      </c>
      <c r="L49" s="60" t="s">
        <v>67</v>
      </c>
      <c r="M49" s="82" t="s">
        <v>67</v>
      </c>
      <c r="N49" s="83" t="s">
        <v>67</v>
      </c>
      <c r="O49" s="59" t="s">
        <v>67</v>
      </c>
      <c r="P49" s="60" t="s">
        <v>67</v>
      </c>
      <c r="Q49" s="82" t="s">
        <v>67</v>
      </c>
      <c r="R49" s="83" t="s">
        <v>67</v>
      </c>
      <c r="S49" s="59" t="s">
        <v>67</v>
      </c>
      <c r="T49" s="60" t="s">
        <v>67</v>
      </c>
      <c r="U49" s="82" t="s">
        <v>67</v>
      </c>
      <c r="V49" s="83" t="s">
        <v>67</v>
      </c>
      <c r="W49" s="59" t="s">
        <v>67</v>
      </c>
      <c r="X49" s="60" t="s">
        <v>67</v>
      </c>
      <c r="Y49" s="71" t="s">
        <v>67</v>
      </c>
      <c r="Z49" s="72" t="s">
        <v>67</v>
      </c>
    </row>
    <row r="50" spans="2:26" x14ac:dyDescent="0.25">
      <c r="B50" s="14" t="s">
        <v>10</v>
      </c>
      <c r="C50" s="9">
        <v>0</v>
      </c>
      <c r="D50" s="10">
        <v>2.2521844945561699E-5</v>
      </c>
      <c r="E50" s="9">
        <v>1E-4</v>
      </c>
      <c r="F50" s="10">
        <v>2.01415038351575E-5</v>
      </c>
      <c r="G50" s="9">
        <v>2.0000000000000001E-4</v>
      </c>
      <c r="H50" s="10">
        <v>3.0234606873132698E-6</v>
      </c>
      <c r="I50" s="9">
        <v>4.0000000000000002E-4</v>
      </c>
      <c r="J50" s="41">
        <v>0</v>
      </c>
      <c r="K50" s="59" t="s">
        <v>67</v>
      </c>
      <c r="L50" s="60" t="s">
        <v>67</v>
      </c>
      <c r="M50" s="82" t="s">
        <v>67</v>
      </c>
      <c r="N50" s="83" t="s">
        <v>67</v>
      </c>
      <c r="O50" s="59" t="s">
        <v>67</v>
      </c>
      <c r="P50" s="60" t="s">
        <v>67</v>
      </c>
      <c r="Q50" s="82" t="s">
        <v>67</v>
      </c>
      <c r="R50" s="83" t="s">
        <v>67</v>
      </c>
      <c r="S50" s="59" t="s">
        <v>67</v>
      </c>
      <c r="T50" s="60" t="s">
        <v>67</v>
      </c>
      <c r="U50" s="82" t="s">
        <v>67</v>
      </c>
      <c r="V50" s="83" t="s">
        <v>67</v>
      </c>
      <c r="W50" s="59" t="s">
        <v>67</v>
      </c>
      <c r="X50" s="60" t="s">
        <v>67</v>
      </c>
      <c r="Y50" s="71" t="s">
        <v>67</v>
      </c>
      <c r="Z50" s="72" t="s">
        <v>67</v>
      </c>
    </row>
    <row r="51" spans="2:26" x14ac:dyDescent="0.25">
      <c r="B51" s="14" t="s">
        <v>11</v>
      </c>
      <c r="C51" s="9">
        <v>0</v>
      </c>
      <c r="D51" s="10">
        <v>0</v>
      </c>
      <c r="E51" s="9">
        <v>0</v>
      </c>
      <c r="F51" s="10">
        <v>0</v>
      </c>
      <c r="G51" s="9">
        <v>0</v>
      </c>
      <c r="H51" s="10">
        <v>0</v>
      </c>
      <c r="I51" s="9">
        <v>0</v>
      </c>
      <c r="J51" s="41">
        <v>0</v>
      </c>
      <c r="K51" s="59" t="s">
        <v>67</v>
      </c>
      <c r="L51" s="60" t="s">
        <v>67</v>
      </c>
      <c r="M51" s="82" t="s">
        <v>67</v>
      </c>
      <c r="N51" s="83" t="s">
        <v>67</v>
      </c>
      <c r="O51" s="59" t="s">
        <v>67</v>
      </c>
      <c r="P51" s="60" t="s">
        <v>67</v>
      </c>
      <c r="Q51" s="82" t="s">
        <v>67</v>
      </c>
      <c r="R51" s="83" t="s">
        <v>67</v>
      </c>
      <c r="S51" s="59" t="s">
        <v>67</v>
      </c>
      <c r="T51" s="60" t="s">
        <v>67</v>
      </c>
      <c r="U51" s="82" t="s">
        <v>67</v>
      </c>
      <c r="V51" s="83" t="s">
        <v>67</v>
      </c>
      <c r="W51" s="59" t="s">
        <v>67</v>
      </c>
      <c r="X51" s="60" t="s">
        <v>67</v>
      </c>
      <c r="Y51" s="71" t="s">
        <v>67</v>
      </c>
      <c r="Z51" s="72" t="s">
        <v>67</v>
      </c>
    </row>
    <row r="52" spans="2:26" x14ac:dyDescent="0.25">
      <c r="B52" s="14" t="s">
        <v>12</v>
      </c>
      <c r="C52" s="9">
        <v>0</v>
      </c>
      <c r="D52" s="10">
        <v>0</v>
      </c>
      <c r="E52" s="9">
        <v>0</v>
      </c>
      <c r="F52" s="10">
        <v>0</v>
      </c>
      <c r="G52" s="9">
        <v>0</v>
      </c>
      <c r="H52" s="10">
        <v>0</v>
      </c>
      <c r="I52" s="9">
        <v>0</v>
      </c>
      <c r="J52" s="41">
        <v>0</v>
      </c>
      <c r="K52" s="59" t="s">
        <v>67</v>
      </c>
      <c r="L52" s="60" t="s">
        <v>67</v>
      </c>
      <c r="M52" s="82" t="s">
        <v>67</v>
      </c>
      <c r="N52" s="83" t="s">
        <v>67</v>
      </c>
      <c r="O52" s="59" t="s">
        <v>67</v>
      </c>
      <c r="P52" s="60" t="s">
        <v>67</v>
      </c>
      <c r="Q52" s="82" t="s">
        <v>67</v>
      </c>
      <c r="R52" s="83" t="s">
        <v>67</v>
      </c>
      <c r="S52" s="59" t="s">
        <v>67</v>
      </c>
      <c r="T52" s="60" t="s">
        <v>67</v>
      </c>
      <c r="U52" s="82" t="s">
        <v>67</v>
      </c>
      <c r="V52" s="83" t="s">
        <v>67</v>
      </c>
      <c r="W52" s="59" t="s">
        <v>67</v>
      </c>
      <c r="X52" s="60" t="s">
        <v>67</v>
      </c>
      <c r="Y52" s="71" t="s">
        <v>67</v>
      </c>
      <c r="Z52" s="72" t="s">
        <v>67</v>
      </c>
    </row>
    <row r="53" spans="2:26" x14ac:dyDescent="0.25">
      <c r="B53" s="14" t="s">
        <v>13</v>
      </c>
      <c r="C53" s="9">
        <v>0</v>
      </c>
      <c r="D53" s="10">
        <v>0</v>
      </c>
      <c r="E53" s="9">
        <v>0</v>
      </c>
      <c r="F53" s="10">
        <v>0</v>
      </c>
      <c r="G53" s="9">
        <v>0</v>
      </c>
      <c r="H53" s="10">
        <v>0</v>
      </c>
      <c r="I53" s="9">
        <v>0</v>
      </c>
      <c r="J53" s="41">
        <v>0</v>
      </c>
      <c r="K53" s="59" t="s">
        <v>67</v>
      </c>
      <c r="L53" s="60" t="s">
        <v>67</v>
      </c>
      <c r="M53" s="82" t="s">
        <v>67</v>
      </c>
      <c r="N53" s="83" t="s">
        <v>67</v>
      </c>
      <c r="O53" s="59" t="s">
        <v>67</v>
      </c>
      <c r="P53" s="60" t="s">
        <v>67</v>
      </c>
      <c r="Q53" s="82" t="s">
        <v>67</v>
      </c>
      <c r="R53" s="83" t="s">
        <v>67</v>
      </c>
      <c r="S53" s="59" t="s">
        <v>67</v>
      </c>
      <c r="T53" s="60" t="s">
        <v>67</v>
      </c>
      <c r="U53" s="82" t="s">
        <v>67</v>
      </c>
      <c r="V53" s="83" t="s">
        <v>67</v>
      </c>
      <c r="W53" s="59" t="s">
        <v>67</v>
      </c>
      <c r="X53" s="60" t="s">
        <v>67</v>
      </c>
      <c r="Y53" s="71" t="s">
        <v>67</v>
      </c>
      <c r="Z53" s="72" t="s">
        <v>67</v>
      </c>
    </row>
    <row r="54" spans="2:26" x14ac:dyDescent="0.25">
      <c r="B54" s="14" t="s">
        <v>14</v>
      </c>
      <c r="C54" s="9">
        <v>5.9999999999999995E-4</v>
      </c>
      <c r="D54" s="10">
        <v>4.2997967634790003E-2</v>
      </c>
      <c r="E54" s="9">
        <v>1.4E-3</v>
      </c>
      <c r="F54" s="10">
        <v>4.1241541036020103E-2</v>
      </c>
      <c r="G54" s="9">
        <v>2.2000000000000001E-3</v>
      </c>
      <c r="H54" s="10">
        <v>3.8846735181188398E-2</v>
      </c>
      <c r="I54" s="9">
        <v>2.7000000000000001E-3</v>
      </c>
      <c r="J54" s="41">
        <v>3.7499999999999999E-2</v>
      </c>
      <c r="K54" s="59" t="s">
        <v>67</v>
      </c>
      <c r="L54" s="60" t="s">
        <v>67</v>
      </c>
      <c r="M54" s="82" t="s">
        <v>67</v>
      </c>
      <c r="N54" s="83" t="s">
        <v>67</v>
      </c>
      <c r="O54" s="59" t="s">
        <v>67</v>
      </c>
      <c r="P54" s="60" t="s">
        <v>67</v>
      </c>
      <c r="Q54" s="82" t="s">
        <v>67</v>
      </c>
      <c r="R54" s="83" t="s">
        <v>67</v>
      </c>
      <c r="S54" s="59" t="s">
        <v>67</v>
      </c>
      <c r="T54" s="60" t="s">
        <v>67</v>
      </c>
      <c r="U54" s="82" t="s">
        <v>67</v>
      </c>
      <c r="V54" s="83" t="s">
        <v>67</v>
      </c>
      <c r="W54" s="59" t="s">
        <v>67</v>
      </c>
      <c r="X54" s="60" t="s">
        <v>67</v>
      </c>
      <c r="Y54" s="71" t="s">
        <v>67</v>
      </c>
      <c r="Z54" s="72" t="s">
        <v>67</v>
      </c>
    </row>
    <row r="55" spans="2:26" x14ac:dyDescent="0.25">
      <c r="B55" s="14" t="s">
        <v>15</v>
      </c>
      <c r="C55" s="9">
        <v>9.9999999999997105E-5</v>
      </c>
      <c r="D55" s="10">
        <v>1.4075601381414999E-3</v>
      </c>
      <c r="E55" s="9">
        <v>-4.6317116808580702E-18</v>
      </c>
      <c r="F55" s="10">
        <v>1.33915656768127E-3</v>
      </c>
      <c r="G55" s="9">
        <v>3.0000000000003201E-4</v>
      </c>
      <c r="H55" s="10">
        <v>1.12642640528751E-3</v>
      </c>
      <c r="I55" s="9">
        <v>4.0000000000000002E-4</v>
      </c>
      <c r="J55" s="41">
        <v>1E-3</v>
      </c>
      <c r="K55" s="59" t="s">
        <v>67</v>
      </c>
      <c r="L55" s="60" t="s">
        <v>67</v>
      </c>
      <c r="M55" s="82" t="s">
        <v>67</v>
      </c>
      <c r="N55" s="83" t="s">
        <v>67</v>
      </c>
      <c r="O55" s="59" t="s">
        <v>67</v>
      </c>
      <c r="P55" s="60" t="s">
        <v>67</v>
      </c>
      <c r="Q55" s="82" t="s">
        <v>67</v>
      </c>
      <c r="R55" s="83" t="s">
        <v>67</v>
      </c>
      <c r="S55" s="59" t="s">
        <v>67</v>
      </c>
      <c r="T55" s="60" t="s">
        <v>67</v>
      </c>
      <c r="U55" s="82" t="s">
        <v>67</v>
      </c>
      <c r="V55" s="83" t="s">
        <v>67</v>
      </c>
      <c r="W55" s="59" t="s">
        <v>67</v>
      </c>
      <c r="X55" s="60" t="s">
        <v>67</v>
      </c>
      <c r="Y55" s="71" t="s">
        <v>67</v>
      </c>
      <c r="Z55" s="72" t="s">
        <v>67</v>
      </c>
    </row>
    <row r="56" spans="2:26" x14ac:dyDescent="0.25">
      <c r="B56" s="14" t="s">
        <v>16</v>
      </c>
      <c r="C56" s="9">
        <v>0</v>
      </c>
      <c r="D56" s="10">
        <v>0</v>
      </c>
      <c r="E56" s="9">
        <v>0</v>
      </c>
      <c r="F56" s="10">
        <v>0</v>
      </c>
      <c r="G56" s="9">
        <v>0</v>
      </c>
      <c r="H56" s="10">
        <v>0</v>
      </c>
      <c r="I56" s="9">
        <v>0</v>
      </c>
      <c r="J56" s="41">
        <v>0</v>
      </c>
      <c r="K56" s="59" t="s">
        <v>67</v>
      </c>
      <c r="L56" s="60" t="s">
        <v>67</v>
      </c>
      <c r="M56" s="82" t="s">
        <v>67</v>
      </c>
      <c r="N56" s="83" t="s">
        <v>67</v>
      </c>
      <c r="O56" s="59" t="s">
        <v>67</v>
      </c>
      <c r="P56" s="60" t="s">
        <v>67</v>
      </c>
      <c r="Q56" s="82" t="s">
        <v>67</v>
      </c>
      <c r="R56" s="83" t="s">
        <v>67</v>
      </c>
      <c r="S56" s="59" t="s">
        <v>67</v>
      </c>
      <c r="T56" s="60" t="s">
        <v>67</v>
      </c>
      <c r="U56" s="82" t="s">
        <v>67</v>
      </c>
      <c r="V56" s="83" t="s">
        <v>67</v>
      </c>
      <c r="W56" s="59" t="s">
        <v>67</v>
      </c>
      <c r="X56" s="60" t="s">
        <v>67</v>
      </c>
      <c r="Y56" s="71" t="s">
        <v>67</v>
      </c>
      <c r="Z56" s="72" t="s">
        <v>67</v>
      </c>
    </row>
    <row r="57" spans="2:26" x14ac:dyDescent="0.25">
      <c r="B57" s="14" t="s">
        <v>17</v>
      </c>
      <c r="C57" s="9">
        <v>0</v>
      </c>
      <c r="D57" s="10">
        <v>7.1470837879714999E-4</v>
      </c>
      <c r="E57" s="9">
        <v>0</v>
      </c>
      <c r="F57" s="10">
        <v>6.98238799259704E-4</v>
      </c>
      <c r="G57" s="9">
        <v>0</v>
      </c>
      <c r="H57" s="10">
        <v>6.6657583539818995E-4</v>
      </c>
      <c r="I57" s="9">
        <v>2.0000000000000001E-4</v>
      </c>
      <c r="J57" s="41">
        <v>5.9999999999999995E-4</v>
      </c>
      <c r="K57" s="59" t="s">
        <v>67</v>
      </c>
      <c r="L57" s="60" t="s">
        <v>67</v>
      </c>
      <c r="M57" s="82" t="s">
        <v>67</v>
      </c>
      <c r="N57" s="83" t="s">
        <v>67</v>
      </c>
      <c r="O57" s="59" t="s">
        <v>67</v>
      </c>
      <c r="P57" s="60" t="s">
        <v>67</v>
      </c>
      <c r="Q57" s="82" t="s">
        <v>67</v>
      </c>
      <c r="R57" s="83" t="s">
        <v>67</v>
      </c>
      <c r="S57" s="59" t="s">
        <v>67</v>
      </c>
      <c r="T57" s="60" t="s">
        <v>67</v>
      </c>
      <c r="U57" s="82" t="s">
        <v>67</v>
      </c>
      <c r="V57" s="83" t="s">
        <v>67</v>
      </c>
      <c r="W57" s="59" t="s">
        <v>67</v>
      </c>
      <c r="X57" s="60" t="s">
        <v>67</v>
      </c>
      <c r="Y57" s="71" t="s">
        <v>67</v>
      </c>
      <c r="Z57" s="72" t="s">
        <v>67</v>
      </c>
    </row>
    <row r="58" spans="2:26" x14ac:dyDescent="0.25">
      <c r="B58" s="14" t="s">
        <v>18</v>
      </c>
      <c r="C58" s="9">
        <v>0</v>
      </c>
      <c r="D58" s="10">
        <v>0</v>
      </c>
      <c r="E58" s="9">
        <v>0</v>
      </c>
      <c r="F58" s="10">
        <v>0</v>
      </c>
      <c r="G58" s="9">
        <v>0</v>
      </c>
      <c r="H58" s="10">
        <v>0</v>
      </c>
      <c r="I58" s="9">
        <v>0</v>
      </c>
      <c r="J58" s="41">
        <v>0</v>
      </c>
      <c r="K58" s="59" t="s">
        <v>67</v>
      </c>
      <c r="L58" s="60" t="s">
        <v>67</v>
      </c>
      <c r="M58" s="82" t="s">
        <v>67</v>
      </c>
      <c r="N58" s="83" t="s">
        <v>67</v>
      </c>
      <c r="O58" s="59" t="s">
        <v>67</v>
      </c>
      <c r="P58" s="60" t="s">
        <v>67</v>
      </c>
      <c r="Q58" s="82" t="s">
        <v>67</v>
      </c>
      <c r="R58" s="83" t="s">
        <v>67</v>
      </c>
      <c r="S58" s="59" t="s">
        <v>67</v>
      </c>
      <c r="T58" s="60" t="s">
        <v>67</v>
      </c>
      <c r="U58" s="82" t="s">
        <v>67</v>
      </c>
      <c r="V58" s="83" t="s">
        <v>67</v>
      </c>
      <c r="W58" s="59" t="s">
        <v>67</v>
      </c>
      <c r="X58" s="60" t="s">
        <v>67</v>
      </c>
      <c r="Y58" s="71" t="s">
        <v>67</v>
      </c>
      <c r="Z58" s="72" t="s">
        <v>67</v>
      </c>
    </row>
    <row r="59" spans="2:26" x14ac:dyDescent="0.25">
      <c r="B59" s="15" t="s">
        <v>60</v>
      </c>
      <c r="C59" s="16">
        <v>4.8000000000000001E-2</v>
      </c>
      <c r="D59" s="17">
        <v>1</v>
      </c>
      <c r="E59" s="16">
        <v>8.0399999999999999E-2</v>
      </c>
      <c r="F59" s="17">
        <v>1</v>
      </c>
      <c r="G59" s="16">
        <v>0.13120000000000001</v>
      </c>
      <c r="H59" s="17">
        <v>1</v>
      </c>
      <c r="I59" s="16">
        <v>0.1512</v>
      </c>
      <c r="J59" s="3">
        <v>1</v>
      </c>
      <c r="K59" s="59" t="s">
        <v>67</v>
      </c>
      <c r="L59" s="60" t="s">
        <v>67</v>
      </c>
      <c r="M59" s="82" t="s">
        <v>67</v>
      </c>
      <c r="N59" s="83" t="s">
        <v>67</v>
      </c>
      <c r="O59" s="59" t="s">
        <v>67</v>
      </c>
      <c r="P59" s="60" t="s">
        <v>67</v>
      </c>
      <c r="Q59" s="82" t="s">
        <v>67</v>
      </c>
      <c r="R59" s="83" t="s">
        <v>67</v>
      </c>
      <c r="S59" s="59" t="s">
        <v>67</v>
      </c>
      <c r="T59" s="60" t="s">
        <v>67</v>
      </c>
      <c r="U59" s="82" t="s">
        <v>67</v>
      </c>
      <c r="V59" s="83" t="s">
        <v>67</v>
      </c>
      <c r="W59" s="59" t="s">
        <v>67</v>
      </c>
      <c r="X59" s="60" t="s">
        <v>67</v>
      </c>
      <c r="Y59" s="71" t="s">
        <v>67</v>
      </c>
      <c r="Z59" s="72" t="s">
        <v>67</v>
      </c>
    </row>
    <row r="60" spans="2:26" x14ac:dyDescent="0.25">
      <c r="B60" s="20" t="s">
        <v>24</v>
      </c>
      <c r="C60" s="21">
        <v>487738.48310937302</v>
      </c>
      <c r="D60" s="51" t="s">
        <v>67</v>
      </c>
      <c r="E60" s="21">
        <v>813723.32488797198</v>
      </c>
      <c r="F60" s="51" t="s">
        <v>67</v>
      </c>
      <c r="G60" s="21">
        <v>1320925.5089184099</v>
      </c>
      <c r="H60" s="51" t="s">
        <v>67</v>
      </c>
      <c r="I60" s="21">
        <v>1515278</v>
      </c>
      <c r="J60" s="50" t="s">
        <v>67</v>
      </c>
      <c r="K60" s="61" t="s">
        <v>67</v>
      </c>
      <c r="L60" s="91" t="s">
        <v>67</v>
      </c>
      <c r="M60" s="88" t="s">
        <v>67</v>
      </c>
      <c r="N60" s="91" t="s">
        <v>67</v>
      </c>
      <c r="O60" s="61" t="s">
        <v>67</v>
      </c>
      <c r="P60" s="91" t="s">
        <v>67</v>
      </c>
      <c r="Q60" s="88" t="s">
        <v>67</v>
      </c>
      <c r="R60" s="91" t="s">
        <v>67</v>
      </c>
      <c r="S60" s="61" t="s">
        <v>67</v>
      </c>
      <c r="T60" s="62" t="s">
        <v>67</v>
      </c>
      <c r="U60" s="88" t="s">
        <v>67</v>
      </c>
      <c r="V60" s="91" t="s">
        <v>67</v>
      </c>
      <c r="W60" s="61" t="s">
        <v>67</v>
      </c>
      <c r="X60" s="91" t="s">
        <v>67</v>
      </c>
      <c r="Y60" s="73" t="s">
        <v>67</v>
      </c>
      <c r="Z60" s="91" t="s">
        <v>67</v>
      </c>
    </row>
    <row r="61" spans="2:26" s="96" customFormat="1" x14ac:dyDescent="0.25">
      <c r="B61" s="92" t="s">
        <v>67</v>
      </c>
      <c r="C61" s="93" t="s">
        <v>67</v>
      </c>
      <c r="D61" s="93" t="s">
        <v>67</v>
      </c>
      <c r="E61" s="93" t="s">
        <v>67</v>
      </c>
      <c r="F61" s="93" t="s">
        <v>67</v>
      </c>
      <c r="G61" s="93" t="s">
        <v>67</v>
      </c>
      <c r="H61" s="93" t="s">
        <v>67</v>
      </c>
      <c r="I61" s="93" t="s">
        <v>67</v>
      </c>
      <c r="J61" s="94" t="s">
        <v>67</v>
      </c>
      <c r="K61" s="95" t="s">
        <v>67</v>
      </c>
      <c r="L61" s="95" t="s">
        <v>67</v>
      </c>
      <c r="M61" s="95" t="s">
        <v>67</v>
      </c>
      <c r="N61" s="95" t="s">
        <v>67</v>
      </c>
      <c r="O61" s="95" t="s">
        <v>67</v>
      </c>
      <c r="P61" s="95" t="s">
        <v>67</v>
      </c>
      <c r="Q61" s="95" t="s">
        <v>67</v>
      </c>
      <c r="R61" s="95" t="s">
        <v>67</v>
      </c>
      <c r="S61" s="95" t="s">
        <v>67</v>
      </c>
      <c r="T61" s="95" t="s">
        <v>67</v>
      </c>
      <c r="U61" s="95" t="s">
        <v>67</v>
      </c>
      <c r="V61" s="95" t="s">
        <v>67</v>
      </c>
      <c r="W61" s="95" t="s">
        <v>67</v>
      </c>
      <c r="X61" s="95" t="s">
        <v>67</v>
      </c>
      <c r="Y61" s="95" t="s">
        <v>67</v>
      </c>
      <c r="Z61" s="95" t="s">
        <v>67</v>
      </c>
    </row>
    <row r="62" spans="2:26" x14ac:dyDescent="0.25">
      <c r="B62" s="8" t="s">
        <v>19</v>
      </c>
      <c r="C62" s="23">
        <v>4.7500000000000001E-2</v>
      </c>
      <c r="D62" s="24">
        <v>0.96957324806955303</v>
      </c>
      <c r="E62" s="23">
        <v>7.9799999999999996E-2</v>
      </c>
      <c r="F62" s="24">
        <v>0.96510421533438395</v>
      </c>
      <c r="G62" s="23">
        <v>0.13039999999999999</v>
      </c>
      <c r="H62" s="24">
        <v>0.96266404167526898</v>
      </c>
      <c r="I62" s="23">
        <v>0.14829999999999999</v>
      </c>
      <c r="J62" s="42">
        <v>0.9526</v>
      </c>
      <c r="K62" s="63" t="s">
        <v>67</v>
      </c>
      <c r="L62" s="64" t="s">
        <v>67</v>
      </c>
      <c r="M62" s="80" t="s">
        <v>67</v>
      </c>
      <c r="N62" s="81" t="s">
        <v>67</v>
      </c>
      <c r="O62" s="63" t="s">
        <v>67</v>
      </c>
      <c r="P62" s="64" t="s">
        <v>67</v>
      </c>
      <c r="Q62" s="80" t="s">
        <v>67</v>
      </c>
      <c r="R62" s="81" t="s">
        <v>67</v>
      </c>
      <c r="S62" s="63" t="s">
        <v>67</v>
      </c>
      <c r="T62" s="64" t="s">
        <v>67</v>
      </c>
      <c r="U62" s="80" t="s">
        <v>67</v>
      </c>
      <c r="V62" s="81" t="s">
        <v>67</v>
      </c>
      <c r="W62" s="63" t="s">
        <v>67</v>
      </c>
      <c r="X62" s="64" t="s">
        <v>67</v>
      </c>
      <c r="Y62" s="74" t="s">
        <v>67</v>
      </c>
      <c r="Z62" s="75" t="s">
        <v>67</v>
      </c>
    </row>
    <row r="63" spans="2:26" x14ac:dyDescent="0.25">
      <c r="B63" s="14" t="s">
        <v>20</v>
      </c>
      <c r="C63" s="9">
        <v>4.9999999999999795E-4</v>
      </c>
      <c r="D63" s="10">
        <v>3.0426751930446898E-2</v>
      </c>
      <c r="E63" s="9">
        <v>5.9999999999997805E-4</v>
      </c>
      <c r="F63" s="10">
        <v>3.4895784665615902E-2</v>
      </c>
      <c r="G63" s="9">
        <v>8.0000000000001001E-4</v>
      </c>
      <c r="H63" s="10">
        <v>3.7335958324730703E-2</v>
      </c>
      <c r="I63" s="9">
        <v>2.8999999999999998E-3</v>
      </c>
      <c r="J63" s="41">
        <v>4.7399999999999998E-2</v>
      </c>
      <c r="K63" s="59" t="s">
        <v>67</v>
      </c>
      <c r="L63" s="60" t="s">
        <v>67</v>
      </c>
      <c r="M63" s="82" t="s">
        <v>67</v>
      </c>
      <c r="N63" s="83" t="s">
        <v>67</v>
      </c>
      <c r="O63" s="59" t="s">
        <v>67</v>
      </c>
      <c r="P63" s="60" t="s">
        <v>67</v>
      </c>
      <c r="Q63" s="82" t="s">
        <v>67</v>
      </c>
      <c r="R63" s="83" t="s">
        <v>67</v>
      </c>
      <c r="S63" s="59" t="s">
        <v>67</v>
      </c>
      <c r="T63" s="60" t="s">
        <v>67</v>
      </c>
      <c r="U63" s="82" t="s">
        <v>67</v>
      </c>
      <c r="V63" s="83" t="s">
        <v>67</v>
      </c>
      <c r="W63" s="59" t="s">
        <v>67</v>
      </c>
      <c r="X63" s="60" t="s">
        <v>67</v>
      </c>
      <c r="Y63" s="71" t="s">
        <v>67</v>
      </c>
      <c r="Z63" s="72" t="s">
        <v>67</v>
      </c>
    </row>
    <row r="64" spans="2:26" x14ac:dyDescent="0.25">
      <c r="B64" s="15" t="s">
        <v>60</v>
      </c>
      <c r="C64" s="16">
        <v>4.8000000000000001E-2</v>
      </c>
      <c r="D64" s="17">
        <v>1</v>
      </c>
      <c r="E64" s="16">
        <v>8.0399999999999999E-2</v>
      </c>
      <c r="F64" s="17">
        <v>1</v>
      </c>
      <c r="G64" s="16">
        <v>0.13120000000000001</v>
      </c>
      <c r="H64" s="17">
        <v>1</v>
      </c>
      <c r="I64" s="16">
        <v>0.1512</v>
      </c>
      <c r="J64" s="3">
        <v>1</v>
      </c>
      <c r="K64" s="65" t="s">
        <v>67</v>
      </c>
      <c r="L64" s="66" t="s">
        <v>67</v>
      </c>
      <c r="M64" s="84" t="s">
        <v>67</v>
      </c>
      <c r="N64" s="85" t="s">
        <v>67</v>
      </c>
      <c r="O64" s="65" t="s">
        <v>67</v>
      </c>
      <c r="P64" s="66" t="s">
        <v>67</v>
      </c>
      <c r="Q64" s="84" t="s">
        <v>67</v>
      </c>
      <c r="R64" s="85" t="s">
        <v>67</v>
      </c>
      <c r="S64" s="65" t="s">
        <v>67</v>
      </c>
      <c r="T64" s="66" t="s">
        <v>67</v>
      </c>
      <c r="U64" s="84" t="s">
        <v>67</v>
      </c>
      <c r="V64" s="85" t="s">
        <v>67</v>
      </c>
      <c r="W64" s="65" t="s">
        <v>67</v>
      </c>
      <c r="X64" s="66" t="s">
        <v>67</v>
      </c>
      <c r="Y64" s="76" t="s">
        <v>67</v>
      </c>
      <c r="Z64" s="77" t="s">
        <v>67</v>
      </c>
    </row>
    <row r="65" spans="2:26" s="96" customFormat="1" x14ac:dyDescent="0.25">
      <c r="B65" s="92" t="s">
        <v>67</v>
      </c>
      <c r="C65" s="93" t="s">
        <v>67</v>
      </c>
      <c r="D65" s="93" t="s">
        <v>67</v>
      </c>
      <c r="E65" s="93" t="s">
        <v>67</v>
      </c>
      <c r="F65" s="93" t="s">
        <v>67</v>
      </c>
      <c r="G65" s="93" t="s">
        <v>67</v>
      </c>
      <c r="H65" s="93" t="s">
        <v>67</v>
      </c>
      <c r="I65" s="93" t="s">
        <v>67</v>
      </c>
      <c r="J65" s="94" t="s">
        <v>67</v>
      </c>
      <c r="K65" s="95" t="s">
        <v>67</v>
      </c>
      <c r="L65" s="95" t="s">
        <v>67</v>
      </c>
      <c r="M65" s="95" t="s">
        <v>67</v>
      </c>
      <c r="N65" s="95" t="s">
        <v>67</v>
      </c>
      <c r="O65" s="95" t="s">
        <v>67</v>
      </c>
      <c r="P65" s="95" t="s">
        <v>67</v>
      </c>
      <c r="Q65" s="95" t="s">
        <v>67</v>
      </c>
      <c r="R65" s="95" t="s">
        <v>67</v>
      </c>
      <c r="S65" s="95" t="s">
        <v>67</v>
      </c>
      <c r="T65" s="95" t="s">
        <v>67</v>
      </c>
      <c r="U65" s="95" t="s">
        <v>67</v>
      </c>
      <c r="V65" s="95" t="s">
        <v>67</v>
      </c>
      <c r="W65" s="95" t="s">
        <v>67</v>
      </c>
      <c r="X65" s="95" t="s">
        <v>67</v>
      </c>
      <c r="Y65" s="95" t="s">
        <v>67</v>
      </c>
      <c r="Z65" s="95" t="s">
        <v>67</v>
      </c>
    </row>
    <row r="66" spans="2:26" x14ac:dyDescent="0.25">
      <c r="B66" s="8" t="s">
        <v>21</v>
      </c>
      <c r="C66" s="23">
        <v>2.8400000000000002E-2</v>
      </c>
      <c r="D66" s="24">
        <v>0.508489623033203</v>
      </c>
      <c r="E66" s="23">
        <v>4.3099999999999999E-2</v>
      </c>
      <c r="F66" s="24">
        <v>0.498799347219474</v>
      </c>
      <c r="G66" s="23">
        <v>6.6199999999999995E-2</v>
      </c>
      <c r="H66" s="24">
        <v>0.49069631869094898</v>
      </c>
      <c r="I66" s="23">
        <v>7.8700000000000006E-2</v>
      </c>
      <c r="J66" s="42">
        <v>0.4884</v>
      </c>
      <c r="K66" s="63" t="s">
        <v>67</v>
      </c>
      <c r="L66" s="64" t="s">
        <v>67</v>
      </c>
      <c r="M66" s="80" t="s">
        <v>67</v>
      </c>
      <c r="N66" s="81" t="s">
        <v>67</v>
      </c>
      <c r="O66" s="63" t="s">
        <v>67</v>
      </c>
      <c r="P66" s="64" t="s">
        <v>67</v>
      </c>
      <c r="Q66" s="80" t="s">
        <v>67</v>
      </c>
      <c r="R66" s="81" t="s">
        <v>67</v>
      </c>
      <c r="S66" s="63" t="s">
        <v>67</v>
      </c>
      <c r="T66" s="64" t="s">
        <v>67</v>
      </c>
      <c r="U66" s="80" t="s">
        <v>67</v>
      </c>
      <c r="V66" s="81" t="s">
        <v>67</v>
      </c>
      <c r="W66" s="63" t="s">
        <v>67</v>
      </c>
      <c r="X66" s="64" t="s">
        <v>67</v>
      </c>
      <c r="Y66" s="74" t="s">
        <v>67</v>
      </c>
      <c r="Z66" s="75" t="s">
        <v>67</v>
      </c>
    </row>
    <row r="67" spans="2:26" x14ac:dyDescent="0.25">
      <c r="B67" s="14" t="s">
        <v>22</v>
      </c>
      <c r="C67" s="9">
        <v>1.9599999999999999E-2</v>
      </c>
      <c r="D67" s="10">
        <v>0.491510376966797</v>
      </c>
      <c r="E67" s="9">
        <v>3.73E-2</v>
      </c>
      <c r="F67" s="10">
        <v>0.50120065278052595</v>
      </c>
      <c r="G67" s="9">
        <v>6.5000000000000002E-2</v>
      </c>
      <c r="H67" s="10">
        <v>0.50930368130905102</v>
      </c>
      <c r="I67" s="9">
        <v>7.2499999999999995E-2</v>
      </c>
      <c r="J67" s="41">
        <v>0.51160000000000005</v>
      </c>
      <c r="K67" s="59" t="s">
        <v>67</v>
      </c>
      <c r="L67" s="60" t="s">
        <v>67</v>
      </c>
      <c r="M67" s="82" t="s">
        <v>67</v>
      </c>
      <c r="N67" s="83" t="s">
        <v>67</v>
      </c>
      <c r="O67" s="59" t="s">
        <v>67</v>
      </c>
      <c r="P67" s="60" t="s">
        <v>67</v>
      </c>
      <c r="Q67" s="82" t="s">
        <v>67</v>
      </c>
      <c r="R67" s="83" t="s">
        <v>67</v>
      </c>
      <c r="S67" s="59" t="s">
        <v>67</v>
      </c>
      <c r="T67" s="60" t="s">
        <v>67</v>
      </c>
      <c r="U67" s="82" t="s">
        <v>67</v>
      </c>
      <c r="V67" s="83" t="s">
        <v>67</v>
      </c>
      <c r="W67" s="59" t="s">
        <v>67</v>
      </c>
      <c r="X67" s="60" t="s">
        <v>67</v>
      </c>
      <c r="Y67" s="71" t="s">
        <v>67</v>
      </c>
      <c r="Z67" s="72" t="s">
        <v>67</v>
      </c>
    </row>
    <row r="68" spans="2:26" x14ac:dyDescent="0.25">
      <c r="B68" s="28" t="s">
        <v>60</v>
      </c>
      <c r="C68" s="29">
        <v>4.8000000000000001E-2</v>
      </c>
      <c r="D68" s="30">
        <v>1</v>
      </c>
      <c r="E68" s="29">
        <v>8.0399999999999999E-2</v>
      </c>
      <c r="F68" s="30">
        <v>1</v>
      </c>
      <c r="G68" s="29">
        <v>0.13120000000000001</v>
      </c>
      <c r="H68" s="30">
        <v>1</v>
      </c>
      <c r="I68" s="29">
        <v>0.1512</v>
      </c>
      <c r="J68" s="2">
        <v>1</v>
      </c>
      <c r="K68" s="67" t="s">
        <v>67</v>
      </c>
      <c r="L68" s="68" t="s">
        <v>67</v>
      </c>
      <c r="M68" s="86" t="s">
        <v>67</v>
      </c>
      <c r="N68" s="87" t="s">
        <v>67</v>
      </c>
      <c r="O68" s="67" t="s">
        <v>67</v>
      </c>
      <c r="P68" s="68" t="s">
        <v>67</v>
      </c>
      <c r="Q68" s="86" t="s">
        <v>67</v>
      </c>
      <c r="R68" s="87" t="s">
        <v>67</v>
      </c>
      <c r="S68" s="67" t="s">
        <v>67</v>
      </c>
      <c r="T68" s="68" t="s">
        <v>67</v>
      </c>
      <c r="U68" s="86" t="s">
        <v>67</v>
      </c>
      <c r="V68" s="87" t="s">
        <v>67</v>
      </c>
      <c r="W68" s="67" t="s">
        <v>67</v>
      </c>
      <c r="X68" s="68" t="s">
        <v>67</v>
      </c>
      <c r="Y68" s="78" t="s">
        <v>67</v>
      </c>
      <c r="Z68" s="79" t="s">
        <v>67</v>
      </c>
    </row>
    <row r="69" spans="2:26" s="96" customFormat="1" x14ac:dyDescent="0.25">
      <c r="B69" s="96" t="s">
        <v>67</v>
      </c>
      <c r="C69" s="96" t="s">
        <v>67</v>
      </c>
      <c r="D69" s="96" t="s">
        <v>67</v>
      </c>
      <c r="E69" s="96" t="s">
        <v>67</v>
      </c>
      <c r="F69" s="96" t="s">
        <v>67</v>
      </c>
      <c r="G69" s="96" t="s">
        <v>67</v>
      </c>
      <c r="H69" s="96" t="s">
        <v>67</v>
      </c>
      <c r="I69" s="96" t="s">
        <v>67</v>
      </c>
      <c r="J69" s="96" t="s">
        <v>67</v>
      </c>
      <c r="K69" s="97" t="s">
        <v>67</v>
      </c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spans="2:26" x14ac:dyDescent="0.25">
      <c r="B70" s="6" t="s">
        <v>63</v>
      </c>
      <c r="C70" s="7">
        <v>2.8E-3</v>
      </c>
      <c r="D70" s="52" t="s">
        <v>67</v>
      </c>
      <c r="E70" s="7">
        <v>5.7000000000000002E-3</v>
      </c>
      <c r="F70" s="52" t="s">
        <v>67</v>
      </c>
      <c r="G70" s="7">
        <v>8.6E-3</v>
      </c>
      <c r="H70" s="52" t="s">
        <v>67</v>
      </c>
      <c r="I70" s="7">
        <v>1.1599999999999999E-2</v>
      </c>
      <c r="J70" s="52" t="s">
        <v>67</v>
      </c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spans="2:26" x14ac:dyDescent="0.25">
      <c r="B71" s="39" t="s">
        <v>65</v>
      </c>
      <c r="C71" s="40">
        <f>C68+C70</f>
        <v>5.0799999999999998E-2</v>
      </c>
      <c r="D71" s="53" t="s">
        <v>67</v>
      </c>
      <c r="E71" s="40">
        <f>E68+E70</f>
        <v>8.6099999999999996E-2</v>
      </c>
      <c r="F71" s="53" t="s">
        <v>67</v>
      </c>
      <c r="G71" s="40">
        <f>G68+G70</f>
        <v>0.13980000000000001</v>
      </c>
      <c r="H71" s="53" t="s">
        <v>67</v>
      </c>
      <c r="I71" s="40">
        <f>I68+I70</f>
        <v>0.1628</v>
      </c>
      <c r="J71" s="53" t="s">
        <v>67</v>
      </c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spans="2:26" x14ac:dyDescent="0.25">
      <c r="B72" s="97" t="s">
        <v>68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10006" spans="3:24" x14ac:dyDescent="0.25">
      <c r="C10006">
        <v>1</v>
      </c>
      <c r="D10006">
        <v>0</v>
      </c>
      <c r="E10006">
        <v>1</v>
      </c>
      <c r="F10006">
        <v>0</v>
      </c>
      <c r="G10006">
        <v>1</v>
      </c>
      <c r="H10006">
        <v>0</v>
      </c>
      <c r="I10006">
        <v>1</v>
      </c>
      <c r="J10006">
        <v>0</v>
      </c>
      <c r="K10006">
        <v>1</v>
      </c>
      <c r="L10006">
        <v>0</v>
      </c>
      <c r="M10006">
        <v>1</v>
      </c>
      <c r="N10006">
        <v>0</v>
      </c>
      <c r="O10006">
        <v>1</v>
      </c>
      <c r="P10006">
        <v>0</v>
      </c>
      <c r="Q10006">
        <v>1</v>
      </c>
      <c r="R10006">
        <v>0</v>
      </c>
      <c r="S10006">
        <v>1</v>
      </c>
      <c r="T10006">
        <v>0</v>
      </c>
      <c r="U10006">
        <v>1</v>
      </c>
      <c r="V10006">
        <v>0</v>
      </c>
      <c r="W10006">
        <v>1</v>
      </c>
      <c r="X10006">
        <v>0</v>
      </c>
    </row>
    <row r="10007" spans="3:24" x14ac:dyDescent="0.25">
      <c r="C10007">
        <v>1.0210600000000001</v>
      </c>
      <c r="D10007">
        <v>0</v>
      </c>
      <c r="E10007">
        <v>1.0077199999999999</v>
      </c>
      <c r="F10007">
        <v>0</v>
      </c>
      <c r="G10007">
        <v>1.0184599999999999</v>
      </c>
      <c r="H10007">
        <v>0</v>
      </c>
      <c r="I10007">
        <v>1.01427</v>
      </c>
      <c r="J10007">
        <v>0</v>
      </c>
      <c r="K10007">
        <v>1.00268</v>
      </c>
      <c r="L10007">
        <v>0</v>
      </c>
      <c r="M10007">
        <v>1.0133799999999999</v>
      </c>
      <c r="N10007">
        <v>0</v>
      </c>
      <c r="O10007">
        <v>1.0210900000000001</v>
      </c>
      <c r="P10007">
        <v>0</v>
      </c>
      <c r="Q10007">
        <v>1.0144299999999999</v>
      </c>
      <c r="R10007">
        <v>0</v>
      </c>
      <c r="S10007">
        <v>1.0103</v>
      </c>
      <c r="T10007">
        <v>0</v>
      </c>
      <c r="U10007">
        <v>1.0114000000000001</v>
      </c>
      <c r="V10007">
        <v>0</v>
      </c>
      <c r="W10007">
        <v>1.0026900000000001</v>
      </c>
      <c r="X10007">
        <v>0</v>
      </c>
    </row>
    <row r="10037" spans="3:8" x14ac:dyDescent="0.25">
      <c r="C10037" s="1">
        <v>1</v>
      </c>
      <c r="D10037" s="1">
        <v>0</v>
      </c>
      <c r="E10037" s="1">
        <v>1</v>
      </c>
      <c r="F10037" s="1">
        <v>0</v>
      </c>
      <c r="G10037" s="1">
        <v>1</v>
      </c>
      <c r="H10037" s="1">
        <v>0</v>
      </c>
    </row>
    <row r="10038" spans="3:8" x14ac:dyDescent="0.25">
      <c r="C10038" s="1">
        <v>1.048</v>
      </c>
      <c r="D10038" s="1">
        <v>0</v>
      </c>
      <c r="E10038" s="1">
        <v>1.08036</v>
      </c>
      <c r="F10038" s="1">
        <v>0</v>
      </c>
      <c r="G10038" s="1">
        <v>1.13121</v>
      </c>
      <c r="H10038" s="1">
        <v>0</v>
      </c>
    </row>
  </sheetData>
  <mergeCells count="19">
    <mergeCell ref="S4:T4"/>
    <mergeCell ref="U4:V4"/>
    <mergeCell ref="W4:X4"/>
    <mergeCell ref="B72:Z72"/>
    <mergeCell ref="B38:Z38"/>
    <mergeCell ref="K69:Z71"/>
    <mergeCell ref="Y4:Z4"/>
    <mergeCell ref="B1:Z1"/>
    <mergeCell ref="B2:E2"/>
    <mergeCell ref="B3:E3"/>
    <mergeCell ref="F2:Z3"/>
    <mergeCell ref="C4:D4"/>
    <mergeCell ref="E4:F4"/>
    <mergeCell ref="G4:H4"/>
    <mergeCell ref="I4:J4"/>
    <mergeCell ref="K4:L4"/>
    <mergeCell ref="M4:N4"/>
    <mergeCell ref="O4:P4"/>
    <mergeCell ref="Q4:R4"/>
  </mergeCells>
  <phoneticPr fontId="24" type="noConversion"/>
  <pageMargins left="0" right="0" top="0" bottom="0.55118110236220474" header="0" footer="0.31496062992125984"/>
  <pageSetup paperSize="9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2018-12-30T09:48:14Z</dcterms:created>
  <dcterms:modified xsi:type="dcterms:W3CDTF">2022-04-10T13:03:29Z</dcterms:modified>
</cp:coreProperties>
</file>