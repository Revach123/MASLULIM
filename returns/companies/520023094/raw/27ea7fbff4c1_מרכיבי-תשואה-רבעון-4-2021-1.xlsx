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24226"/>
  <xr:revisionPtr revIDLastSave="0" documentId="13_ncr:1_{C2DB387D-93B4-4A62-976B-3DCCCBFF44D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תשואה'!$B$1:$Z$68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1" i="5" l="1"/>
  <c r="G71" i="5"/>
  <c r="E71" i="5"/>
  <c r="E4" i="5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<sst xmlns="http://schemas.openxmlformats.org/spreadsheetml/2006/main" count="351" uniqueCount="72">
  <si>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</si>
  <si>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</si>
  <si>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</si>
  <si>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</si>
  <si>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</si>
  <si>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</si>
  <si>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</si>
  <si>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</si>
  <si>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</si>
  <si>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</si>
  <si>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</si>
  <si>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</si>
  <si>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</si>
  <si>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</si>
  <si>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</si>
  <si>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</si>
  <si>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</si>
  <si>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</si>
  <si>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</si>
  <si>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</si>
  <si>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</si>
  <si>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</si>
  <si>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</si>
  <si>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</si>
  <si>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</si>
  <si>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</si>
  <si>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</si>
  <si>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</si>
  <si>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</si>
  <si>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</si>
  <si>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</si>
  <si>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</si>
  <si>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</si>
  <si>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</si>
  <si>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</si>
  <si>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</si>
  <si>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</si>
  <si>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</si>
  <si>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</si>
  <si>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</si>
  <si>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</si>
  <si>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</si>
  <si>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</si>
  <si>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</si>
  <si>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</si>
  <si>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</si>
  <si>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</si>
  <si>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</si>
  <si>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</si>
  <si>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</si>
  <si>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</si>
  <si>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</si>
  <si>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</si>
  <si>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</si>
  <si>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</si>
  <si>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</si>
  <si>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</si>
  <si>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</si>
  <si>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</si>
  <si>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</si>
  <si>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</si>
  <si>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</si>
  <si>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</si>
  <si>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</si>
  <si>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</si>
  <si>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</si>
  <si>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>נוסף סיוע האוצר לקרן ותיקה</t>
  </si>
  <si>
    <t>תשואה חודשית כוללת</t>
  </si>
  <si>
    <t>תשואה מצטברת כוללת</t>
  </si>
  <si>
    <t>שורת נוסחאות</t>
  </si>
  <si>
    <t>שורה ריקה</t>
  </si>
  <si>
    <t>תא ריק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</si>
</sst>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_);_(* \(#,##0\);_(* &quot;-&quot;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 [$€-2]\ * #,##0.00_ ;_ [$€-2]\ * \-#,##0.00_ ;_ [$€-2]\ * &quot;-&quot;??_ "/>
    <numFmt numFmtId="176" formatCode="mmmm\ yyyy"/>
  </numFmts>
  <fonts count="27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1"/>
      <color rgb="FF00B0F0"/>
      <name val="David"/>
      <family val="2"/>
      <charset val="177"/>
    </font>
    <font>
      <sz val="11"/>
      <color rgb="FF92D050"/>
      <name val="David"/>
      <family val="2"/>
      <charset val="177"/>
    </font>
    <font>
      <b/>
      <sz val="11"/>
      <color rgb="FFD9D9D9"/>
      <name val="David"/>
      <family val="2"/>
      <charset val="177"/>
    </font>
    <font>
      <b/>
      <sz val="14"/>
      <color theme="1"/>
      <name val="David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lightGray">
        <fgColor theme="0" tint="-0.14996795556505021"/>
        <bgColor rgb="FFD9D9D9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/>
      <top/>
      <bottom style="thick">
        <color theme="4"/>
      </bottom>
      <diagonal/>
    </border>
  </borders>
  <cellStyleXfs count="505">
    <xf numFmtId="0" fontId="0" fillId="0" borderId="0"/>
    <xf numFmtId="166" fontId="6" fillId="0" borderId="0">
      <alignment horizontal="right"/>
      <protection hidden="1"/>
    </xf>
    <xf numFmtId="167" fontId="6" fillId="0" borderId="0">
      <alignment horizontal="right"/>
      <protection hidden="1"/>
    </xf>
    <xf numFmtId="166" fontId="6" fillId="0" borderId="0">
      <alignment horizontal="right"/>
      <protection hidden="1"/>
    </xf>
    <xf numFmtId="0" fontId="1" fillId="0" borderId="0"/>
    <xf numFmtId="168" fontId="6" fillId="0" borderId="0">
      <alignment horizontal="right"/>
      <protection hidden="1"/>
    </xf>
    <xf numFmtId="169" fontId="6" fillId="0" borderId="0">
      <alignment horizontal="right"/>
      <protection locked="0"/>
    </xf>
    <xf numFmtId="170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1" fontId="6" fillId="0" borderId="0">
      <alignment horizontal="right"/>
      <protection hidden="1"/>
    </xf>
    <xf numFmtId="172" fontId="6" fillId="0" borderId="0">
      <alignment horizontal="right"/>
      <protection hidden="1"/>
    </xf>
    <xf numFmtId="171" fontId="6" fillId="0" borderId="0">
      <alignment horizontal="right"/>
      <protection hidden="1"/>
    </xf>
    <xf numFmtId="173" fontId="6" fillId="0" borderId="0">
      <alignment horizontal="right"/>
      <protection hidden="1"/>
    </xf>
    <xf numFmtId="173" fontId="6" fillId="0" borderId="0">
      <alignment horizontal="right"/>
      <protection locked="0"/>
    </xf>
    <xf numFmtId="37" fontId="6" fillId="0" borderId="0">
      <alignment horizontal="right"/>
      <protection hidden="1"/>
    </xf>
    <xf numFmtId="171" fontId="6" fillId="0" borderId="0">
      <alignment horizontal="right"/>
      <protection hidden="1"/>
    </xf>
    <xf numFmtId="171" fontId="6" fillId="0" borderId="0">
      <alignment horizontal="right"/>
      <protection hidden="1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4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8" fontId="6" fillId="0" borderId="0">
      <alignment horizontal="right" readingOrder="2"/>
      <protection hidden="1"/>
    </xf>
    <xf numFmtId="0" fontId="18" fillId="0" borderId="0">
      <alignment horizontal="right" wrapText="1"/>
    </xf>
    <xf numFmtId="0" fontId="22" fillId="0" borderId="21" applyNumberFormat="0" applyFill="0" applyAlignment="0" applyProtection="0"/>
  </cellStyleXfs>
  <cellXfs count="66">
    <xf numFmtId="0" fontId="0" fillId="0" borderId="0" xfId="0"/>
    <xf numFmtId="0" fontId="18" fillId="0" borderId="0" xfId="0" applyFont="1"/>
    <xf numFmtId="0" fontId="2" fillId="0" borderId="1" xfId="0" applyFont="1" applyBorder="1"/>
    <xf numFmtId="0" fontId="5" fillId="0" borderId="0" xfId="0" applyFont="1" applyBorder="1"/>
    <xf numFmtId="0" fontId="19" fillId="0" borderId="0" xfId="0" applyFont="1"/>
    <xf numFmtId="10" fontId="3" fillId="4" borderId="4" xfId="421" applyNumberFormat="1" applyFont="1" applyFill="1" applyBorder="1"/>
    <xf numFmtId="10" fontId="3" fillId="4" borderId="6" xfId="421" applyNumberFormat="1" applyFont="1" applyFill="1" applyBorder="1"/>
    <xf numFmtId="10" fontId="2" fillId="6" borderId="3" xfId="421" applyNumberFormat="1" applyFont="1" applyFill="1" applyBorder="1"/>
    <xf numFmtId="10" fontId="2" fillId="6" borderId="2" xfId="421" applyNumberFormat="1" applyFont="1" applyFill="1" applyBorder="1"/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2" fillId="3" borderId="9" xfId="0" applyFont="1" applyFill="1" applyBorder="1"/>
    <xf numFmtId="10" fontId="2" fillId="2" borderId="12" xfId="421" applyNumberFormat="1" applyFont="1" applyFill="1" applyBorder="1"/>
    <xf numFmtId="10" fontId="2" fillId="2" borderId="13" xfId="421" applyNumberFormat="1" applyFont="1" applyFill="1" applyBorder="1"/>
    <xf numFmtId="10" fontId="2" fillId="4" borderId="12" xfId="421" applyNumberFormat="1" applyFont="1" applyFill="1" applyBorder="1"/>
    <xf numFmtId="10" fontId="2" fillId="4" borderId="13" xfId="421" applyNumberFormat="1" applyFont="1" applyFill="1" applyBorder="1"/>
    <xf numFmtId="10" fontId="2" fillId="4" borderId="6" xfId="421" applyNumberFormat="1" applyFont="1" applyFill="1" applyBorder="1"/>
    <xf numFmtId="0" fontId="2" fillId="3" borderId="12" xfId="0" applyFont="1" applyFill="1" applyBorder="1"/>
    <xf numFmtId="0" fontId="3" fillId="3" borderId="12" xfId="0" applyFont="1" applyFill="1" applyBorder="1"/>
    <xf numFmtId="10" fontId="3" fillId="2" borderId="12" xfId="421" applyNumberFormat="1" applyFont="1" applyFill="1" applyBorder="1"/>
    <xf numFmtId="10" fontId="3" fillId="2" borderId="13" xfId="421" applyNumberFormat="1" applyFont="1" applyFill="1" applyBorder="1"/>
    <xf numFmtId="10" fontId="3" fillId="4" borderId="12" xfId="421" applyNumberFormat="1" applyFont="1" applyFill="1" applyBorder="1"/>
    <xf numFmtId="10" fontId="3" fillId="4" borderId="13" xfId="421" applyNumberFormat="1" applyFont="1" applyFill="1" applyBorder="1"/>
    <xf numFmtId="0" fontId="3" fillId="5" borderId="9" xfId="0" applyFont="1" applyFill="1" applyBorder="1"/>
    <xf numFmtId="3" fontId="3" fillId="2" borderId="9" xfId="421" applyNumberFormat="1" applyFont="1" applyFill="1" applyBorder="1"/>
    <xf numFmtId="3" fontId="3" fillId="4" borderId="9" xfId="421" applyNumberFormat="1" applyFont="1" applyFill="1" applyBorder="1"/>
    <xf numFmtId="10" fontId="2" fillId="2" borderId="9" xfId="421" applyNumberFormat="1" applyFont="1" applyFill="1" applyBorder="1"/>
    <xf numFmtId="10" fontId="2" fillId="2" borderId="10" xfId="421" applyNumberFormat="1" applyFont="1" applyFill="1" applyBorder="1"/>
    <xf numFmtId="10" fontId="2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3" borderId="16" xfId="0" applyFont="1" applyFill="1" applyBorder="1"/>
    <xf numFmtId="10" fontId="3" fillId="2" borderId="16" xfId="421" applyNumberFormat="1" applyFont="1" applyFill="1" applyBorder="1"/>
    <xf numFmtId="10" fontId="3" fillId="2" borderId="17" xfId="421" applyNumberFormat="1" applyFont="1" applyFill="1" applyBorder="1"/>
    <xf numFmtId="10" fontId="3" fillId="4" borderId="16" xfId="421" applyNumberFormat="1" applyFont="1" applyFill="1" applyBorder="1"/>
    <xf numFmtId="10" fontId="3" fillId="4" borderId="17" xfId="421" applyNumberFormat="1" applyFont="1" applyFill="1" applyBorder="1"/>
    <xf numFmtId="0" fontId="3" fillId="8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10" fontId="3" fillId="7" borderId="6" xfId="421" applyNumberFormat="1" applyFont="1" applyFill="1" applyBorder="1"/>
    <xf numFmtId="10" fontId="3" fillId="7" borderId="5" xfId="421" applyNumberFormat="1" applyFont="1" applyFill="1" applyBorder="1"/>
    <xf numFmtId="0" fontId="20" fillId="8" borderId="20" xfId="0" applyFont="1" applyFill="1" applyBorder="1" applyAlignment="1">
      <alignment horizontal="right" vertical="center"/>
    </xf>
    <xf numFmtId="0" fontId="19" fillId="0" borderId="14" xfId="0" applyFont="1" applyBorder="1"/>
    <xf numFmtId="0" fontId="19" fillId="0" borderId="8" xfId="0" applyFont="1" applyBorder="1"/>
    <xf numFmtId="0" fontId="19" fillId="0" borderId="15" xfId="0" applyFont="1" applyBorder="1"/>
    <xf numFmtId="10" fontId="23" fillId="7" borderId="6" xfId="421" applyNumberFormat="1" applyFont="1" applyFill="1" applyBorder="1"/>
    <xf numFmtId="10" fontId="23" fillId="7" borderId="5" xfId="421" applyNumberFormat="1" applyFont="1" applyFill="1" applyBorder="1"/>
    <xf numFmtId="10" fontId="24" fillId="6" borderId="3" xfId="421" applyNumberFormat="1" applyFont="1" applyFill="1" applyBorder="1"/>
    <xf numFmtId="10" fontId="24" fillId="6" borderId="2" xfId="421" applyNumberFormat="1" applyFont="1" applyFill="1" applyBorder="1"/>
    <xf numFmtId="10" fontId="25" fillId="9" borderId="10" xfId="421" applyNumberFormat="1" applyFont="1" applyFill="1" applyBorder="1"/>
    <xf numFmtId="10" fontId="25" fillId="9" borderId="11" xfId="421" applyNumberFormat="1" applyFont="1" applyFill="1" applyBorder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right" vertical="top"/>
    </xf>
    <xf numFmtId="0" fontId="18" fillId="0" borderId="0" xfId="0" applyFont="1" applyAlignment="1">
      <alignment horizontal="right"/>
    </xf>
    <xf numFmtId="0" fontId="21" fillId="5" borderId="0" xfId="0" applyFont="1" applyFill="1" applyAlignment="1">
      <alignment horizontal="center"/>
    </xf>
    <xf numFmtId="0" fontId="26" fillId="0" borderId="0" xfId="504" applyFont="1" applyBorder="1" applyAlignment="1">
      <alignment horizontal="right"/>
    </xf>
    <xf numFmtId="0" fontId="5" fillId="0" borderId="0" xfId="0" applyFont="1" applyAlignment="1">
      <alignment horizontal="right" readingOrder="2"/>
    </xf>
    <xf numFmtId="0" fontId="19" fillId="0" borderId="0" xfId="0" applyFont="1" applyAlignment="1">
      <alignment horizontal="right"/>
    </xf>
    <xf numFmtId="0" fontId="19" fillId="0" borderId="7" xfId="0" applyFont="1" applyBorder="1" applyAlignment="1">
      <alignment horizontal="center"/>
    </xf>
    <xf numFmtId="0" fontId="18" fillId="0" borderId="0" xfId="0" applyFont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PivotStyle="PivotStyleLight16"/>
  <colors>
    <mruColors>
      <color rgb="FFD9D9D9"/>
      <color rgb="FF92D050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841911</xdr:colOff>
      <xdr:row>1</xdr:row>
      <xdr:rowOff>28575</xdr:rowOff>
    </xdr:from>
    <xdr:to>
      <xdr:col>9</xdr:col>
      <xdr:colOff>1160906</xdr:colOff>
      <xdr:row>2</xdr:row>
      <xdr:rowOff>103650</xdr:rowOff>
    </xdr:to>
    <xdr:pic>
      <xdr:nvPicPr>
        <xdr:cNvPr id="3" name="תמונה 2" descr="לוגו מסמך נגיש">
          <a:extLst>
            <a:ext uri="{FF2B5EF4-FFF2-40B4-BE49-F238E27FC236}">
              <a16:creationId xmlns:a16="http://schemas.microsoft.com/office/drawing/2014/main" id="{82CC12DC-0C52-4069-8DE8-F94F713B9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5281269" y="266700"/>
          <a:ext cx="318995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EAC2BB-C43E-4584-A7DA-B4EEE7B12EBE}" name="טבלה1" displayName="טבלה1" ref="B5:Z37" totalsRowShown="0" tableBorderDxfId="1">
  <autoFilter ref="B5:Z37" xr:uid="{DCEAC2BB-C43E-4584-A7DA-B4EEE7B12EBE}"/>
  <tableColumns count="25">
    <tableColumn id="1" xr3:uid="{48536786-B034-4509-9419-61FA67426519}" name="אפיקי השקעה:"/>
    <tableColumn id="2" xr3:uid="{4A70F227-7540-41E1-A099-81085A70E73F}" name="התרומה לתשואה ינואר 2021"/>
    <tableColumn id="3" xr3:uid="{949187D6-C694-44A1-AA5A-AF0C4224846E}" name="שיעור מסך הנכסים ינואר 2021"/>
    <tableColumn id="4" xr3:uid="{AF500799-3A07-4DCF-A860-96F79F199A1F}" name="התרומה לתשואה פברואר 2021"/>
    <tableColumn id="5" xr3:uid="{F93743BD-7124-42B1-82FA-9600C2FEA493}" name="שיעור מסך הנכסים פברואר 2021"/>
    <tableColumn id="6" xr3:uid="{3C37CDE6-1155-4213-9C0E-D3BAF64B6279}" name="התרומה לתשואה מרץ 2021"/>
    <tableColumn id="7" xr3:uid="{35CADAF1-2BE6-4F12-BF52-63587DBD0F95}" name="שיעור מסך הנכסים מרץ 2021"/>
    <tableColumn id="8" xr3:uid="{D2A4A9A9-7648-40E1-9C65-0A5FAF8EA7A7}" name="התרומה לתשואה אפריל 2021"/>
    <tableColumn id="9" xr3:uid="{8AE4A77A-C3A6-4751-8189-8E41EF537703}" name="שיעור מסך הנכסים אפריל 2021"/>
    <tableColumn id="10" xr3:uid="{E19D2431-31D8-414D-B440-F37B61999429}" name="התרומה לתשואה מאי 2021"/>
    <tableColumn id="11" xr3:uid="{D7BFAE7E-87DB-41D8-847A-5E00C04AE772}" name="שיעור מסך הנכסים מאי 2021"/>
    <tableColumn id="12" xr3:uid="{AB2B85E2-AE41-487E-B234-493B1773B83A}" name="התרומה לתשואה יוני 2021"/>
    <tableColumn id="13" xr3:uid="{F64CBA7E-DA74-4BFB-A09B-58B1E2059471}" name="שיעור מסך הנכסים יוני 2021"/>
    <tableColumn id="14" xr3:uid="{1EF2A4F9-C3F2-478C-A0AB-5FFC228687A2}" name="התרומה לתשואה יולי 2021"/>
    <tableColumn id="15" xr3:uid="{BF9F2FBE-CB11-4F02-A297-89E3D8B3E255}" name="שיעור מסך הנכסים יולי 2021"/>
    <tableColumn id="16" xr3:uid="{429E1719-4433-40D7-9BB1-07D8160E9685}" name="התרומה לתשואה אוגוסט 2021"/>
    <tableColumn id="17" xr3:uid="{FF923780-F48E-4832-9193-0FE89A048A4C}" name="שיעור מסך הנכסים אוגוסט 2021"/>
    <tableColumn id="18" xr3:uid="{8CA53701-324F-410B-AAB7-ECDA94B44223}" name="התרומה לתשואה ספטמבר 2021"/>
    <tableColumn id="19" xr3:uid="{DB50D169-DF16-4151-8420-B13F6B98E525}" name="שיעור מסך הנכסים ספטמבר 2021"/>
    <tableColumn id="20" xr3:uid="{361C92CB-7F5F-4266-8898-647F56F18436}" name="התרומה לתשואה אוקטובר 2021"/>
    <tableColumn id="21" xr3:uid="{1BC08162-2C19-414F-9BFE-56395A3D0D5C}" name="שיעור מסך הנכסים אוקטובר 2021"/>
    <tableColumn id="22" xr3:uid="{1C74D28D-CAEA-47A3-9CB8-06469C5FB8A0}" name="התרומה לתשואה נובמבר 2021"/>
    <tableColumn id="23" xr3:uid="{C60AA473-7574-4995-A4B0-A8303C82E24E}" name="שיעור מסך הנכסים נובמבר 2021"/>
    <tableColumn id="24" xr3:uid="{407886B2-BE18-4989-B040-5025590FAC3F}" name="התרומה לתשואה דצמבר 2021"/>
    <tableColumn id="25" xr3:uid="{62B1FEFA-6C0E-4522-BC1F-0D60B0CE43AE}" name="שיעור מסך הנכסים דצמבר 2021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170EF-F99B-4C13-822B-96C62E4BE262}" name="טבלה2" displayName="טבלה2" ref="B39:J71" totalsRowShown="0" tableBorderDxfId="0">
  <autoFilter ref="B39:J71" xr:uid="{BF0170EF-F99B-4C13-822B-96C62E4BE262}"/>
  <tableColumns count="9">
    <tableColumn id="1" xr3:uid="{8F2357B3-F335-4214-A56B-5800EE49CC70}" name="נתונים מצטברים"/>
    <tableColumn id="2" xr3:uid="{3C0B5634-D0D1-4B25-B70A-FE48DC49247B}" name="התרומה לתשואה ינואר-מרץ 2021"/>
    <tableColumn id="3" xr3:uid="{07E0EE2F-4CBE-4896-BC47-4BFB4B4C99D7}" name="שיעור מסך הנכסים ינואר-מרץ 2021"/>
    <tableColumn id="4" xr3:uid="{546AE57E-3793-4F33-869C-8121CA9F1486}" name="התרומה לתשואה ינואר-יוני 2021"/>
    <tableColumn id="5" xr3:uid="{E4846F71-C2A1-4A0F-8710-A8C4BDED94F4}" name="שיעור מסך הנכסים ינואר-יוני 2021"/>
    <tableColumn id="6" xr3:uid="{8233512F-2B8C-4F67-B461-9C7DB6ADC7BF}" name="התרומה לתשואה ינואר-ספטמבר 2021"/>
    <tableColumn id="7" xr3:uid="{425BE996-6497-40EB-AA3D-9AF63EBD4489}" name="שיעור מסך הנכסים ינואר-ספטמבר 2021"/>
    <tableColumn id="8" xr3:uid="{D6D6C8DB-9FAE-4885-8D22-2CE58DD088A9}" name="התרומה לתשואה ינואר-דצמבר 2021"/>
    <tableColumn id="9" xr3:uid="{71AFEE46-DCDD-4653-8DBC-5A873D87A1D1}" name="שיעור מסך הנכסים ינואר-דצמבר 2021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נתונים מצטברים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4"/>
  <sheetViews>
    <sheetView rightToLeft="1" tabSelected="1" topLeftCell="B1" workbookViewId="0">
      <selection activeCell="G82" sqref="G82"/>
    </sheetView>
  </sheetViews>
  <sheetFormatPr defaultColWidth="9.125" defaultRowHeight="15" x14ac:dyDescent="0.25"/>
  <cols>
    <col min="1" max="1" width="2.125" style="1" hidden="1" customWidth="1"/>
    <col min="2" max="2" width="31.25" style="1" customWidth="1"/>
    <col min="3" max="10" width="15.625" style="1" customWidth="1"/>
    <col min="11" max="26" width="9.125" style="1" customWidth="1"/>
    <col min="27" max="16384" width="9.125" style="1"/>
  </cols>
  <sheetData>
    <row r="1" spans="1:26" ht="18.75" x14ac:dyDescent="0.3">
      <c r="A1" s="4" t="s">
        <v>71</v>
      </c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8.75" x14ac:dyDescent="0.3">
      <c r="A2" s="4" t="s">
        <v>71</v>
      </c>
      <c r="B2" s="62" t="s">
        <v>33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spans="1:26" ht="18.75" x14ac:dyDescent="0.3">
      <c r="A3" s="4" t="s">
        <v>71</v>
      </c>
      <c r="B3" s="3" t="s">
        <v>33</v>
      </c>
      <c r="C3" s="63" t="s">
        <v>26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x14ac:dyDescent="0.25">
      <c r="A4" s="4" t="s">
        <v>71</v>
      </c>
      <c r="B4" s="2">
        <v>2021</v>
      </c>
      <c r="C4" s="4" t="s">
        <v>69</v>
      </c>
      <c r="D4" s="4">
        <v>5</v>
      </c>
      <c r="E4" s="64">
        <f>D4+1</f>
        <v>6</v>
      </c>
      <c r="F4" s="64"/>
      <c r="G4" s="64">
        <f>E4+1</f>
        <v>7</v>
      </c>
      <c r="H4" s="64"/>
      <c r="I4" s="64">
        <f>G4+1</f>
        <v>8</v>
      </c>
      <c r="J4" s="64"/>
      <c r="K4" s="64">
        <f>I4+1</f>
        <v>9</v>
      </c>
      <c r="L4" s="64"/>
      <c r="M4" s="64">
        <f>K4+1</f>
        <v>10</v>
      </c>
      <c r="N4" s="64"/>
      <c r="O4" s="64">
        <f>M4+1</f>
        <v>11</v>
      </c>
      <c r="P4" s="64"/>
      <c r="Q4" s="64">
        <f>O4+1</f>
        <v>12</v>
      </c>
      <c r="R4" s="64"/>
      <c r="S4" s="64">
        <f>Q4+1</f>
        <v>13</v>
      </c>
      <c r="T4" s="64"/>
      <c r="U4" s="64">
        <f>S4+1</f>
        <v>14</v>
      </c>
      <c r="V4" s="64"/>
      <c r="W4" s="64">
        <f>U4+1</f>
        <v>15</v>
      </c>
      <c r="X4" s="64"/>
      <c r="Y4" s="64">
        <f>W4+1</f>
        <v>16</v>
      </c>
      <c r="Z4" s="64"/>
    </row>
    <row r="5" spans="1:26" ht="45" customHeight="1" x14ac:dyDescent="0.25">
      <c r="A5" s="4" t="s">
        <v>71</v>
      </c>
      <c r="B5" s="39" t="s">
        <v>30</v>
      </c>
      <c r="C5" s="40" t="s">
        <v>42</v>
      </c>
      <c r="D5" s="41" t="s">
        <v>43</v>
      </c>
      <c r="E5" s="42" t="s">
        <v>44</v>
      </c>
      <c r="F5" s="43" t="s">
        <v>45</v>
      </c>
      <c r="G5" s="40" t="s">
        <v>46</v>
      </c>
      <c r="H5" s="41" t="s">
        <v>47</v>
      </c>
      <c r="I5" s="42" t="s">
        <v>48</v>
      </c>
      <c r="J5" s="43" t="s">
        <v>49</v>
      </c>
      <c r="K5" s="40" t="s">
        <v>50</v>
      </c>
      <c r="L5" s="41" t="s">
        <v>51</v>
      </c>
      <c r="M5" s="42" t="s">
        <v>52</v>
      </c>
      <c r="N5" s="43" t="s">
        <v>53</v>
      </c>
      <c r="O5" s="40" t="s">
        <v>54</v>
      </c>
      <c r="P5" s="41" t="s">
        <v>55</v>
      </c>
      <c r="Q5" s="42" t="s">
        <v>56</v>
      </c>
      <c r="R5" s="43" t="s">
        <v>57</v>
      </c>
      <c r="S5" s="40" t="s">
        <v>58</v>
      </c>
      <c r="T5" s="41" t="s">
        <v>59</v>
      </c>
      <c r="U5" s="42" t="s">
        <v>60</v>
      </c>
      <c r="V5" s="43" t="s">
        <v>61</v>
      </c>
      <c r="W5" s="40" t="s">
        <v>62</v>
      </c>
      <c r="X5" s="41" t="s">
        <v>63</v>
      </c>
      <c r="Y5" s="42" t="s">
        <v>64</v>
      </c>
      <c r="Z5" s="44" t="s">
        <v>65</v>
      </c>
    </row>
    <row r="6" spans="1:26" x14ac:dyDescent="0.25">
      <c r="A6" s="4" t="s">
        <v>71</v>
      </c>
      <c r="B6" s="14" t="s">
        <v>1</v>
      </c>
      <c r="C6" s="15">
        <v>2.0000000000000001E-4</v>
      </c>
      <c r="D6" s="16">
        <v>5.9124577287759501E-2</v>
      </c>
      <c r="E6" s="17">
        <v>-1E-4</v>
      </c>
      <c r="F6" s="18">
        <v>5.2828357642741998E-2</v>
      </c>
      <c r="G6" s="15">
        <v>1E-4</v>
      </c>
      <c r="H6" s="16">
        <v>4.8690709665092403E-2</v>
      </c>
      <c r="I6" s="17">
        <v>-2.0000000000000001E-4</v>
      </c>
      <c r="J6" s="18">
        <v>2.5615128092099902E-2</v>
      </c>
      <c r="K6" s="15">
        <v>0</v>
      </c>
      <c r="L6" s="16">
        <v>2.6141436093850001E-2</v>
      </c>
      <c r="M6" s="17">
        <v>0</v>
      </c>
      <c r="N6" s="18">
        <v>4.1372112686143797E-2</v>
      </c>
      <c r="O6" s="15">
        <v>0</v>
      </c>
      <c r="P6" s="16">
        <v>6.0940837061442203E-2</v>
      </c>
      <c r="Q6" s="17">
        <v>-1E-4</v>
      </c>
      <c r="R6" s="18">
        <v>4.5418583860599701E-2</v>
      </c>
      <c r="S6" s="15">
        <v>1E-4</v>
      </c>
      <c r="T6" s="16">
        <v>4.2496946917656202E-2</v>
      </c>
      <c r="U6" s="17">
        <v>-2.0000000000000001E-4</v>
      </c>
      <c r="V6" s="18">
        <v>4.3425744158777799E-2</v>
      </c>
      <c r="W6" s="15">
        <v>0</v>
      </c>
      <c r="X6" s="16">
        <v>3.4564170036194303E-2</v>
      </c>
      <c r="Y6" s="17">
        <v>2.9999999999999997E-4</v>
      </c>
      <c r="Z6" s="19">
        <v>3.4955819198485803E-2</v>
      </c>
    </row>
    <row r="7" spans="1:26" x14ac:dyDescent="0.25">
      <c r="A7" s="4" t="s">
        <v>71</v>
      </c>
      <c r="B7" s="20" t="s">
        <v>2</v>
      </c>
      <c r="C7" s="15">
        <v>5.4000000000000003E-3</v>
      </c>
      <c r="D7" s="16">
        <v>0.65699823439749305</v>
      </c>
      <c r="E7" s="17">
        <v>-4.8999999999999998E-3</v>
      </c>
      <c r="F7" s="18">
        <v>0.65294512550401995</v>
      </c>
      <c r="G7" s="15">
        <v>6.4000000000000003E-3</v>
      </c>
      <c r="H7" s="16">
        <v>0.65245487223390397</v>
      </c>
      <c r="I7" s="17">
        <v>2.7000000000000001E-3</v>
      </c>
      <c r="J7" s="18">
        <v>0.68007311287012595</v>
      </c>
      <c r="K7" s="15">
        <v>8.8999999999999999E-3</v>
      </c>
      <c r="L7" s="16">
        <v>0.68002478689192303</v>
      </c>
      <c r="M7" s="17">
        <v>8.9999999999999998E-4</v>
      </c>
      <c r="N7" s="18">
        <v>0.66258277426169399</v>
      </c>
      <c r="O7" s="15">
        <v>6.7000000000000002E-3</v>
      </c>
      <c r="P7" s="16">
        <v>0.64002954486757502</v>
      </c>
      <c r="Q7" s="17">
        <v>1.2E-2</v>
      </c>
      <c r="R7" s="18">
        <v>0.65934175358339597</v>
      </c>
      <c r="S7" s="15">
        <v>1.6000000000000001E-3</v>
      </c>
      <c r="T7" s="16">
        <v>0.65732616950397105</v>
      </c>
      <c r="U7" s="17">
        <v>1.01E-2</v>
      </c>
      <c r="V7" s="18">
        <v>0.65669225665369801</v>
      </c>
      <c r="W7" s="15">
        <v>6.7000000000000002E-3</v>
      </c>
      <c r="X7" s="16">
        <v>0.67396850002255004</v>
      </c>
      <c r="Y7" s="17">
        <v>-1.1000000000000001E-3</v>
      </c>
      <c r="Z7" s="19">
        <v>0.67024453097558301</v>
      </c>
    </row>
    <row r="8" spans="1:26" x14ac:dyDescent="0.25">
      <c r="A8" s="4" t="s">
        <v>71</v>
      </c>
      <c r="B8" s="20" t="s">
        <v>3</v>
      </c>
      <c r="C8" s="15">
        <v>0</v>
      </c>
      <c r="D8" s="16">
        <v>0</v>
      </c>
      <c r="E8" s="17">
        <v>0</v>
      </c>
      <c r="F8" s="18">
        <v>0</v>
      </c>
      <c r="G8" s="15">
        <v>0</v>
      </c>
      <c r="H8" s="16">
        <v>0</v>
      </c>
      <c r="I8" s="17">
        <v>0</v>
      </c>
      <c r="J8" s="18">
        <v>0</v>
      </c>
      <c r="K8" s="15">
        <v>0</v>
      </c>
      <c r="L8" s="16">
        <v>0</v>
      </c>
      <c r="M8" s="17">
        <v>0</v>
      </c>
      <c r="N8" s="18">
        <v>0</v>
      </c>
      <c r="O8" s="15">
        <v>0</v>
      </c>
      <c r="P8" s="16">
        <v>0</v>
      </c>
      <c r="Q8" s="17">
        <v>0</v>
      </c>
      <c r="R8" s="18">
        <v>0</v>
      </c>
      <c r="S8" s="15">
        <v>0</v>
      </c>
      <c r="T8" s="16">
        <v>0</v>
      </c>
      <c r="U8" s="17">
        <v>0</v>
      </c>
      <c r="V8" s="18">
        <v>0</v>
      </c>
      <c r="W8" s="15">
        <v>0</v>
      </c>
      <c r="X8" s="16">
        <v>0</v>
      </c>
      <c r="Y8" s="17">
        <v>0</v>
      </c>
      <c r="Z8" s="19">
        <v>0</v>
      </c>
    </row>
    <row r="9" spans="1:26" x14ac:dyDescent="0.25">
      <c r="A9" s="4" t="s">
        <v>71</v>
      </c>
      <c r="B9" s="20" t="s">
        <v>4</v>
      </c>
      <c r="C9" s="15">
        <v>0</v>
      </c>
      <c r="D9" s="16">
        <v>0</v>
      </c>
      <c r="E9" s="17">
        <v>0</v>
      </c>
      <c r="F9" s="18">
        <v>0</v>
      </c>
      <c r="G9" s="15">
        <v>0</v>
      </c>
      <c r="H9" s="16">
        <v>0</v>
      </c>
      <c r="I9" s="17">
        <v>0</v>
      </c>
      <c r="J9" s="18">
        <v>0</v>
      </c>
      <c r="K9" s="15">
        <v>0</v>
      </c>
      <c r="L9" s="16">
        <v>0</v>
      </c>
      <c r="M9" s="17">
        <v>0</v>
      </c>
      <c r="N9" s="18">
        <v>0</v>
      </c>
      <c r="O9" s="15">
        <v>0</v>
      </c>
      <c r="P9" s="16">
        <v>0</v>
      </c>
      <c r="Q9" s="17">
        <v>0</v>
      </c>
      <c r="R9" s="18">
        <v>0</v>
      </c>
      <c r="S9" s="15">
        <v>0</v>
      </c>
      <c r="T9" s="16">
        <v>0</v>
      </c>
      <c r="U9" s="17">
        <v>0</v>
      </c>
      <c r="V9" s="18">
        <v>0</v>
      </c>
      <c r="W9" s="15">
        <v>0</v>
      </c>
      <c r="X9" s="16">
        <v>0</v>
      </c>
      <c r="Y9" s="17">
        <v>0</v>
      </c>
      <c r="Z9" s="19">
        <v>0</v>
      </c>
    </row>
    <row r="10" spans="1:26" x14ac:dyDescent="0.25">
      <c r="A10" s="4" t="s">
        <v>71</v>
      </c>
      <c r="B10" s="20" t="s">
        <v>5</v>
      </c>
      <c r="C10" s="15">
        <v>2.9999999999999997E-4</v>
      </c>
      <c r="D10" s="16">
        <v>6.5345542193879502E-2</v>
      </c>
      <c r="E10" s="17">
        <v>4.0000000000000002E-4</v>
      </c>
      <c r="F10" s="18">
        <v>6.8672390273344402E-2</v>
      </c>
      <c r="G10" s="15">
        <v>6.9999999999999999E-4</v>
      </c>
      <c r="H10" s="16">
        <v>6.8103107232812293E-2</v>
      </c>
      <c r="I10" s="17">
        <v>5.9999999999999995E-4</v>
      </c>
      <c r="J10" s="18">
        <v>6.6734700101573202E-2</v>
      </c>
      <c r="K10" s="15">
        <v>8.0000000000000004E-4</v>
      </c>
      <c r="L10" s="16">
        <v>6.5573579570391394E-2</v>
      </c>
      <c r="M10" s="17">
        <v>1E-4</v>
      </c>
      <c r="N10" s="18">
        <v>6.5608990613008705E-2</v>
      </c>
      <c r="O10" s="15">
        <v>2.0000000000000001E-4</v>
      </c>
      <c r="P10" s="16">
        <v>6.7539056122520494E-2</v>
      </c>
      <c r="Q10" s="17">
        <v>8.9999999999999998E-4</v>
      </c>
      <c r="R10" s="18">
        <v>6.7229143190135801E-2</v>
      </c>
      <c r="S10" s="15">
        <v>4.0000000000000002E-4</v>
      </c>
      <c r="T10" s="16">
        <v>6.8640468844345395E-2</v>
      </c>
      <c r="U10" s="17">
        <v>6.9999999999999999E-4</v>
      </c>
      <c r="V10" s="18">
        <v>6.8723094346639702E-2</v>
      </c>
      <c r="W10" s="15">
        <v>-2.0000000000000001E-4</v>
      </c>
      <c r="X10" s="16">
        <v>6.6371008004019197E-2</v>
      </c>
      <c r="Y10" s="17">
        <v>-1E-4</v>
      </c>
      <c r="Z10" s="19">
        <v>6.8450612482621395E-2</v>
      </c>
    </row>
    <row r="11" spans="1:26" x14ac:dyDescent="0.25">
      <c r="A11" s="4" t="s">
        <v>71</v>
      </c>
      <c r="B11" s="20" t="s">
        <v>6</v>
      </c>
      <c r="C11" s="15">
        <v>2.0000000000000001E-4</v>
      </c>
      <c r="D11" s="16">
        <v>2.08122233113456E-2</v>
      </c>
      <c r="E11" s="17">
        <v>-2.0000000000000001E-4</v>
      </c>
      <c r="F11" s="18">
        <v>2.3306264540516201E-2</v>
      </c>
      <c r="G11" s="15">
        <v>2.0000000000000001E-4</v>
      </c>
      <c r="H11" s="16">
        <v>2.2640475067012899E-2</v>
      </c>
      <c r="I11" s="17">
        <v>1E-4</v>
      </c>
      <c r="J11" s="18">
        <v>2.33946862111532E-2</v>
      </c>
      <c r="K11" s="15">
        <v>2.0000000000000001E-4</v>
      </c>
      <c r="L11" s="16">
        <v>2.3314866793226901E-2</v>
      </c>
      <c r="M11" s="17">
        <v>1E-4</v>
      </c>
      <c r="N11" s="18">
        <v>2.3097675729691899E-2</v>
      </c>
      <c r="O11" s="15">
        <v>0</v>
      </c>
      <c r="P11" s="16">
        <v>2.28103472189825E-2</v>
      </c>
      <c r="Q11" s="17">
        <v>2.9999999999999997E-4</v>
      </c>
      <c r="R11" s="18">
        <v>2.28169091322406E-2</v>
      </c>
      <c r="S11" s="15">
        <v>1E-4</v>
      </c>
      <c r="T11" s="16">
        <v>2.19109644966138E-2</v>
      </c>
      <c r="U11" s="17">
        <v>2.9999999999999997E-4</v>
      </c>
      <c r="V11" s="18">
        <v>2.1782595069717799E-2</v>
      </c>
      <c r="W11" s="15">
        <v>1E-4</v>
      </c>
      <c r="X11" s="16">
        <v>2.1799061303105501E-2</v>
      </c>
      <c r="Y11" s="17">
        <v>0</v>
      </c>
      <c r="Z11" s="19">
        <v>1.98395430354847E-2</v>
      </c>
    </row>
    <row r="12" spans="1:26" x14ac:dyDescent="0.25">
      <c r="A12" s="4" t="s">
        <v>71</v>
      </c>
      <c r="B12" s="20" t="s">
        <v>7</v>
      </c>
      <c r="C12" s="15">
        <v>8.9999999999999998E-4</v>
      </c>
      <c r="D12" s="16">
        <v>4.8626513055273997E-2</v>
      </c>
      <c r="E12" s="17">
        <v>8.0000000000000004E-4</v>
      </c>
      <c r="F12" s="18">
        <v>4.9458584076370299E-2</v>
      </c>
      <c r="G12" s="15">
        <v>2.5000000000000001E-3</v>
      </c>
      <c r="H12" s="16">
        <v>5.1645304252493703E-2</v>
      </c>
      <c r="I12" s="17">
        <v>1.8E-3</v>
      </c>
      <c r="J12" s="18">
        <v>4.84180822747537E-2</v>
      </c>
      <c r="K12" s="15">
        <v>2E-3</v>
      </c>
      <c r="L12" s="16">
        <v>4.9604972999162701E-2</v>
      </c>
      <c r="M12" s="17">
        <v>-2.0000000000000001E-4</v>
      </c>
      <c r="N12" s="18">
        <v>4.8763184888784603E-2</v>
      </c>
      <c r="O12" s="15">
        <v>-1E-4</v>
      </c>
      <c r="P12" s="16">
        <v>4.9271910656457502E-2</v>
      </c>
      <c r="Q12" s="17">
        <v>1.6999999999999999E-3</v>
      </c>
      <c r="R12" s="18">
        <v>4.9278948090923702E-2</v>
      </c>
      <c r="S12" s="15">
        <v>4.0000000000000002E-4</v>
      </c>
      <c r="T12" s="16">
        <v>4.9802919216940099E-2</v>
      </c>
      <c r="U12" s="17">
        <v>2.0999999999999999E-3</v>
      </c>
      <c r="V12" s="18">
        <v>5.1227174057322501E-2</v>
      </c>
      <c r="W12" s="15">
        <v>5.9999999999999995E-4</v>
      </c>
      <c r="X12" s="16">
        <v>5.0570346800243297E-2</v>
      </c>
      <c r="Y12" s="17">
        <v>2.5000000000000001E-3</v>
      </c>
      <c r="Z12" s="19">
        <v>5.2590840648187101E-2</v>
      </c>
    </row>
    <row r="13" spans="1:26" x14ac:dyDescent="0.25">
      <c r="A13" s="4" t="s">
        <v>71</v>
      </c>
      <c r="B13" s="20" t="s">
        <v>32</v>
      </c>
      <c r="C13" s="15">
        <v>1.1999999999999999E-3</v>
      </c>
      <c r="D13" s="16">
        <v>2.94508707648602E-2</v>
      </c>
      <c r="E13" s="17">
        <v>1.5E-3</v>
      </c>
      <c r="F13" s="18">
        <v>3.0797565730461801E-2</v>
      </c>
      <c r="G13" s="15">
        <v>1E-3</v>
      </c>
      <c r="H13" s="16">
        <v>3.2037894691756899E-2</v>
      </c>
      <c r="I13" s="17">
        <v>6.9999999999999999E-4</v>
      </c>
      <c r="J13" s="18">
        <v>3.1723871220384399E-2</v>
      </c>
      <c r="K13" s="15">
        <v>2.0000000000000001E-4</v>
      </c>
      <c r="L13" s="16">
        <v>3.0796781541706099E-2</v>
      </c>
      <c r="M13" s="17">
        <v>2.0000000000000001E-4</v>
      </c>
      <c r="N13" s="18">
        <v>2.95920312439962E-2</v>
      </c>
      <c r="O13" s="15">
        <v>0</v>
      </c>
      <c r="P13" s="16">
        <v>3.1605653108594201E-2</v>
      </c>
      <c r="Q13" s="17">
        <v>4.0000000000000002E-4</v>
      </c>
      <c r="R13" s="18">
        <v>3.2052001261746003E-2</v>
      </c>
      <c r="S13" s="15">
        <v>-6.9999999999999999E-4</v>
      </c>
      <c r="T13" s="16">
        <v>3.1298435419975401E-2</v>
      </c>
      <c r="U13" s="17">
        <v>8.0000000000000004E-4</v>
      </c>
      <c r="V13" s="18">
        <v>3.2804233789657203E-2</v>
      </c>
      <c r="W13" s="15">
        <v>-1.1000000000000001E-3</v>
      </c>
      <c r="X13" s="16">
        <v>3.1619543493129398E-2</v>
      </c>
      <c r="Y13" s="17">
        <v>5.0000000000000001E-4</v>
      </c>
      <c r="Z13" s="19">
        <v>3.31996037066472E-2</v>
      </c>
    </row>
    <row r="14" spans="1:26" x14ac:dyDescent="0.25">
      <c r="A14" s="4" t="s">
        <v>71</v>
      </c>
      <c r="B14" s="20" t="s">
        <v>8</v>
      </c>
      <c r="C14" s="15">
        <v>5.0000000000000001E-4</v>
      </c>
      <c r="D14" s="16">
        <v>1.2505695985290499E-2</v>
      </c>
      <c r="E14" s="17">
        <v>2.9999999999999997E-4</v>
      </c>
      <c r="F14" s="18">
        <v>1.28081262612626E-2</v>
      </c>
      <c r="G14" s="15">
        <v>1E-4</v>
      </c>
      <c r="H14" s="16">
        <v>1.23571137424448E-2</v>
      </c>
      <c r="I14" s="17">
        <v>1E-4</v>
      </c>
      <c r="J14" s="18">
        <v>1.2438000177544E-2</v>
      </c>
      <c r="K14" s="15">
        <v>1E-4</v>
      </c>
      <c r="L14" s="16">
        <v>1.2331202927608999E-2</v>
      </c>
      <c r="M14" s="17">
        <v>2.9999999999999997E-4</v>
      </c>
      <c r="N14" s="18">
        <v>1.24432254417053E-2</v>
      </c>
      <c r="O14" s="15">
        <v>-2.0000000000000001E-4</v>
      </c>
      <c r="P14" s="16">
        <v>1.2166275543395E-2</v>
      </c>
      <c r="Q14" s="17">
        <v>2.0000000000000001E-4</v>
      </c>
      <c r="R14" s="18">
        <v>1.0966145505994101E-2</v>
      </c>
      <c r="S14" s="15">
        <v>-2.0000000000000001E-4</v>
      </c>
      <c r="T14" s="16">
        <v>1.0226382799120101E-2</v>
      </c>
      <c r="U14" s="17">
        <v>0</v>
      </c>
      <c r="V14" s="18">
        <v>1.01806282363201E-2</v>
      </c>
      <c r="W14" s="15">
        <v>-2.9999999999999997E-4</v>
      </c>
      <c r="X14" s="16">
        <v>9.8592938968028003E-3</v>
      </c>
      <c r="Y14" s="17">
        <v>-1E-4</v>
      </c>
      <c r="Z14" s="19">
        <v>9.7477969518286901E-3</v>
      </c>
    </row>
    <row r="15" spans="1:26" x14ac:dyDescent="0.25">
      <c r="A15" s="4" t="s">
        <v>71</v>
      </c>
      <c r="B15" s="20" t="s">
        <v>9</v>
      </c>
      <c r="C15" s="15">
        <v>1.4E-3</v>
      </c>
      <c r="D15" s="16">
        <v>7.2682280881375502E-2</v>
      </c>
      <c r="E15" s="17">
        <v>1E-4</v>
      </c>
      <c r="F15" s="18">
        <v>7.4899322906014407E-2</v>
      </c>
      <c r="G15" s="15">
        <v>2.7000000000000001E-3</v>
      </c>
      <c r="H15" s="16">
        <v>7.7823554295035804E-2</v>
      </c>
      <c r="I15" s="17">
        <v>-5.0000000000000001E-4</v>
      </c>
      <c r="J15" s="18">
        <v>7.8057481791048294E-2</v>
      </c>
      <c r="K15" s="15">
        <v>1.6000000000000001E-3</v>
      </c>
      <c r="L15" s="16">
        <v>7.93052510631473E-2</v>
      </c>
      <c r="M15" s="17">
        <v>2.8E-3</v>
      </c>
      <c r="N15" s="18">
        <v>8.4593874093244897E-2</v>
      </c>
      <c r="O15" s="15">
        <v>-1E-4</v>
      </c>
      <c r="P15" s="16">
        <v>8.4195591059837704E-2</v>
      </c>
      <c r="Q15" s="17">
        <v>6.9999999999999999E-4</v>
      </c>
      <c r="R15" s="18">
        <v>8.2291389095766401E-2</v>
      </c>
      <c r="S15" s="15">
        <v>6.0000000000000001E-3</v>
      </c>
      <c r="T15" s="16">
        <v>8.8307316608125505E-2</v>
      </c>
      <c r="U15" s="17">
        <v>-1.2999999999999999E-3</v>
      </c>
      <c r="V15" s="18">
        <v>8.5742840727962996E-2</v>
      </c>
      <c r="W15" s="15">
        <v>1.2999999999999999E-3</v>
      </c>
      <c r="X15" s="16">
        <v>8.2152212593481905E-2</v>
      </c>
      <c r="Y15" s="17">
        <v>1E-3</v>
      </c>
      <c r="Z15" s="19">
        <v>8.3001468278046595E-2</v>
      </c>
    </row>
    <row r="16" spans="1:26" x14ac:dyDescent="0.25">
      <c r="A16" s="4" t="s">
        <v>71</v>
      </c>
      <c r="B16" s="20" t="s">
        <v>10</v>
      </c>
      <c r="C16" s="15">
        <v>0</v>
      </c>
      <c r="D16" s="16">
        <v>0</v>
      </c>
      <c r="E16" s="17">
        <v>0</v>
      </c>
      <c r="F16" s="18">
        <v>0</v>
      </c>
      <c r="G16" s="15">
        <v>0</v>
      </c>
      <c r="H16" s="16">
        <v>0</v>
      </c>
      <c r="I16" s="17">
        <v>0</v>
      </c>
      <c r="J16" s="18">
        <v>0</v>
      </c>
      <c r="K16" s="15">
        <v>0</v>
      </c>
      <c r="L16" s="16">
        <v>0</v>
      </c>
      <c r="M16" s="17">
        <v>0</v>
      </c>
      <c r="N16" s="18">
        <v>0</v>
      </c>
      <c r="O16" s="15">
        <v>0</v>
      </c>
      <c r="P16" s="16">
        <v>0</v>
      </c>
      <c r="Q16" s="17">
        <v>0</v>
      </c>
      <c r="R16" s="18">
        <v>0</v>
      </c>
      <c r="S16" s="15">
        <v>0</v>
      </c>
      <c r="T16" s="16">
        <v>0</v>
      </c>
      <c r="U16" s="17">
        <v>0</v>
      </c>
      <c r="V16" s="18">
        <v>0</v>
      </c>
      <c r="W16" s="15">
        <v>0</v>
      </c>
      <c r="X16" s="16">
        <v>0</v>
      </c>
      <c r="Y16" s="17">
        <v>0</v>
      </c>
      <c r="Z16" s="19">
        <v>0</v>
      </c>
    </row>
    <row r="17" spans="1:26" x14ac:dyDescent="0.25">
      <c r="A17" s="4" t="s">
        <v>71</v>
      </c>
      <c r="B17" s="20" t="s">
        <v>11</v>
      </c>
      <c r="C17" s="15">
        <v>0</v>
      </c>
      <c r="D17" s="16">
        <v>0</v>
      </c>
      <c r="E17" s="17">
        <v>0</v>
      </c>
      <c r="F17" s="18">
        <v>0</v>
      </c>
      <c r="G17" s="15">
        <v>0</v>
      </c>
      <c r="H17" s="16">
        <v>0</v>
      </c>
      <c r="I17" s="17">
        <v>0</v>
      </c>
      <c r="J17" s="18">
        <v>0</v>
      </c>
      <c r="K17" s="15">
        <v>0</v>
      </c>
      <c r="L17" s="16">
        <v>0</v>
      </c>
      <c r="M17" s="17">
        <v>0</v>
      </c>
      <c r="N17" s="18">
        <v>0</v>
      </c>
      <c r="O17" s="15">
        <v>0</v>
      </c>
      <c r="P17" s="16">
        <v>0</v>
      </c>
      <c r="Q17" s="17">
        <v>0</v>
      </c>
      <c r="R17" s="18">
        <v>0</v>
      </c>
      <c r="S17" s="15">
        <v>0</v>
      </c>
      <c r="T17" s="16">
        <v>0</v>
      </c>
      <c r="U17" s="17">
        <v>0</v>
      </c>
      <c r="V17" s="18">
        <v>0</v>
      </c>
      <c r="W17" s="15">
        <v>0</v>
      </c>
      <c r="X17" s="16">
        <v>0</v>
      </c>
      <c r="Y17" s="17">
        <v>0</v>
      </c>
      <c r="Z17" s="19">
        <v>0</v>
      </c>
    </row>
    <row r="18" spans="1:26" x14ac:dyDescent="0.25">
      <c r="A18" s="4" t="s">
        <v>71</v>
      </c>
      <c r="B18" s="20" t="s">
        <v>12</v>
      </c>
      <c r="C18" s="15">
        <v>0</v>
      </c>
      <c r="D18" s="16">
        <v>0</v>
      </c>
      <c r="E18" s="17">
        <v>0</v>
      </c>
      <c r="F18" s="18">
        <v>0</v>
      </c>
      <c r="G18" s="15">
        <v>0</v>
      </c>
      <c r="H18" s="16">
        <v>0</v>
      </c>
      <c r="I18" s="17">
        <v>0</v>
      </c>
      <c r="J18" s="18">
        <v>0</v>
      </c>
      <c r="K18" s="15">
        <v>0</v>
      </c>
      <c r="L18" s="16">
        <v>0</v>
      </c>
      <c r="M18" s="17">
        <v>0</v>
      </c>
      <c r="N18" s="18">
        <v>0</v>
      </c>
      <c r="O18" s="15">
        <v>0</v>
      </c>
      <c r="P18" s="16">
        <v>0</v>
      </c>
      <c r="Q18" s="17">
        <v>0</v>
      </c>
      <c r="R18" s="18">
        <v>0</v>
      </c>
      <c r="S18" s="15">
        <v>0</v>
      </c>
      <c r="T18" s="16">
        <v>0</v>
      </c>
      <c r="U18" s="17">
        <v>0</v>
      </c>
      <c r="V18" s="18">
        <v>0</v>
      </c>
      <c r="W18" s="15">
        <v>0</v>
      </c>
      <c r="X18" s="16">
        <v>0</v>
      </c>
      <c r="Y18" s="17">
        <v>0</v>
      </c>
      <c r="Z18" s="19">
        <v>0</v>
      </c>
    </row>
    <row r="19" spans="1:26" x14ac:dyDescent="0.25">
      <c r="A19" s="4" t="s">
        <v>71</v>
      </c>
      <c r="B19" s="20" t="s">
        <v>13</v>
      </c>
      <c r="C19" s="15">
        <v>0</v>
      </c>
      <c r="D19" s="16">
        <v>0</v>
      </c>
      <c r="E19" s="17">
        <v>0</v>
      </c>
      <c r="F19" s="18">
        <v>0</v>
      </c>
      <c r="G19" s="15">
        <v>0</v>
      </c>
      <c r="H19" s="16">
        <v>0</v>
      </c>
      <c r="I19" s="17">
        <v>0</v>
      </c>
      <c r="J19" s="18">
        <v>0</v>
      </c>
      <c r="K19" s="15">
        <v>0</v>
      </c>
      <c r="L19" s="16">
        <v>0</v>
      </c>
      <c r="M19" s="17">
        <v>0</v>
      </c>
      <c r="N19" s="18">
        <v>0</v>
      </c>
      <c r="O19" s="15">
        <v>0</v>
      </c>
      <c r="P19" s="16">
        <v>0</v>
      </c>
      <c r="Q19" s="17">
        <v>0</v>
      </c>
      <c r="R19" s="18">
        <v>0</v>
      </c>
      <c r="S19" s="15">
        <v>0</v>
      </c>
      <c r="T19" s="16">
        <v>0</v>
      </c>
      <c r="U19" s="17">
        <v>0</v>
      </c>
      <c r="V19" s="18">
        <v>0</v>
      </c>
      <c r="W19" s="15">
        <v>0</v>
      </c>
      <c r="X19" s="16">
        <v>0</v>
      </c>
      <c r="Y19" s="17">
        <v>0</v>
      </c>
      <c r="Z19" s="19">
        <v>0</v>
      </c>
    </row>
    <row r="20" spans="1:26" x14ac:dyDescent="0.25">
      <c r="A20" s="4" t="s">
        <v>71</v>
      </c>
      <c r="B20" s="20" t="s">
        <v>14</v>
      </c>
      <c r="C20" s="15">
        <v>0</v>
      </c>
      <c r="D20" s="16">
        <v>3.2637967869336898E-2</v>
      </c>
      <c r="E20" s="17">
        <v>0</v>
      </c>
      <c r="F20" s="18">
        <v>3.2405705968205203E-2</v>
      </c>
      <c r="G20" s="15">
        <v>2.0000000000000001E-4</v>
      </c>
      <c r="H20" s="16">
        <v>3.2335782089455603E-2</v>
      </c>
      <c r="I20" s="17">
        <v>0</v>
      </c>
      <c r="J20" s="18">
        <v>3.16410015584477E-2</v>
      </c>
      <c r="K20" s="15">
        <v>1E-4</v>
      </c>
      <c r="L20" s="16">
        <v>3.0947544300627398E-2</v>
      </c>
      <c r="M20" s="17">
        <v>1E-4</v>
      </c>
      <c r="N20" s="18">
        <v>3.00021856702051E-2</v>
      </c>
      <c r="O20" s="15">
        <v>1E-4</v>
      </c>
      <c r="P20" s="16">
        <v>2.9504561570350099E-2</v>
      </c>
      <c r="Q20" s="17">
        <v>1E-4</v>
      </c>
      <c r="R20" s="18">
        <v>2.8701046053804299E-2</v>
      </c>
      <c r="S20" s="15">
        <v>0</v>
      </c>
      <c r="T20" s="16">
        <v>2.8105215775559699E-2</v>
      </c>
      <c r="U20" s="17">
        <v>1E-4</v>
      </c>
      <c r="V20" s="18">
        <v>2.7589362845447E-2</v>
      </c>
      <c r="W20" s="15">
        <v>0</v>
      </c>
      <c r="X20" s="16">
        <v>2.7272965921627298E-2</v>
      </c>
      <c r="Y20" s="17">
        <v>-1E-4</v>
      </c>
      <c r="Z20" s="19">
        <v>2.62622143317695E-2</v>
      </c>
    </row>
    <row r="21" spans="1:26" x14ac:dyDescent="0.25">
      <c r="A21" s="4" t="s">
        <v>71</v>
      </c>
      <c r="B21" s="20" t="s">
        <v>15</v>
      </c>
      <c r="C21" s="15">
        <v>-4.5428071027142602E-19</v>
      </c>
      <c r="D21" s="16">
        <v>2.4894007519030798E-4</v>
      </c>
      <c r="E21" s="17">
        <v>-9.6493993351209896E-20</v>
      </c>
      <c r="F21" s="18">
        <v>2.5077526739332998E-4</v>
      </c>
      <c r="G21" s="15">
        <v>-1.0000000000000099E-4</v>
      </c>
      <c r="H21" s="16">
        <v>2.46531009296655E-4</v>
      </c>
      <c r="I21" s="17">
        <v>-1E-4</v>
      </c>
      <c r="J21" s="18">
        <v>2.4671197425856297E-4</v>
      </c>
      <c r="K21" s="15">
        <v>-1.2099696244938201E-18</v>
      </c>
      <c r="L21" s="16">
        <v>2.4474007272023599E-4</v>
      </c>
      <c r="M21" s="17">
        <v>0</v>
      </c>
      <c r="N21" s="18">
        <v>2.3773571733960101E-4</v>
      </c>
      <c r="O21" s="15">
        <v>-1.0000000000000099E-4</v>
      </c>
      <c r="P21" s="16">
        <v>2.36834675082746E-4</v>
      </c>
      <c r="Q21" s="17">
        <v>9.9999999999999598E-5</v>
      </c>
      <c r="R21" s="18">
        <v>2.1730494869106701E-4</v>
      </c>
      <c r="S21" s="15">
        <v>0</v>
      </c>
      <c r="T21" s="16">
        <v>2.1301320447751401E-4</v>
      </c>
      <c r="U21" s="17">
        <v>0</v>
      </c>
      <c r="V21" s="18">
        <v>1.7631642245614901E-4</v>
      </c>
      <c r="W21" s="15">
        <v>-1.0000000000000099E-4</v>
      </c>
      <c r="X21" s="16">
        <v>1.7463252855383401E-4</v>
      </c>
      <c r="Y21" s="17">
        <v>0</v>
      </c>
      <c r="Z21" s="19">
        <v>1.7097980672797699E-4</v>
      </c>
    </row>
    <row r="22" spans="1:26" x14ac:dyDescent="0.25">
      <c r="A22" s="4" t="s">
        <v>71</v>
      </c>
      <c r="B22" s="20" t="s">
        <v>16</v>
      </c>
      <c r="C22" s="15">
        <v>0</v>
      </c>
      <c r="D22" s="16">
        <v>0</v>
      </c>
      <c r="E22" s="17">
        <v>0</v>
      </c>
      <c r="F22" s="18">
        <v>0</v>
      </c>
      <c r="G22" s="15">
        <v>0</v>
      </c>
      <c r="H22" s="16">
        <v>0</v>
      </c>
      <c r="I22" s="17">
        <v>0</v>
      </c>
      <c r="J22" s="18">
        <v>0</v>
      </c>
      <c r="K22" s="15">
        <v>0</v>
      </c>
      <c r="L22" s="16">
        <v>0</v>
      </c>
      <c r="M22" s="17">
        <v>0</v>
      </c>
      <c r="N22" s="18">
        <v>0</v>
      </c>
      <c r="O22" s="15">
        <v>0</v>
      </c>
      <c r="P22" s="16">
        <v>0</v>
      </c>
      <c r="Q22" s="17">
        <v>0</v>
      </c>
      <c r="R22" s="18">
        <v>0</v>
      </c>
      <c r="S22" s="15">
        <v>0</v>
      </c>
      <c r="T22" s="16">
        <v>0</v>
      </c>
      <c r="U22" s="17">
        <v>0</v>
      </c>
      <c r="V22" s="18">
        <v>0</v>
      </c>
      <c r="W22" s="15">
        <v>0</v>
      </c>
      <c r="X22" s="16">
        <v>0</v>
      </c>
      <c r="Y22" s="17">
        <v>0</v>
      </c>
      <c r="Z22" s="19">
        <v>0</v>
      </c>
    </row>
    <row r="23" spans="1:26" x14ac:dyDescent="0.25">
      <c r="A23" s="4" t="s">
        <v>71</v>
      </c>
      <c r="B23" s="20" t="s">
        <v>17</v>
      </c>
      <c r="C23" s="15">
        <v>0</v>
      </c>
      <c r="D23" s="16">
        <v>1.56715417819544E-3</v>
      </c>
      <c r="E23" s="17">
        <v>0</v>
      </c>
      <c r="F23" s="18">
        <v>1.62778182967003E-3</v>
      </c>
      <c r="G23" s="15">
        <v>0</v>
      </c>
      <c r="H23" s="16">
        <v>1.6646557206950799E-3</v>
      </c>
      <c r="I23" s="17">
        <v>0</v>
      </c>
      <c r="J23" s="18">
        <v>1.65722372861153E-3</v>
      </c>
      <c r="K23" s="15">
        <v>0</v>
      </c>
      <c r="L23" s="16">
        <v>1.7148377456358201E-3</v>
      </c>
      <c r="M23" s="17">
        <v>-1E-4</v>
      </c>
      <c r="N23" s="18">
        <v>1.7062096541855299E-3</v>
      </c>
      <c r="O23" s="15">
        <v>0</v>
      </c>
      <c r="P23" s="16">
        <v>1.6993881157628999E-3</v>
      </c>
      <c r="Q23" s="17">
        <v>0</v>
      </c>
      <c r="R23" s="18">
        <v>1.6867752767018599E-3</v>
      </c>
      <c r="S23" s="15">
        <v>1E-4</v>
      </c>
      <c r="T23" s="16">
        <v>1.67216721321533E-3</v>
      </c>
      <c r="U23" s="17">
        <v>1E-4</v>
      </c>
      <c r="V23" s="18">
        <v>1.6557536920009401E-3</v>
      </c>
      <c r="W23" s="15">
        <v>0</v>
      </c>
      <c r="X23" s="16">
        <v>1.6482654002926401E-3</v>
      </c>
      <c r="Y23" s="17">
        <v>-2.0000000000000001E-4</v>
      </c>
      <c r="Z23" s="19">
        <v>1.53659058461753E-3</v>
      </c>
    </row>
    <row r="24" spans="1:26" x14ac:dyDescent="0.25">
      <c r="A24" s="4" t="s">
        <v>71</v>
      </c>
      <c r="B24" s="20" t="s">
        <v>18</v>
      </c>
      <c r="C24" s="15">
        <v>0</v>
      </c>
      <c r="D24" s="16">
        <v>0</v>
      </c>
      <c r="E24" s="17">
        <v>0</v>
      </c>
      <c r="F24" s="18">
        <v>0</v>
      </c>
      <c r="G24" s="15">
        <v>0</v>
      </c>
      <c r="H24" s="16">
        <v>0</v>
      </c>
      <c r="I24" s="17">
        <v>0</v>
      </c>
      <c r="J24" s="18">
        <v>0</v>
      </c>
      <c r="K24" s="15">
        <v>0</v>
      </c>
      <c r="L24" s="16">
        <v>0</v>
      </c>
      <c r="M24" s="17">
        <v>0</v>
      </c>
      <c r="N24" s="18">
        <v>0</v>
      </c>
      <c r="O24" s="15">
        <v>0</v>
      </c>
      <c r="P24" s="16">
        <v>0</v>
      </c>
      <c r="Q24" s="17">
        <v>0</v>
      </c>
      <c r="R24" s="18">
        <v>0</v>
      </c>
      <c r="S24" s="15">
        <v>0</v>
      </c>
      <c r="T24" s="16">
        <v>0</v>
      </c>
      <c r="U24" s="17">
        <v>0</v>
      </c>
      <c r="V24" s="18">
        <v>0</v>
      </c>
      <c r="W24" s="15">
        <v>0</v>
      </c>
      <c r="X24" s="16">
        <v>0</v>
      </c>
      <c r="Y24" s="17">
        <v>0</v>
      </c>
      <c r="Z24" s="19">
        <v>0</v>
      </c>
    </row>
    <row r="25" spans="1:26" x14ac:dyDescent="0.25">
      <c r="A25" s="4" t="s">
        <v>71</v>
      </c>
      <c r="B25" s="21" t="s">
        <v>19</v>
      </c>
      <c r="C25" s="22">
        <v>1.01E-2</v>
      </c>
      <c r="D25" s="23">
        <v>1</v>
      </c>
      <c r="E25" s="24">
        <v>-2.0999999999999999E-3</v>
      </c>
      <c r="F25" s="25">
        <v>1</v>
      </c>
      <c r="G25" s="22">
        <v>1.38E-2</v>
      </c>
      <c r="H25" s="23">
        <v>1</v>
      </c>
      <c r="I25" s="24">
        <v>5.1999999999999998E-3</v>
      </c>
      <c r="J25" s="25">
        <v>1</v>
      </c>
      <c r="K25" s="22">
        <v>1.3899999999999999E-2</v>
      </c>
      <c r="L25" s="23">
        <v>1</v>
      </c>
      <c r="M25" s="24">
        <v>4.1999999999999997E-3</v>
      </c>
      <c r="N25" s="25">
        <v>1</v>
      </c>
      <c r="O25" s="22">
        <v>6.4999999999999997E-3</v>
      </c>
      <c r="P25" s="23">
        <v>1</v>
      </c>
      <c r="Q25" s="24">
        <v>1.6299999999999999E-2</v>
      </c>
      <c r="R25" s="25">
        <v>1</v>
      </c>
      <c r="S25" s="22">
        <v>7.7999999999999996E-3</v>
      </c>
      <c r="T25" s="23">
        <v>1</v>
      </c>
      <c r="U25" s="24">
        <v>1.2699999999999999E-2</v>
      </c>
      <c r="V25" s="25">
        <v>1</v>
      </c>
      <c r="W25" s="22">
        <v>7.0000000000000001E-3</v>
      </c>
      <c r="X25" s="23">
        <v>1</v>
      </c>
      <c r="Y25" s="24">
        <v>2.7000000000000001E-3</v>
      </c>
      <c r="Z25" s="6">
        <v>1</v>
      </c>
    </row>
    <row r="26" spans="1:26" x14ac:dyDescent="0.25">
      <c r="A26" s="4" t="s">
        <v>71</v>
      </c>
      <c r="B26" s="26" t="s">
        <v>25</v>
      </c>
      <c r="C26" s="27">
        <v>116980.57901971599</v>
      </c>
      <c r="D26" s="55" t="s">
        <v>71</v>
      </c>
      <c r="E26" s="28">
        <v>-24468.320887034501</v>
      </c>
      <c r="F26" s="55" t="s">
        <v>71</v>
      </c>
      <c r="G26" s="27">
        <v>160710.361118934</v>
      </c>
      <c r="H26" s="55" t="s">
        <v>71</v>
      </c>
      <c r="I26" s="28">
        <v>61552.553611007701</v>
      </c>
      <c r="J26" s="55" t="s">
        <v>71</v>
      </c>
      <c r="K26" s="27">
        <v>164492.31304801701</v>
      </c>
      <c r="L26" s="55" t="s">
        <v>71</v>
      </c>
      <c r="M26" s="28">
        <v>49708.800385008399</v>
      </c>
      <c r="N26" s="55" t="s">
        <v>71</v>
      </c>
      <c r="O26" s="27">
        <v>78075.2410521438</v>
      </c>
      <c r="P26" s="55" t="s">
        <v>71</v>
      </c>
      <c r="Q26" s="28">
        <v>196183.483662666</v>
      </c>
      <c r="R26" s="55" t="s">
        <v>71</v>
      </c>
      <c r="S26" s="27">
        <v>94807.8353951381</v>
      </c>
      <c r="T26" s="55" t="s">
        <v>71</v>
      </c>
      <c r="U26" s="28">
        <v>157104.616918327</v>
      </c>
      <c r="V26" s="55" t="s">
        <v>71</v>
      </c>
      <c r="W26" s="27">
        <v>92352.003839078607</v>
      </c>
      <c r="X26" s="55" t="s">
        <v>71</v>
      </c>
      <c r="Y26" s="28">
        <v>33606.9377407391</v>
      </c>
      <c r="Z26" s="56" t="s">
        <v>71</v>
      </c>
    </row>
    <row r="27" spans="1:26" x14ac:dyDescent="0.25">
      <c r="A27" s="4" t="s">
        <v>71</v>
      </c>
      <c r="B27" s="48" t="s">
        <v>71</v>
      </c>
      <c r="C27" s="49" t="s">
        <v>71</v>
      </c>
      <c r="D27" s="49" t="s">
        <v>71</v>
      </c>
      <c r="E27" s="49" t="s">
        <v>71</v>
      </c>
      <c r="F27" s="49" t="s">
        <v>71</v>
      </c>
      <c r="G27" s="49" t="s">
        <v>71</v>
      </c>
      <c r="H27" s="49" t="s">
        <v>71</v>
      </c>
      <c r="I27" s="49" t="s">
        <v>71</v>
      </c>
      <c r="J27" s="49" t="s">
        <v>71</v>
      </c>
      <c r="K27" s="49" t="s">
        <v>71</v>
      </c>
      <c r="L27" s="49" t="s">
        <v>71</v>
      </c>
      <c r="M27" s="49" t="s">
        <v>71</v>
      </c>
      <c r="N27" s="49" t="s">
        <v>71</v>
      </c>
      <c r="O27" s="49" t="s">
        <v>71</v>
      </c>
      <c r="P27" s="49" t="s">
        <v>71</v>
      </c>
      <c r="Q27" s="49" t="s">
        <v>71</v>
      </c>
      <c r="R27" s="49" t="s">
        <v>71</v>
      </c>
      <c r="S27" s="49" t="s">
        <v>71</v>
      </c>
      <c r="T27" s="49" t="s">
        <v>71</v>
      </c>
      <c r="U27" s="49" t="s">
        <v>71</v>
      </c>
      <c r="V27" s="49" t="s">
        <v>71</v>
      </c>
      <c r="W27" s="49" t="s">
        <v>71</v>
      </c>
      <c r="X27" s="49" t="s">
        <v>71</v>
      </c>
      <c r="Y27" s="49" t="s">
        <v>71</v>
      </c>
      <c r="Z27" s="50" t="s">
        <v>71</v>
      </c>
    </row>
    <row r="28" spans="1:26" x14ac:dyDescent="0.25">
      <c r="A28" s="4" t="s">
        <v>71</v>
      </c>
      <c r="B28" s="14" t="s">
        <v>20</v>
      </c>
      <c r="C28" s="29">
        <v>8.0000000000000002E-3</v>
      </c>
      <c r="D28" s="30">
        <v>0.93046763367333596</v>
      </c>
      <c r="E28" s="31">
        <v>-3.0999999999999999E-3</v>
      </c>
      <c r="F28" s="32">
        <v>0.92350119211023396</v>
      </c>
      <c r="G28" s="29">
        <v>1.0800000000000001E-2</v>
      </c>
      <c r="H28" s="30">
        <v>0.91615441624136296</v>
      </c>
      <c r="I28" s="31">
        <v>5.4000000000000003E-3</v>
      </c>
      <c r="J28" s="32">
        <v>0.91145510469330704</v>
      </c>
      <c r="K28" s="29">
        <v>1.21E-2</v>
      </c>
      <c r="L28" s="30">
        <v>0.90938422550864395</v>
      </c>
      <c r="M28" s="31">
        <v>2.0999999999999999E-3</v>
      </c>
      <c r="N28" s="32">
        <v>0.92101897978820702</v>
      </c>
      <c r="O28" s="29">
        <v>7.0000000000000001E-3</v>
      </c>
      <c r="P28" s="30">
        <v>0.91949360787370604</v>
      </c>
      <c r="Q28" s="31">
        <v>1.5100000000000001E-2</v>
      </c>
      <c r="R28" s="32">
        <v>0.92085490456295804</v>
      </c>
      <c r="S28" s="29">
        <v>3.8E-3</v>
      </c>
      <c r="T28" s="30">
        <v>0.91751542554902799</v>
      </c>
      <c r="U28" s="31">
        <v>1.2800000000000001E-2</v>
      </c>
      <c r="V28" s="32">
        <v>0.91493642729295499</v>
      </c>
      <c r="W28" s="29">
        <v>7.3000000000000001E-3</v>
      </c>
      <c r="X28" s="30">
        <v>0.91868793208573096</v>
      </c>
      <c r="Y28" s="31">
        <v>1.6000000000000001E-3</v>
      </c>
      <c r="Z28" s="33">
        <v>0.91692115278824404</v>
      </c>
    </row>
    <row r="29" spans="1:26" x14ac:dyDescent="0.25">
      <c r="A29" s="4" t="s">
        <v>71</v>
      </c>
      <c r="B29" s="20" t="s">
        <v>21</v>
      </c>
      <c r="C29" s="15">
        <v>2.0999999999999999E-3</v>
      </c>
      <c r="D29" s="16">
        <v>6.9532366326664E-2</v>
      </c>
      <c r="E29" s="17">
        <v>1E-3</v>
      </c>
      <c r="F29" s="18">
        <v>7.6498807889766596E-2</v>
      </c>
      <c r="G29" s="15">
        <v>3.0000000000000001E-3</v>
      </c>
      <c r="H29" s="16">
        <v>8.3845583758637404E-2</v>
      </c>
      <c r="I29" s="17">
        <v>-2.0000000000000001E-4</v>
      </c>
      <c r="J29" s="18">
        <v>8.8544895306693003E-2</v>
      </c>
      <c r="K29" s="15">
        <v>1.8E-3</v>
      </c>
      <c r="L29" s="16">
        <v>9.0615774491356299E-2</v>
      </c>
      <c r="M29" s="17">
        <v>2.0999999999999999E-3</v>
      </c>
      <c r="N29" s="18">
        <v>7.8981020211792902E-2</v>
      </c>
      <c r="O29" s="15">
        <v>-5.0000000000000001E-4</v>
      </c>
      <c r="P29" s="16">
        <v>8.0506392126294193E-2</v>
      </c>
      <c r="Q29" s="17">
        <v>1.1999999999999999E-3</v>
      </c>
      <c r="R29" s="18">
        <v>7.9145095437042498E-2</v>
      </c>
      <c r="S29" s="15">
        <v>4.0000000000000001E-3</v>
      </c>
      <c r="T29" s="16">
        <v>8.2484574450972195E-2</v>
      </c>
      <c r="U29" s="17">
        <v>-1E-4</v>
      </c>
      <c r="V29" s="18">
        <v>8.5063572707044899E-2</v>
      </c>
      <c r="W29" s="15">
        <v>-2.9999999999999997E-4</v>
      </c>
      <c r="X29" s="16">
        <v>8.1312067914268801E-2</v>
      </c>
      <c r="Y29" s="17">
        <v>1.1000000000000001E-3</v>
      </c>
      <c r="Z29" s="19">
        <v>8.3078847211756096E-2</v>
      </c>
    </row>
    <row r="30" spans="1:26" x14ac:dyDescent="0.25">
      <c r="A30" s="4" t="s">
        <v>71</v>
      </c>
      <c r="B30" s="21" t="s">
        <v>19</v>
      </c>
      <c r="C30" s="22">
        <v>1.01E-2</v>
      </c>
      <c r="D30" s="23">
        <v>1</v>
      </c>
      <c r="E30" s="24">
        <v>-2.0999999999999999E-3</v>
      </c>
      <c r="F30" s="25">
        <v>1</v>
      </c>
      <c r="G30" s="22">
        <v>1.38E-2</v>
      </c>
      <c r="H30" s="23">
        <v>1</v>
      </c>
      <c r="I30" s="24">
        <v>5.1999999999999998E-3</v>
      </c>
      <c r="J30" s="25">
        <v>1</v>
      </c>
      <c r="K30" s="22">
        <v>1.3899999999999999E-2</v>
      </c>
      <c r="L30" s="23">
        <v>1</v>
      </c>
      <c r="M30" s="24">
        <v>4.1999999999999997E-3</v>
      </c>
      <c r="N30" s="25">
        <v>1</v>
      </c>
      <c r="O30" s="22">
        <v>6.4999999999999997E-3</v>
      </c>
      <c r="P30" s="23">
        <v>1</v>
      </c>
      <c r="Q30" s="24">
        <v>1.6299999999999999E-2</v>
      </c>
      <c r="R30" s="25">
        <v>1</v>
      </c>
      <c r="S30" s="22">
        <v>7.7999999999999996E-3</v>
      </c>
      <c r="T30" s="23">
        <v>1</v>
      </c>
      <c r="U30" s="24">
        <v>1.2699999999999999E-2</v>
      </c>
      <c r="V30" s="25">
        <v>1</v>
      </c>
      <c r="W30" s="22">
        <v>7.0000000000000001E-3</v>
      </c>
      <c r="X30" s="23">
        <v>1</v>
      </c>
      <c r="Y30" s="24">
        <v>2.7000000000000001E-3</v>
      </c>
      <c r="Z30" s="6">
        <v>1</v>
      </c>
    </row>
    <row r="31" spans="1:26" x14ac:dyDescent="0.25">
      <c r="A31" s="4" t="s">
        <v>71</v>
      </c>
      <c r="B31" s="48" t="s">
        <v>71</v>
      </c>
      <c r="C31" s="49" t="s">
        <v>71</v>
      </c>
      <c r="D31" s="49" t="s">
        <v>71</v>
      </c>
      <c r="E31" s="49" t="s">
        <v>71</v>
      </c>
      <c r="F31" s="49" t="s">
        <v>71</v>
      </c>
      <c r="G31" s="49" t="s">
        <v>71</v>
      </c>
      <c r="H31" s="49" t="s">
        <v>71</v>
      </c>
      <c r="I31" s="49" t="s">
        <v>71</v>
      </c>
      <c r="J31" s="49" t="s">
        <v>71</v>
      </c>
      <c r="K31" s="49" t="s">
        <v>71</v>
      </c>
      <c r="L31" s="49" t="s">
        <v>71</v>
      </c>
      <c r="M31" s="49" t="s">
        <v>71</v>
      </c>
      <c r="N31" s="49" t="s">
        <v>71</v>
      </c>
      <c r="O31" s="49" t="s">
        <v>71</v>
      </c>
      <c r="P31" s="49" t="s">
        <v>71</v>
      </c>
      <c r="Q31" s="49" t="s">
        <v>71</v>
      </c>
      <c r="R31" s="49" t="s">
        <v>71</v>
      </c>
      <c r="S31" s="49" t="s">
        <v>71</v>
      </c>
      <c r="T31" s="49" t="s">
        <v>71</v>
      </c>
      <c r="U31" s="49" t="s">
        <v>71</v>
      </c>
      <c r="V31" s="49" t="s">
        <v>71</v>
      </c>
      <c r="W31" s="49" t="s">
        <v>71</v>
      </c>
      <c r="X31" s="49" t="s">
        <v>71</v>
      </c>
      <c r="Y31" s="49" t="s">
        <v>71</v>
      </c>
      <c r="Z31" s="50" t="s">
        <v>71</v>
      </c>
    </row>
    <row r="32" spans="1:26" x14ac:dyDescent="0.25">
      <c r="A32" s="4" t="s">
        <v>71</v>
      </c>
      <c r="B32" s="14" t="s">
        <v>22</v>
      </c>
      <c r="C32" s="29">
        <v>3.8999999999999998E-3</v>
      </c>
      <c r="D32" s="30">
        <v>0.47738835981022798</v>
      </c>
      <c r="E32" s="31">
        <v>3.0000000000000001E-3</v>
      </c>
      <c r="F32" s="32">
        <v>0.47620371512724802</v>
      </c>
      <c r="G32" s="29">
        <v>5.8999999999999999E-3</v>
      </c>
      <c r="H32" s="30">
        <v>0.47240382017250498</v>
      </c>
      <c r="I32" s="31">
        <v>3.3E-3</v>
      </c>
      <c r="J32" s="32">
        <v>0.471240737211361</v>
      </c>
      <c r="K32" s="29">
        <v>3.8999999999999998E-3</v>
      </c>
      <c r="L32" s="30">
        <v>0.46893271034830403</v>
      </c>
      <c r="M32" s="31">
        <v>8.0000000000000004E-4</v>
      </c>
      <c r="N32" s="32">
        <v>0.47020859805543402</v>
      </c>
      <c r="O32" s="29">
        <v>5.9999999999999995E-4</v>
      </c>
      <c r="P32" s="30">
        <v>0.468016501521898</v>
      </c>
      <c r="Q32" s="31">
        <v>4.4000000000000003E-3</v>
      </c>
      <c r="R32" s="32">
        <v>0.46338375093779299</v>
      </c>
      <c r="S32" s="29">
        <v>5.9999999999999995E-4</v>
      </c>
      <c r="T32" s="30">
        <v>0.46110185582695701</v>
      </c>
      <c r="U32" s="31">
        <v>4.3E-3</v>
      </c>
      <c r="V32" s="32">
        <v>0.45930856434598</v>
      </c>
      <c r="W32" s="29">
        <v>-2E-3</v>
      </c>
      <c r="X32" s="30">
        <v>0.45678036756364998</v>
      </c>
      <c r="Y32" s="31">
        <v>3.3999999999999998E-3</v>
      </c>
      <c r="Z32" s="33">
        <v>0.46112170073091202</v>
      </c>
    </row>
    <row r="33" spans="1:26" x14ac:dyDescent="0.25">
      <c r="A33" s="4" t="s">
        <v>71</v>
      </c>
      <c r="B33" s="20" t="s">
        <v>23</v>
      </c>
      <c r="C33" s="15">
        <v>6.1999999999999998E-3</v>
      </c>
      <c r="D33" s="16">
        <v>0.52261164018977202</v>
      </c>
      <c r="E33" s="17">
        <v>-5.1000000000000004E-3</v>
      </c>
      <c r="F33" s="18">
        <v>0.52379628487275198</v>
      </c>
      <c r="G33" s="15">
        <v>7.9000000000000008E-3</v>
      </c>
      <c r="H33" s="16">
        <v>0.52759617982749496</v>
      </c>
      <c r="I33" s="17">
        <v>1.9E-3</v>
      </c>
      <c r="J33" s="18">
        <v>0.52875926278863905</v>
      </c>
      <c r="K33" s="15">
        <v>0.01</v>
      </c>
      <c r="L33" s="16">
        <v>0.53106728965169603</v>
      </c>
      <c r="M33" s="17">
        <v>3.3999999999999998E-3</v>
      </c>
      <c r="N33" s="18">
        <v>0.52979140194456598</v>
      </c>
      <c r="O33" s="15">
        <v>5.8999999999999999E-3</v>
      </c>
      <c r="P33" s="16">
        <v>0.531983498478101</v>
      </c>
      <c r="Q33" s="17">
        <v>1.1900000000000001E-2</v>
      </c>
      <c r="R33" s="18">
        <v>0.53661624906220695</v>
      </c>
      <c r="S33" s="15">
        <v>7.1999999999999998E-3</v>
      </c>
      <c r="T33" s="16">
        <v>0.53889814417304305</v>
      </c>
      <c r="U33" s="17">
        <v>8.3999999999999995E-3</v>
      </c>
      <c r="V33" s="18">
        <v>0.54069143565402</v>
      </c>
      <c r="W33" s="15">
        <v>8.9999999999999993E-3</v>
      </c>
      <c r="X33" s="16">
        <v>0.54321963243634996</v>
      </c>
      <c r="Y33" s="17">
        <v>-6.9999999999999999E-4</v>
      </c>
      <c r="Z33" s="19">
        <v>0.53887829926908803</v>
      </c>
    </row>
    <row r="34" spans="1:26" x14ac:dyDescent="0.25">
      <c r="A34" s="4" t="s">
        <v>71</v>
      </c>
      <c r="B34" s="34" t="s">
        <v>19</v>
      </c>
      <c r="C34" s="35">
        <v>1.01E-2</v>
      </c>
      <c r="D34" s="36">
        <v>1</v>
      </c>
      <c r="E34" s="37">
        <v>-2.0999999999999999E-3</v>
      </c>
      <c r="F34" s="38">
        <v>1</v>
      </c>
      <c r="G34" s="35">
        <v>1.38E-2</v>
      </c>
      <c r="H34" s="36">
        <v>1</v>
      </c>
      <c r="I34" s="37">
        <v>5.1999999999999998E-3</v>
      </c>
      <c r="J34" s="38">
        <v>1</v>
      </c>
      <c r="K34" s="35">
        <v>1.3899999999999999E-2</v>
      </c>
      <c r="L34" s="36">
        <v>1</v>
      </c>
      <c r="M34" s="37">
        <v>4.1999999999999997E-3</v>
      </c>
      <c r="N34" s="38">
        <v>1</v>
      </c>
      <c r="O34" s="35">
        <v>6.4999999999999997E-3</v>
      </c>
      <c r="P34" s="36">
        <v>1</v>
      </c>
      <c r="Q34" s="37">
        <v>1.6299999999999999E-2</v>
      </c>
      <c r="R34" s="38">
        <v>1</v>
      </c>
      <c r="S34" s="35">
        <v>7.7999999999999996E-3</v>
      </c>
      <c r="T34" s="36">
        <v>1</v>
      </c>
      <c r="U34" s="37">
        <v>1.2699999999999999E-2</v>
      </c>
      <c r="V34" s="38">
        <v>1</v>
      </c>
      <c r="W34" s="35">
        <v>7.0000000000000001E-3</v>
      </c>
      <c r="X34" s="36">
        <v>1</v>
      </c>
      <c r="Y34" s="37">
        <v>2.7000000000000001E-3</v>
      </c>
      <c r="Z34" s="5">
        <v>1</v>
      </c>
    </row>
    <row r="35" spans="1:26" x14ac:dyDescent="0.25">
      <c r="A35" s="4" t="s">
        <v>71</v>
      </c>
      <c r="B35" s="4" t="s">
        <v>71</v>
      </c>
      <c r="C35" s="4" t="s">
        <v>71</v>
      </c>
      <c r="D35" s="4" t="s">
        <v>71</v>
      </c>
      <c r="E35" s="4" t="s">
        <v>71</v>
      </c>
      <c r="F35" s="4" t="s">
        <v>71</v>
      </c>
      <c r="G35" s="4" t="s">
        <v>71</v>
      </c>
      <c r="H35" s="4" t="s">
        <v>71</v>
      </c>
      <c r="I35" s="4" t="s">
        <v>71</v>
      </c>
      <c r="J35" s="4" t="s">
        <v>71</v>
      </c>
      <c r="K35" s="4" t="s">
        <v>71</v>
      </c>
      <c r="L35" s="4" t="s">
        <v>71</v>
      </c>
      <c r="M35" s="4" t="s">
        <v>71</v>
      </c>
      <c r="N35" s="4" t="s">
        <v>71</v>
      </c>
      <c r="O35" s="4" t="s">
        <v>71</v>
      </c>
      <c r="P35" s="4" t="s">
        <v>71</v>
      </c>
      <c r="Q35" s="4" t="s">
        <v>71</v>
      </c>
      <c r="R35" s="4" t="s">
        <v>71</v>
      </c>
      <c r="S35" s="4" t="s">
        <v>71</v>
      </c>
      <c r="T35" s="4" t="s">
        <v>71</v>
      </c>
      <c r="U35" s="4" t="s">
        <v>71</v>
      </c>
      <c r="V35" s="4" t="s">
        <v>71</v>
      </c>
      <c r="W35" s="4" t="s">
        <v>71</v>
      </c>
      <c r="X35" s="4" t="s">
        <v>71</v>
      </c>
      <c r="Y35" s="4" t="s">
        <v>71</v>
      </c>
      <c r="Z35" s="4" t="s">
        <v>71</v>
      </c>
    </row>
    <row r="36" spans="1:26" x14ac:dyDescent="0.25">
      <c r="A36" s="4" t="s">
        <v>71</v>
      </c>
      <c r="B36" s="7" t="s">
        <v>66</v>
      </c>
      <c r="C36" s="54" t="s">
        <v>71</v>
      </c>
      <c r="D36" s="53" t="s">
        <v>71</v>
      </c>
      <c r="E36" s="54" t="s">
        <v>71</v>
      </c>
      <c r="F36" s="53" t="s">
        <v>71</v>
      </c>
      <c r="G36" s="8">
        <v>2.8E-3</v>
      </c>
      <c r="H36" s="53" t="s">
        <v>71</v>
      </c>
      <c r="I36" s="54" t="s">
        <v>71</v>
      </c>
      <c r="J36" s="53" t="s">
        <v>71</v>
      </c>
      <c r="K36" s="54" t="s">
        <v>71</v>
      </c>
      <c r="L36" s="53" t="s">
        <v>71</v>
      </c>
      <c r="M36" s="8">
        <v>2.8999999999999998E-3</v>
      </c>
      <c r="N36" s="53" t="s">
        <v>71</v>
      </c>
      <c r="O36" s="54" t="s">
        <v>71</v>
      </c>
      <c r="P36" s="53" t="s">
        <v>71</v>
      </c>
      <c r="Q36" s="54" t="s">
        <v>71</v>
      </c>
      <c r="R36" s="53" t="s">
        <v>71</v>
      </c>
      <c r="S36" s="8">
        <v>2.8999999999999998E-3</v>
      </c>
      <c r="T36" s="53" t="s">
        <v>71</v>
      </c>
      <c r="U36" s="54" t="s">
        <v>71</v>
      </c>
      <c r="V36" s="53" t="s">
        <v>71</v>
      </c>
      <c r="W36" s="54" t="s">
        <v>71</v>
      </c>
      <c r="X36" s="53" t="s">
        <v>71</v>
      </c>
      <c r="Y36" s="8">
        <v>2.7000000000000001E-3</v>
      </c>
      <c r="Z36" s="53" t="s">
        <v>71</v>
      </c>
    </row>
    <row r="37" spans="1:26" x14ac:dyDescent="0.25">
      <c r="A37" s="4" t="s">
        <v>71</v>
      </c>
      <c r="B37" s="45" t="s">
        <v>67</v>
      </c>
      <c r="C37" s="52" t="s">
        <v>71</v>
      </c>
      <c r="D37" s="51" t="s">
        <v>71</v>
      </c>
      <c r="E37" s="52" t="s">
        <v>71</v>
      </c>
      <c r="F37" s="51" t="s">
        <v>71</v>
      </c>
      <c r="G37" s="46">
        <v>1.66E-2</v>
      </c>
      <c r="H37" s="51" t="s">
        <v>71</v>
      </c>
      <c r="I37" s="52" t="s">
        <v>71</v>
      </c>
      <c r="J37" s="51" t="s">
        <v>71</v>
      </c>
      <c r="K37" s="52" t="s">
        <v>71</v>
      </c>
      <c r="L37" s="51" t="s">
        <v>71</v>
      </c>
      <c r="M37" s="46">
        <v>7.1000000000000004E-3</v>
      </c>
      <c r="N37" s="51" t="s">
        <v>71</v>
      </c>
      <c r="O37" s="52" t="s">
        <v>71</v>
      </c>
      <c r="P37" s="51" t="s">
        <v>71</v>
      </c>
      <c r="Q37" s="52" t="s">
        <v>71</v>
      </c>
      <c r="R37" s="51" t="s">
        <v>71</v>
      </c>
      <c r="S37" s="46">
        <v>1.0699999999999999E-2</v>
      </c>
      <c r="T37" s="51" t="s">
        <v>71</v>
      </c>
      <c r="U37" s="52" t="s">
        <v>71</v>
      </c>
      <c r="V37" s="51" t="s">
        <v>71</v>
      </c>
      <c r="W37" s="52" t="s">
        <v>71</v>
      </c>
      <c r="X37" s="51" t="s">
        <v>71</v>
      </c>
      <c r="Y37" s="46">
        <v>5.4000000000000003E-3</v>
      </c>
      <c r="Z37" s="51" t="s">
        <v>71</v>
      </c>
    </row>
    <row r="38" spans="1:26" x14ac:dyDescent="0.25">
      <c r="A38" s="57" t="s">
        <v>70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30" customHeight="1" x14ac:dyDescent="0.25">
      <c r="A39" s="4" t="s">
        <v>71</v>
      </c>
      <c r="B39" s="47" t="s">
        <v>24</v>
      </c>
      <c r="C39" s="9" t="s">
        <v>34</v>
      </c>
      <c r="D39" s="9" t="s">
        <v>35</v>
      </c>
      <c r="E39" s="11" t="s">
        <v>36</v>
      </c>
      <c r="F39" s="12" t="s">
        <v>37</v>
      </c>
      <c r="G39" s="9" t="s">
        <v>38</v>
      </c>
      <c r="H39" s="10" t="s">
        <v>39</v>
      </c>
      <c r="I39" s="11" t="s">
        <v>40</v>
      </c>
      <c r="J39" s="13" t="s">
        <v>41</v>
      </c>
      <c r="K39" s="57" t="s">
        <v>71</v>
      </c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x14ac:dyDescent="0.25">
      <c r="A40" s="4" t="s">
        <v>71</v>
      </c>
      <c r="B40" s="14" t="s">
        <v>1</v>
      </c>
      <c r="C40" s="15">
        <v>2.9999999999999997E-4</v>
      </c>
      <c r="D40" s="16">
        <v>4.8690709665092403E-2</v>
      </c>
      <c r="E40" s="17">
        <v>1E-4</v>
      </c>
      <c r="F40" s="18">
        <v>4.13721126861437E-2</v>
      </c>
      <c r="G40" s="15">
        <v>2.0000000000000001E-4</v>
      </c>
      <c r="H40" s="16">
        <v>4.2496946917656202E-2</v>
      </c>
      <c r="I40" s="17">
        <v>4.0000000000000002E-4</v>
      </c>
      <c r="J40" s="19">
        <v>3.4955819198485803E-2</v>
      </c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x14ac:dyDescent="0.25">
      <c r="A41" s="4" t="s">
        <v>71</v>
      </c>
      <c r="B41" s="20" t="s">
        <v>2</v>
      </c>
      <c r="C41" s="15">
        <v>6.8999999999999999E-3</v>
      </c>
      <c r="D41" s="16">
        <v>0.65245487223390397</v>
      </c>
      <c r="E41" s="17">
        <v>1.95E-2</v>
      </c>
      <c r="F41" s="18">
        <v>0.66258277426169399</v>
      </c>
      <c r="G41" s="15">
        <v>4.0599999999999997E-2</v>
      </c>
      <c r="H41" s="16">
        <v>0.65732616950397105</v>
      </c>
      <c r="I41" s="17">
        <v>5.7200000000000001E-2</v>
      </c>
      <c r="J41" s="19">
        <v>0.67024453097558301</v>
      </c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x14ac:dyDescent="0.25">
      <c r="A42" s="4" t="s">
        <v>71</v>
      </c>
      <c r="B42" s="20" t="s">
        <v>3</v>
      </c>
      <c r="C42" s="15">
        <v>0</v>
      </c>
      <c r="D42" s="16">
        <v>0</v>
      </c>
      <c r="E42" s="17">
        <v>0</v>
      </c>
      <c r="F42" s="18">
        <v>0</v>
      </c>
      <c r="G42" s="15">
        <v>0</v>
      </c>
      <c r="H42" s="16">
        <v>0</v>
      </c>
      <c r="I42" s="17">
        <v>0</v>
      </c>
      <c r="J42" s="19">
        <v>0</v>
      </c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x14ac:dyDescent="0.25">
      <c r="A43" s="4" t="s">
        <v>71</v>
      </c>
      <c r="B43" s="20" t="s">
        <v>4</v>
      </c>
      <c r="C43" s="15">
        <v>0</v>
      </c>
      <c r="D43" s="16">
        <v>0</v>
      </c>
      <c r="E43" s="17">
        <v>0</v>
      </c>
      <c r="F43" s="18">
        <v>0</v>
      </c>
      <c r="G43" s="15">
        <v>0</v>
      </c>
      <c r="H43" s="16">
        <v>0</v>
      </c>
      <c r="I43" s="17">
        <v>0</v>
      </c>
      <c r="J43" s="19">
        <v>0</v>
      </c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x14ac:dyDescent="0.25">
      <c r="A44" s="4" t="s">
        <v>71</v>
      </c>
      <c r="B44" s="20" t="s">
        <v>5</v>
      </c>
      <c r="C44" s="15">
        <v>1.4E-3</v>
      </c>
      <c r="D44" s="16">
        <v>6.8103107232812293E-2</v>
      </c>
      <c r="E44" s="17">
        <v>2.8E-3</v>
      </c>
      <c r="F44" s="18">
        <v>6.5608990613008705E-2</v>
      </c>
      <c r="G44" s="15">
        <v>4.5999999999999999E-3</v>
      </c>
      <c r="H44" s="16">
        <v>6.8640468844345395E-2</v>
      </c>
      <c r="I44" s="17">
        <v>5.1000000000000004E-3</v>
      </c>
      <c r="J44" s="19">
        <v>6.8450612482621395E-2</v>
      </c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x14ac:dyDescent="0.25">
      <c r="A45" s="4" t="s">
        <v>71</v>
      </c>
      <c r="B45" s="20" t="s">
        <v>6</v>
      </c>
      <c r="C45" s="15">
        <v>2.9999999999999997E-4</v>
      </c>
      <c r="D45" s="16">
        <v>2.2640475067012899E-2</v>
      </c>
      <c r="E45" s="17">
        <v>6.9999999999999999E-4</v>
      </c>
      <c r="F45" s="18">
        <v>2.3097675729691899E-2</v>
      </c>
      <c r="G45" s="15">
        <v>1.4E-3</v>
      </c>
      <c r="H45" s="16">
        <v>2.19109644966138E-2</v>
      </c>
      <c r="I45" s="17">
        <v>1.9E-3</v>
      </c>
      <c r="J45" s="19">
        <v>1.98395430354847E-2</v>
      </c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x14ac:dyDescent="0.25">
      <c r="A46" s="4" t="s">
        <v>71</v>
      </c>
      <c r="B46" s="20" t="s">
        <v>7</v>
      </c>
      <c r="C46" s="15">
        <v>4.1999999999999997E-3</v>
      </c>
      <c r="D46" s="16">
        <v>5.1645304252493598E-2</v>
      </c>
      <c r="E46" s="17">
        <v>7.7000000000000002E-3</v>
      </c>
      <c r="F46" s="18">
        <v>4.8763184888784498E-2</v>
      </c>
      <c r="G46" s="15">
        <v>0.01</v>
      </c>
      <c r="H46" s="16">
        <v>4.9802919216940099E-2</v>
      </c>
      <c r="I46" s="17">
        <v>1.54E-2</v>
      </c>
      <c r="J46" s="19">
        <v>5.2590840648187101E-2</v>
      </c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x14ac:dyDescent="0.25">
      <c r="A47" s="4" t="s">
        <v>71</v>
      </c>
      <c r="B47" s="20" t="s">
        <v>32</v>
      </c>
      <c r="C47" s="15">
        <v>3.7000000000000002E-3</v>
      </c>
      <c r="D47" s="16">
        <v>3.2037894691756899E-2</v>
      </c>
      <c r="E47" s="17">
        <v>4.7999999999999996E-3</v>
      </c>
      <c r="F47" s="18">
        <v>2.9592031243996099E-2</v>
      </c>
      <c r="G47" s="15">
        <v>4.7000000000000002E-3</v>
      </c>
      <c r="H47" s="16">
        <v>3.1298435419975401E-2</v>
      </c>
      <c r="I47" s="17">
        <v>5.0000000000000001E-3</v>
      </c>
      <c r="J47" s="19">
        <v>3.31996037066472E-2</v>
      </c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x14ac:dyDescent="0.25">
      <c r="A48" s="4" t="s">
        <v>71</v>
      </c>
      <c r="B48" s="20" t="s">
        <v>8</v>
      </c>
      <c r="C48" s="15">
        <v>8.0000000000000004E-4</v>
      </c>
      <c r="D48" s="16">
        <v>1.23571137424448E-2</v>
      </c>
      <c r="E48" s="17">
        <v>1.2999999999999999E-3</v>
      </c>
      <c r="F48" s="18">
        <v>1.24432254417053E-2</v>
      </c>
      <c r="G48" s="15">
        <v>1.2999999999999999E-3</v>
      </c>
      <c r="H48" s="16">
        <v>1.0226382799120101E-2</v>
      </c>
      <c r="I48" s="17">
        <v>1E-3</v>
      </c>
      <c r="J48" s="19">
        <v>9.7477969518287005E-3</v>
      </c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x14ac:dyDescent="0.25">
      <c r="A49" s="4" t="s">
        <v>71</v>
      </c>
      <c r="B49" s="20" t="s">
        <v>9</v>
      </c>
      <c r="C49" s="15">
        <v>4.1000000000000003E-3</v>
      </c>
      <c r="D49" s="16">
        <v>7.7823554295035804E-2</v>
      </c>
      <c r="E49" s="17">
        <v>8.8999999999999999E-3</v>
      </c>
      <c r="F49" s="18">
        <v>8.45938740932448E-2</v>
      </c>
      <c r="G49" s="15">
        <v>1.49E-2</v>
      </c>
      <c r="H49" s="16">
        <v>8.8307316608125505E-2</v>
      </c>
      <c r="I49" s="17">
        <v>1.6199999999999999E-2</v>
      </c>
      <c r="J49" s="19">
        <v>8.3001468278046595E-2</v>
      </c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x14ac:dyDescent="0.25">
      <c r="A50" s="4" t="s">
        <v>71</v>
      </c>
      <c r="B50" s="20" t="s">
        <v>10</v>
      </c>
      <c r="C50" s="15">
        <v>0</v>
      </c>
      <c r="D50" s="16">
        <v>0</v>
      </c>
      <c r="E50" s="17">
        <v>0</v>
      </c>
      <c r="F50" s="18">
        <v>0</v>
      </c>
      <c r="G50" s="15">
        <v>0</v>
      </c>
      <c r="H50" s="16">
        <v>0</v>
      </c>
      <c r="I50" s="17">
        <v>0</v>
      </c>
      <c r="J50" s="19">
        <v>0</v>
      </c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x14ac:dyDescent="0.25">
      <c r="A51" s="4" t="s">
        <v>71</v>
      </c>
      <c r="B51" s="20" t="s">
        <v>11</v>
      </c>
      <c r="C51" s="15">
        <v>0</v>
      </c>
      <c r="D51" s="16">
        <v>0</v>
      </c>
      <c r="E51" s="17">
        <v>0</v>
      </c>
      <c r="F51" s="18">
        <v>0</v>
      </c>
      <c r="G51" s="15">
        <v>0</v>
      </c>
      <c r="H51" s="16">
        <v>0</v>
      </c>
      <c r="I51" s="17">
        <v>0</v>
      </c>
      <c r="J51" s="19">
        <v>0</v>
      </c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x14ac:dyDescent="0.25">
      <c r="A52" s="4" t="s">
        <v>71</v>
      </c>
      <c r="B52" s="20" t="s">
        <v>12</v>
      </c>
      <c r="C52" s="15">
        <v>0</v>
      </c>
      <c r="D52" s="16">
        <v>0</v>
      </c>
      <c r="E52" s="17">
        <v>0</v>
      </c>
      <c r="F52" s="18">
        <v>0</v>
      </c>
      <c r="G52" s="15">
        <v>0</v>
      </c>
      <c r="H52" s="16">
        <v>0</v>
      </c>
      <c r="I52" s="17">
        <v>0</v>
      </c>
      <c r="J52" s="19">
        <v>0</v>
      </c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x14ac:dyDescent="0.25">
      <c r="A53" s="4" t="s">
        <v>71</v>
      </c>
      <c r="B53" s="20" t="s">
        <v>13</v>
      </c>
      <c r="C53" s="15">
        <v>0</v>
      </c>
      <c r="D53" s="16">
        <v>0</v>
      </c>
      <c r="E53" s="17">
        <v>0</v>
      </c>
      <c r="F53" s="18">
        <v>0</v>
      </c>
      <c r="G53" s="15">
        <v>0</v>
      </c>
      <c r="H53" s="16">
        <v>0</v>
      </c>
      <c r="I53" s="17">
        <v>0</v>
      </c>
      <c r="J53" s="19">
        <v>0</v>
      </c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x14ac:dyDescent="0.25">
      <c r="A54" s="4" t="s">
        <v>71</v>
      </c>
      <c r="B54" s="20" t="s">
        <v>14</v>
      </c>
      <c r="C54" s="15">
        <v>2.0000000000000001E-4</v>
      </c>
      <c r="D54" s="16">
        <v>3.2335782089455603E-2</v>
      </c>
      <c r="E54" s="17">
        <v>4.0000000000000002E-4</v>
      </c>
      <c r="F54" s="18">
        <v>3.00021856702051E-2</v>
      </c>
      <c r="G54" s="15">
        <v>8.0000000000000004E-4</v>
      </c>
      <c r="H54" s="16">
        <v>2.8105215775559699E-2</v>
      </c>
      <c r="I54" s="17">
        <v>1E-3</v>
      </c>
      <c r="J54" s="19">
        <v>2.62622143317695E-2</v>
      </c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x14ac:dyDescent="0.25">
      <c r="A55" s="4" t="s">
        <v>71</v>
      </c>
      <c r="B55" s="20" t="s">
        <v>15</v>
      </c>
      <c r="C55" s="15">
        <v>-5.0740661672321604E-19</v>
      </c>
      <c r="D55" s="16">
        <v>2.4653100929693901E-4</v>
      </c>
      <c r="E55" s="17">
        <v>0</v>
      </c>
      <c r="F55" s="18">
        <v>2.3773571733960001E-4</v>
      </c>
      <c r="G55" s="15">
        <v>2.0000000000000001E-4</v>
      </c>
      <c r="H55" s="16">
        <v>2.1301320447751401E-4</v>
      </c>
      <c r="I55" s="17">
        <v>2.9999999999999997E-4</v>
      </c>
      <c r="J55" s="19">
        <v>1.7097980672797699E-4</v>
      </c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x14ac:dyDescent="0.25">
      <c r="A56" s="4" t="s">
        <v>71</v>
      </c>
      <c r="B56" s="20" t="s">
        <v>16</v>
      </c>
      <c r="C56" s="15">
        <v>0</v>
      </c>
      <c r="D56" s="16">
        <v>0</v>
      </c>
      <c r="E56" s="17">
        <v>0</v>
      </c>
      <c r="F56" s="18">
        <v>0</v>
      </c>
      <c r="G56" s="15">
        <v>0</v>
      </c>
      <c r="H56" s="16">
        <v>0</v>
      </c>
      <c r="I56" s="17">
        <v>0</v>
      </c>
      <c r="J56" s="19">
        <v>0</v>
      </c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x14ac:dyDescent="0.25">
      <c r="A57" s="4" t="s">
        <v>71</v>
      </c>
      <c r="B57" s="20" t="s">
        <v>17</v>
      </c>
      <c r="C57" s="15">
        <v>0</v>
      </c>
      <c r="D57" s="16">
        <v>1.6646557206950699E-3</v>
      </c>
      <c r="E57" s="17">
        <v>-1.0000000000000501E-4</v>
      </c>
      <c r="F57" s="18">
        <v>1.70620965418638E-3</v>
      </c>
      <c r="G57" s="15">
        <v>1.0000000000000099E-4</v>
      </c>
      <c r="H57" s="16">
        <v>1.6721672132147601E-3</v>
      </c>
      <c r="I57" s="17">
        <v>1E-4</v>
      </c>
      <c r="J57" s="19">
        <v>1.5365905846173901E-3</v>
      </c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x14ac:dyDescent="0.25">
      <c r="A58" s="4" t="s">
        <v>71</v>
      </c>
      <c r="B58" s="20" t="s">
        <v>18</v>
      </c>
      <c r="C58" s="15">
        <v>0</v>
      </c>
      <c r="D58" s="16">
        <v>0</v>
      </c>
      <c r="E58" s="17">
        <v>0</v>
      </c>
      <c r="F58" s="18">
        <v>0</v>
      </c>
      <c r="G58" s="15">
        <v>0</v>
      </c>
      <c r="H58" s="16">
        <v>0</v>
      </c>
      <c r="I58" s="17">
        <v>0</v>
      </c>
      <c r="J58" s="19">
        <v>0</v>
      </c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x14ac:dyDescent="0.25">
      <c r="A59" s="4" t="s">
        <v>71</v>
      </c>
      <c r="B59" s="21" t="s">
        <v>29</v>
      </c>
      <c r="C59" s="22">
        <v>2.1899999999999999E-2</v>
      </c>
      <c r="D59" s="23">
        <v>1</v>
      </c>
      <c r="E59" s="24">
        <v>4.6100000000000002E-2</v>
      </c>
      <c r="F59" s="25">
        <v>1</v>
      </c>
      <c r="G59" s="22">
        <v>7.8799999999999995E-2</v>
      </c>
      <c r="H59" s="23">
        <v>1</v>
      </c>
      <c r="I59" s="24">
        <v>0.1036</v>
      </c>
      <c r="J59" s="6">
        <v>1</v>
      </c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x14ac:dyDescent="0.25">
      <c r="A60" s="4" t="s">
        <v>71</v>
      </c>
      <c r="B60" s="26" t="s">
        <v>25</v>
      </c>
      <c r="C60" s="27">
        <v>253222.61925161499</v>
      </c>
      <c r="D60" s="55" t="s">
        <v>71</v>
      </c>
      <c r="E60" s="28">
        <v>528971.86329565395</v>
      </c>
      <c r="F60" s="55" t="s">
        <v>71</v>
      </c>
      <c r="G60" s="27">
        <v>898008.07530560705</v>
      </c>
      <c r="H60" s="55" t="s">
        <v>71</v>
      </c>
      <c r="I60" s="28">
        <v>1181037.3122537499</v>
      </c>
      <c r="J60" s="56" t="s">
        <v>71</v>
      </c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x14ac:dyDescent="0.25">
      <c r="A61" s="4" t="s">
        <v>71</v>
      </c>
      <c r="B61" s="48" t="s">
        <v>71</v>
      </c>
      <c r="C61" s="49" t="s">
        <v>71</v>
      </c>
      <c r="D61" s="49" t="s">
        <v>71</v>
      </c>
      <c r="E61" s="49" t="s">
        <v>71</v>
      </c>
      <c r="F61" s="49" t="s">
        <v>71</v>
      </c>
      <c r="G61" s="49" t="s">
        <v>71</v>
      </c>
      <c r="H61" s="49" t="s">
        <v>71</v>
      </c>
      <c r="I61" s="49" t="s">
        <v>71</v>
      </c>
      <c r="J61" s="50" t="s">
        <v>71</v>
      </c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x14ac:dyDescent="0.25">
      <c r="A62" s="4" t="s">
        <v>71</v>
      </c>
      <c r="B62" s="14" t="s">
        <v>20</v>
      </c>
      <c r="C62" s="29">
        <v>1.5800000000000002E-2</v>
      </c>
      <c r="D62" s="30">
        <v>0.91615441624136196</v>
      </c>
      <c r="E62" s="31">
        <v>3.5499999999999997E-2</v>
      </c>
      <c r="F62" s="32">
        <v>0.92101897978820702</v>
      </c>
      <c r="G62" s="29">
        <v>6.3500000000000001E-2</v>
      </c>
      <c r="H62" s="30">
        <v>0.91751542554902699</v>
      </c>
      <c r="I62" s="31">
        <v>8.7099999999999997E-2</v>
      </c>
      <c r="J62" s="33">
        <v>0.91692115278824304</v>
      </c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x14ac:dyDescent="0.25">
      <c r="A63" s="4" t="s">
        <v>71</v>
      </c>
      <c r="B63" s="20" t="s">
        <v>21</v>
      </c>
      <c r="C63" s="15">
        <v>6.1000000000000004E-3</v>
      </c>
      <c r="D63" s="16">
        <v>8.3845583758637807E-2</v>
      </c>
      <c r="E63" s="17">
        <v>1.06E-2</v>
      </c>
      <c r="F63" s="18">
        <v>7.8981020211793304E-2</v>
      </c>
      <c r="G63" s="15">
        <v>1.5299999999999999E-2</v>
      </c>
      <c r="H63" s="16">
        <v>8.2484574450972598E-2</v>
      </c>
      <c r="I63" s="17">
        <v>1.6500000000000001E-2</v>
      </c>
      <c r="J63" s="19">
        <v>8.3078847211756707E-2</v>
      </c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x14ac:dyDescent="0.25">
      <c r="A64" s="4" t="s">
        <v>71</v>
      </c>
      <c r="B64" s="21" t="s">
        <v>29</v>
      </c>
      <c r="C64" s="22">
        <v>2.1899999999999999E-2</v>
      </c>
      <c r="D64" s="23">
        <v>1</v>
      </c>
      <c r="E64" s="24">
        <v>4.6100000000000002E-2</v>
      </c>
      <c r="F64" s="25">
        <v>1</v>
      </c>
      <c r="G64" s="22">
        <v>7.8799999999999995E-2</v>
      </c>
      <c r="H64" s="23">
        <v>1</v>
      </c>
      <c r="I64" s="24">
        <v>0.1036</v>
      </c>
      <c r="J64" s="6">
        <v>1</v>
      </c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x14ac:dyDescent="0.25">
      <c r="A65" s="4" t="s">
        <v>71</v>
      </c>
      <c r="B65" s="48" t="s">
        <v>71</v>
      </c>
      <c r="C65" s="49" t="s">
        <v>71</v>
      </c>
      <c r="D65" s="49" t="s">
        <v>71</v>
      </c>
      <c r="E65" s="49" t="s">
        <v>71</v>
      </c>
      <c r="F65" s="49" t="s">
        <v>71</v>
      </c>
      <c r="G65" s="49" t="s">
        <v>71</v>
      </c>
      <c r="H65" s="49" t="s">
        <v>71</v>
      </c>
      <c r="I65" s="49" t="s">
        <v>71</v>
      </c>
      <c r="J65" s="50" t="s">
        <v>71</v>
      </c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x14ac:dyDescent="0.25">
      <c r="A66" s="4" t="s">
        <v>71</v>
      </c>
      <c r="B66" s="14" t="s">
        <v>22</v>
      </c>
      <c r="C66" s="29">
        <v>1.29E-2</v>
      </c>
      <c r="D66" s="30">
        <v>0.47240382017250498</v>
      </c>
      <c r="E66" s="31">
        <v>2.0899999999999998E-2</v>
      </c>
      <c r="F66" s="32">
        <v>0.47020859805543402</v>
      </c>
      <c r="G66" s="29">
        <v>2.7699999999999999E-2</v>
      </c>
      <c r="H66" s="30">
        <v>0.46110185582695701</v>
      </c>
      <c r="I66" s="31">
        <v>3.4299999999999997E-2</v>
      </c>
      <c r="J66" s="33">
        <v>0.46112170073091202</v>
      </c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x14ac:dyDescent="0.25">
      <c r="A67" s="4" t="s">
        <v>71</v>
      </c>
      <c r="B67" s="20" t="s">
        <v>23</v>
      </c>
      <c r="C67" s="15">
        <v>8.9999999999999993E-3</v>
      </c>
      <c r="D67" s="16">
        <v>0.52759617982749496</v>
      </c>
      <c r="E67" s="17">
        <v>2.52E-2</v>
      </c>
      <c r="F67" s="18">
        <v>0.52979140194456598</v>
      </c>
      <c r="G67" s="15">
        <v>5.11E-2</v>
      </c>
      <c r="H67" s="16">
        <v>0.53889814417304305</v>
      </c>
      <c r="I67" s="17">
        <v>6.93E-2</v>
      </c>
      <c r="J67" s="19">
        <v>0.53887829926908803</v>
      </c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x14ac:dyDescent="0.25">
      <c r="A68" s="4" t="s">
        <v>71</v>
      </c>
      <c r="B68" s="34" t="s">
        <v>29</v>
      </c>
      <c r="C68" s="35">
        <v>2.1899999999999999E-2</v>
      </c>
      <c r="D68" s="36">
        <v>1</v>
      </c>
      <c r="E68" s="37">
        <v>4.6100000000000002E-2</v>
      </c>
      <c r="F68" s="38">
        <v>1</v>
      </c>
      <c r="G68" s="35">
        <v>7.8799999999999995E-2</v>
      </c>
      <c r="H68" s="36">
        <v>1</v>
      </c>
      <c r="I68" s="37">
        <v>0.1036</v>
      </c>
      <c r="J68" s="5">
        <v>1</v>
      </c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x14ac:dyDescent="0.25">
      <c r="A69" s="4" t="s">
        <v>71</v>
      </c>
      <c r="B69" s="4" t="s">
        <v>71</v>
      </c>
      <c r="C69" s="4" t="s">
        <v>71</v>
      </c>
      <c r="D69" s="4" t="s">
        <v>71</v>
      </c>
      <c r="E69" s="4" t="s">
        <v>71</v>
      </c>
      <c r="F69" s="4" t="s">
        <v>71</v>
      </c>
      <c r="G69" s="4" t="s">
        <v>71</v>
      </c>
      <c r="H69" s="4" t="s">
        <v>71</v>
      </c>
      <c r="I69" s="4" t="s">
        <v>71</v>
      </c>
      <c r="J69" s="4" t="s">
        <v>71</v>
      </c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x14ac:dyDescent="0.25">
      <c r="A70" s="4" t="s">
        <v>71</v>
      </c>
      <c r="B70" s="7" t="s">
        <v>66</v>
      </c>
      <c r="C70" s="8">
        <v>2.8E-3</v>
      </c>
      <c r="D70" s="53" t="s">
        <v>71</v>
      </c>
      <c r="E70" s="8">
        <v>5.7000000000000002E-3</v>
      </c>
      <c r="F70" s="53" t="s">
        <v>71</v>
      </c>
      <c r="G70" s="8">
        <v>8.6E-3</v>
      </c>
      <c r="H70" s="53" t="s">
        <v>71</v>
      </c>
      <c r="I70" s="8">
        <v>1.129E-2</v>
      </c>
      <c r="J70" s="53" t="s">
        <v>71</v>
      </c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x14ac:dyDescent="0.25">
      <c r="A71" s="4" t="s">
        <v>71</v>
      </c>
      <c r="B71" s="45" t="s">
        <v>68</v>
      </c>
      <c r="C71" s="46">
        <v>2.47E-2</v>
      </c>
      <c r="D71" s="51" t="s">
        <v>71</v>
      </c>
      <c r="E71" s="46">
        <f>E70+E59</f>
        <v>5.1799999999999999E-2</v>
      </c>
      <c r="F71" s="51" t="s">
        <v>71</v>
      </c>
      <c r="G71" s="46">
        <f>G70+G59</f>
        <v>8.7399999999999992E-2</v>
      </c>
      <c r="H71" s="51" t="s">
        <v>71</v>
      </c>
      <c r="I71" s="46">
        <f>I70+I59</f>
        <v>0.11488999999999999</v>
      </c>
      <c r="J71" s="51" t="s">
        <v>71</v>
      </c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x14ac:dyDescent="0.25">
      <c r="A72" s="4" t="s">
        <v>71</v>
      </c>
      <c r="B72" s="59" t="s">
        <v>27</v>
      </c>
      <c r="C72" s="59"/>
      <c r="D72" s="59"/>
      <c r="E72" s="59"/>
      <c r="F72" s="59"/>
      <c r="G72" s="59"/>
      <c r="H72" s="59"/>
      <c r="I72" s="59"/>
      <c r="J72" s="59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28.5" customHeight="1" x14ac:dyDescent="0.25">
      <c r="A73" s="4" t="s">
        <v>71</v>
      </c>
      <c r="B73" s="58" t="s">
        <v>28</v>
      </c>
      <c r="C73" s="58"/>
      <c r="D73" s="58"/>
      <c r="E73" s="58"/>
      <c r="F73" s="58"/>
      <c r="G73" s="58"/>
      <c r="H73" s="58"/>
      <c r="I73" s="58"/>
      <c r="J73" s="58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idden="1" x14ac:dyDescent="0.25">
      <c r="A74" s="4" t="s">
        <v>71</v>
      </c>
      <c r="B74" s="4" t="s">
        <v>71</v>
      </c>
      <c r="C74" s="4" t="s">
        <v>71</v>
      </c>
      <c r="D74" s="4" t="s">
        <v>71</v>
      </c>
      <c r="E74" s="4" t="s">
        <v>71</v>
      </c>
      <c r="F74" s="4" t="s">
        <v>71</v>
      </c>
      <c r="G74" s="4" t="s">
        <v>71</v>
      </c>
      <c r="H74" s="4" t="s">
        <v>71</v>
      </c>
      <c r="I74" s="4" t="s">
        <v>71</v>
      </c>
      <c r="J74" s="4" t="s">
        <v>71</v>
      </c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x14ac:dyDescent="0.25">
      <c r="A75" s="4" t="s">
        <v>71</v>
      </c>
      <c r="B75" s="60" t="s">
        <v>31</v>
      </c>
      <c r="C75" s="60"/>
      <c r="D75" s="60"/>
      <c r="E75" s="60"/>
      <c r="F75" s="60"/>
      <c r="G75" s="60"/>
      <c r="H75" s="60"/>
      <c r="I75" s="60"/>
      <c r="J75" s="60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7" spans="1:26" x14ac:dyDescent="0.25">
      <c r="B77"/>
    </row>
    <row r="10012" spans="3:26" x14ac:dyDescent="0.25">
      <c r="C10012">
        <v>1</v>
      </c>
      <c r="D10012">
        <v>0</v>
      </c>
      <c r="E10012">
        <v>1</v>
      </c>
      <c r="F10012">
        <v>0</v>
      </c>
      <c r="G10012">
        <v>1</v>
      </c>
      <c r="H10012">
        <v>0</v>
      </c>
      <c r="I10012">
        <v>1</v>
      </c>
      <c r="J10012">
        <v>0</v>
      </c>
      <c r="K10012">
        <v>1</v>
      </c>
      <c r="L10012">
        <v>0</v>
      </c>
      <c r="M10012">
        <v>1</v>
      </c>
      <c r="N10012">
        <v>0</v>
      </c>
      <c r="O10012">
        <v>1</v>
      </c>
      <c r="P10012">
        <v>0</v>
      </c>
      <c r="Q10012">
        <v>1</v>
      </c>
      <c r="R10012">
        <v>0</v>
      </c>
      <c r="S10012">
        <v>1</v>
      </c>
      <c r="T10012">
        <v>0</v>
      </c>
      <c r="U10012">
        <v>1</v>
      </c>
      <c r="V10012">
        <v>0</v>
      </c>
      <c r="W10012">
        <v>1</v>
      </c>
      <c r="X10012">
        <v>0</v>
      </c>
      <c r="Y10012">
        <v>1</v>
      </c>
      <c r="Z10012">
        <v>0</v>
      </c>
    </row>
    <row r="10013" spans="3:26" x14ac:dyDescent="0.25">
      <c r="C10013">
        <v>1.0101</v>
      </c>
      <c r="D10013">
        <v>0</v>
      </c>
      <c r="E10013">
        <v>0.99789000000000005</v>
      </c>
      <c r="F10013">
        <v>0</v>
      </c>
      <c r="G10013">
        <v>1.0138400000000001</v>
      </c>
      <c r="H10013">
        <v>0</v>
      </c>
      <c r="I10013">
        <v>1.00522</v>
      </c>
      <c r="J10013">
        <v>0</v>
      </c>
      <c r="K10013">
        <v>1.0139400000000001</v>
      </c>
      <c r="L10013">
        <v>0</v>
      </c>
      <c r="M10013">
        <v>1.0041500000000001</v>
      </c>
      <c r="N10013">
        <v>0</v>
      </c>
      <c r="O10013">
        <v>1.0065</v>
      </c>
      <c r="P10013">
        <v>0</v>
      </c>
      <c r="Q10013">
        <v>1.0163</v>
      </c>
      <c r="R10013">
        <v>0</v>
      </c>
      <c r="S10013">
        <v>1.0078</v>
      </c>
      <c r="T10013">
        <v>0</v>
      </c>
      <c r="U10013">
        <v>1.0126999999999999</v>
      </c>
      <c r="V10013">
        <v>0</v>
      </c>
      <c r="W10013">
        <v>1.00698</v>
      </c>
      <c r="X10013">
        <v>0</v>
      </c>
      <c r="Y10013">
        <v>1.0026999999999999</v>
      </c>
      <c r="Z10013">
        <v>0</v>
      </c>
    </row>
    <row r="10043" spans="3:10" x14ac:dyDescent="0.25">
      <c r="C10043">
        <v>1</v>
      </c>
      <c r="D10043">
        <v>0</v>
      </c>
      <c r="E10043">
        <v>1</v>
      </c>
      <c r="F10043">
        <v>0</v>
      </c>
      <c r="G10043">
        <v>1</v>
      </c>
      <c r="H10043">
        <v>0</v>
      </c>
      <c r="I10043">
        <v>1</v>
      </c>
      <c r="J10043">
        <v>0</v>
      </c>
    </row>
    <row r="10044" spans="3:10" x14ac:dyDescent="0.25">
      <c r="C10044">
        <v>1.0219499999999999</v>
      </c>
      <c r="D10044">
        <v>0</v>
      </c>
      <c r="E10044">
        <v>1.04515</v>
      </c>
      <c r="F10044">
        <v>0</v>
      </c>
      <c r="G10044">
        <v>1.0788</v>
      </c>
      <c r="H10044">
        <v>0</v>
      </c>
      <c r="I10044">
        <v>1.0981000000000001</v>
      </c>
      <c r="J10044">
        <v>0</v>
      </c>
    </row>
  </sheetData>
  <mergeCells count="19">
    <mergeCell ref="W4:X4"/>
    <mergeCell ref="Y4:Z4"/>
    <mergeCell ref="K39:Z75"/>
    <mergeCell ref="A38:Z38"/>
    <mergeCell ref="B73:J73"/>
    <mergeCell ref="B72:J72"/>
    <mergeCell ref="B75:J75"/>
    <mergeCell ref="B1:Z1"/>
    <mergeCell ref="B2:Z2"/>
    <mergeCell ref="C3:Z3"/>
    <mergeCell ref="E4:F4"/>
    <mergeCell ref="G4:H4"/>
    <mergeCell ref="I4:J4"/>
    <mergeCell ref="K4:L4"/>
    <mergeCell ref="M4:N4"/>
    <mergeCell ref="O4:P4"/>
    <mergeCell ref="Q4:R4"/>
    <mergeCell ref="S4:T4"/>
    <mergeCell ref="U4:V4"/>
  </mergeCells>
  <pageMargins left="0" right="0" top="0" bottom="0.55118110236220474" header="0" footer="0.31496062992125984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2022-04-12T08:50:37Z</dcterms:modified>
</cp:coreProperties>
</file>