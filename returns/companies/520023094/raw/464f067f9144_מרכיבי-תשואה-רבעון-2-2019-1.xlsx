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דרייב-שירה\דרייב-גלעד\נגיש\"/>
    </mc:Choice>
  </mc:AlternateContent>
  <xr:revisionPtr revIDLastSave="0" documentId="8_{BD9BF708-2880-48C9-97A9-1F055F3EA7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תשואה'!$B$1:$Z$77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8" i="5" l="1"/>
  <c r="C88" i="5"/>
  <c r="M46" i="5"/>
  <c r="G46" i="5"/>
  <c r="C49" i="5"/>
  <c r="C6" i="5"/>
  <c r="E4" i="5" l="1"/>
  <c r="E39" i="5"/>
  <c r="C39" i="5"/>
  <c r="E32" i="5"/>
  <c r="C32" i="5"/>
  <c r="G4" i="5" l="1"/>
  <c r="G32" i="5"/>
  <c r="G6" i="5"/>
  <c r="C74" i="5"/>
  <c r="G39" i="5"/>
  <c r="E6" i="5"/>
  <c r="I4" i="5" l="1"/>
  <c r="I6" i="5"/>
  <c r="C81" i="5"/>
  <c r="I32" i="5"/>
  <c r="I39" i="5"/>
  <c r="K4" i="5" l="1"/>
  <c r="K32" i="5"/>
  <c r="K6" i="5"/>
  <c r="K39" i="5"/>
  <c r="M4" i="5" l="1"/>
  <c r="E81" i="5"/>
  <c r="M6" i="5"/>
  <c r="E49" i="5"/>
  <c r="M32" i="5"/>
  <c r="E74" i="5"/>
  <c r="O4" i="5" l="1"/>
  <c r="O32" i="5"/>
  <c r="M39" i="5"/>
  <c r="O6" i="5"/>
  <c r="Q4" i="5" l="1"/>
  <c r="S4" i="5" s="1"/>
  <c r="G49" i="5"/>
  <c r="O39" i="5"/>
  <c r="S32" i="5"/>
  <c r="Q6" i="5"/>
  <c r="S39" i="5"/>
  <c r="Q32" i="5"/>
  <c r="G74" i="5"/>
  <c r="U4" i="5" l="1"/>
  <c r="U32" i="5"/>
  <c r="G81" i="5"/>
  <c r="S6" i="5"/>
  <c r="U39" i="5"/>
  <c r="Q39" i="5"/>
  <c r="W4" i="5" l="1"/>
  <c r="W39" i="5"/>
  <c r="W32" i="5"/>
  <c r="U6" i="5"/>
  <c r="Y4" i="5" l="1"/>
  <c r="Y39" i="5"/>
  <c r="I74" i="5"/>
  <c r="W6" i="5"/>
  <c r="I49" i="5"/>
  <c r="Y32" i="5"/>
  <c r="Y6" i="5"/>
  <c r="I81" i="5"/>
</calcChain>
</file>

<file path=xl/sharedStrings.xml><?xml version="1.0" encoding="utf-8"?>
<sst xmlns="http://schemas.openxmlformats.org/spreadsheetml/2006/main" count="680" uniqueCount="81">
  <si>
    <t>פירוט תרומת אפיקי ההשקעה לתשואה הכוללת</t>
  </si>
  <si>
    <t>ינואר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</si>
  <si>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</si>
  <si>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</si>
  <si>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</si>
  <si>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</si>
  <si>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</si>
  <si>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</si>
  <si>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</si>
  <si>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</si>
  <si>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</si>
  <si>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</si>
  <si>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</si>
  <si>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</si>
  <si>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</si>
  <si>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</si>
  <si>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</si>
  <si>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</si>
  <si>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תעודות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</si>
  <si>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</si>
  <si>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</si>
  <si>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</si>
  <si>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</si>
  <si>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</si>
  <si>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</si>
  <si>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</si>
  <si>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</si>
  <si>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</si>
  <si>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</si>
  <si>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</si>
  <si>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</si>
  <si>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</si>
  <si>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</si>
  <si>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</si>
  <si>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</si>
  <si>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</si>
  <si>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</si>
  <si>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</si>
  <si>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</si>
  <si>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</si>
  <si>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</si>
  <si>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r>
      <rPr>
        <b/>
        <sz val="11"/>
        <rFont val="David"/>
        <family val="2"/>
      </rPr>
      <t xml:space="preserve">הערה: </t>
    </r>
    <r>
      <rPr>
        <sz val="11"/>
        <rFont val="David"/>
        <family val="2"/>
      </rPr>
      <t>מבנה</t>
    </r>
    <r>
      <rPr>
        <b/>
        <sz val="11"/>
        <rFont val="David"/>
        <family val="2"/>
      </rPr>
      <t xml:space="preserve"> </t>
    </r>
    <r>
      <rPr>
        <sz val="11"/>
        <rFont val="David"/>
        <family val="2"/>
      </rPr>
      <t>הדיווח מותאם למבנה הדוח החודשי המדווח על ידי הגופים המוסדיים, על כן יש לסווג את הנכסים לאפיקים השונים בהתאם לסיווגם בדוח החודשי.</t>
    </r>
  </si>
  <si>
    <t>גילעד גמלאות לעובדים דתיים</t>
  </si>
  <si>
    <t>תשואה חודשית מהשקעות</t>
  </si>
  <si>
    <t>נוסף סיוע האוצר לקרן ותיקה</t>
  </si>
  <si>
    <t>תשואה חודשית כוללת</t>
  </si>
  <si>
    <t>תשואה מצטברת מהשקעות</t>
  </si>
  <si>
    <t>תשואה מצטברת כוללת</t>
  </si>
  <si>
    <t>עמודה1</t>
  </si>
  <si>
    <r>
      <t>התרומה לתשואה</t>
    </r>
    <r>
      <rPr>
        <sz val="1"/>
        <rFont val="David"/>
        <family val="2"/>
      </rPr>
      <t xml:space="preserve">
</t>
    </r>
    <r>
      <rPr>
        <sz val="1"/>
        <color rgb="FFFFFFCC"/>
        <rFont val="David"/>
        <family val="2"/>
      </rPr>
      <t>ינואר 2019</t>
    </r>
  </si>
  <si>
    <r>
      <t>התרומה לתשואה</t>
    </r>
    <r>
      <rPr>
        <sz val="11"/>
        <color rgb="FFFFFFCC"/>
        <rFont val="David"/>
        <family val="2"/>
      </rPr>
      <t>4</t>
    </r>
    <r>
      <rPr>
        <sz val="1"/>
        <color rgb="FFFFFFCC"/>
        <rFont val="David"/>
        <family val="2"/>
      </rPr>
      <t xml:space="preserve">
מרץ 2019</t>
    </r>
  </si>
  <si>
    <r>
      <t>שיעור מסך הנכסים</t>
    </r>
    <r>
      <rPr>
        <sz val="11"/>
        <color rgb="FFFFFFCC"/>
        <rFont val="David"/>
        <family val="2"/>
      </rPr>
      <t>5</t>
    </r>
  </si>
  <si>
    <r>
      <t>התרומה לתשואה</t>
    </r>
    <r>
      <rPr>
        <sz val="11"/>
        <color rgb="FFFFFFCC"/>
        <rFont val="David"/>
        <family val="2"/>
      </rPr>
      <t xml:space="preserve">
</t>
    </r>
    <r>
      <rPr>
        <sz val="1"/>
        <color rgb="FFFFFFCC"/>
        <rFont val="David"/>
        <family val="2"/>
      </rPr>
      <t>מאי 2019</t>
    </r>
  </si>
  <si>
    <r>
      <t>שיעור מסך הנכסים</t>
    </r>
    <r>
      <rPr>
        <sz val="11"/>
        <color rgb="FFFFFFCC"/>
        <rFont val="David"/>
        <family val="2"/>
      </rPr>
      <t>9</t>
    </r>
  </si>
  <si>
    <r>
      <t>התרומה לתשואה</t>
    </r>
    <r>
      <rPr>
        <sz val="11"/>
        <color rgb="FFFFFFCC"/>
        <rFont val="David"/>
        <family val="2"/>
      </rPr>
      <t>12</t>
    </r>
    <r>
      <rPr>
        <sz val="1"/>
        <color rgb="FFFFFFCC"/>
        <rFont val="David"/>
        <family val="2"/>
      </rPr>
      <t xml:space="preserve">
יולי 2019</t>
    </r>
  </si>
  <si>
    <r>
      <t>שיעור מסך הנכסים</t>
    </r>
    <r>
      <rPr>
        <sz val="11"/>
        <color rgb="FFFFFFCC"/>
        <rFont val="David"/>
        <family val="2"/>
      </rPr>
      <t>13</t>
    </r>
  </si>
  <si>
    <r>
      <t>התרומה לתשואה</t>
    </r>
    <r>
      <rPr>
        <sz val="11"/>
        <color rgb="FFFFFFCC"/>
        <rFont val="David"/>
        <family val="2"/>
      </rPr>
      <t xml:space="preserve">1
</t>
    </r>
    <r>
      <rPr>
        <sz val="1"/>
        <color rgb="FFFFFFCC"/>
        <rFont val="David"/>
        <family val="2"/>
      </rPr>
      <t>ספטמבר 20196</t>
    </r>
  </si>
  <si>
    <r>
      <t>שיעור מסך הנכסים</t>
    </r>
    <r>
      <rPr>
        <sz val="11"/>
        <color rgb="FFFFFFCC"/>
        <rFont val="David"/>
        <family val="2"/>
      </rPr>
      <t>17</t>
    </r>
  </si>
  <si>
    <r>
      <t xml:space="preserve">התרומה לתשואה
</t>
    </r>
    <r>
      <rPr>
        <sz val="1"/>
        <color rgb="FFFFFFCC"/>
        <rFont val="David"/>
        <family val="2"/>
      </rPr>
      <t>20 נובמבר 2019</t>
    </r>
  </si>
  <si>
    <r>
      <t>שיעור מסך הנכסים</t>
    </r>
    <r>
      <rPr>
        <sz val="11"/>
        <color rgb="FFFFFFCC"/>
        <rFont val="David"/>
        <family val="2"/>
      </rPr>
      <t>21</t>
    </r>
  </si>
  <si>
    <r>
      <t>התרומה לתשואה</t>
    </r>
    <r>
      <rPr>
        <sz val="11"/>
        <color rgb="FFDAEEF3"/>
        <rFont val="David"/>
        <family val="2"/>
      </rPr>
      <t xml:space="preserve">22
</t>
    </r>
    <r>
      <rPr>
        <sz val="1"/>
        <color rgb="FFDAEEF3"/>
        <rFont val="David"/>
        <family val="2"/>
      </rPr>
      <t>דצמבר 2019</t>
    </r>
  </si>
  <si>
    <r>
      <t>שיעור מסך הנכסים</t>
    </r>
    <r>
      <rPr>
        <sz val="11"/>
        <color rgb="FFDAEEF3"/>
        <rFont val="David"/>
        <family val="2"/>
      </rPr>
      <t>23</t>
    </r>
  </si>
  <si>
    <r>
      <t>שיעור מסך הנכסים</t>
    </r>
    <r>
      <rPr>
        <sz val="11"/>
        <color rgb="FFDAEEF3"/>
        <rFont val="David"/>
        <family val="2"/>
      </rPr>
      <t>19</t>
    </r>
    <r>
      <rPr>
        <sz val="11"/>
        <rFont val="David"/>
        <family val="2"/>
        <charset val="177"/>
      </rPr>
      <t xml:space="preserve">
</t>
    </r>
  </si>
  <si>
    <r>
      <t>התרומה לתשואה</t>
    </r>
    <r>
      <rPr>
        <sz val="1"/>
        <rFont val="David"/>
        <family val="2"/>
      </rPr>
      <t xml:space="preserve">
</t>
    </r>
    <r>
      <rPr>
        <sz val="1"/>
        <color rgb="FFDAEEF3"/>
        <rFont val="David"/>
        <family val="2"/>
      </rPr>
      <t>אוקטובר 201918</t>
    </r>
  </si>
  <si>
    <r>
      <t>שיעור מסך הנכסים</t>
    </r>
    <r>
      <rPr>
        <sz val="11"/>
        <color rgb="FFDAEEF3"/>
        <rFont val="David"/>
        <family val="2"/>
      </rPr>
      <t>15</t>
    </r>
  </si>
  <si>
    <r>
      <t>התרומה לתשואה</t>
    </r>
    <r>
      <rPr>
        <sz val="11"/>
        <color rgb="FFDAEEF3"/>
        <rFont val="David"/>
        <family val="2"/>
      </rPr>
      <t xml:space="preserve">14
</t>
    </r>
    <r>
      <rPr>
        <sz val="1"/>
        <color rgb="FFDAEEF3"/>
        <rFont val="David"/>
        <family val="2"/>
      </rPr>
      <t>אוגוסט 2019</t>
    </r>
  </si>
  <si>
    <r>
      <t>שיעור מסך הנכסים</t>
    </r>
    <r>
      <rPr>
        <sz val="11"/>
        <color rgb="FFDAEEF3"/>
        <rFont val="David"/>
        <family val="2"/>
      </rPr>
      <t>11</t>
    </r>
  </si>
  <si>
    <r>
      <t>התרומה לתשואה</t>
    </r>
    <r>
      <rPr>
        <sz val="11"/>
        <color rgb="FFDAEEF3"/>
        <rFont val="David"/>
        <family val="2"/>
      </rPr>
      <t>10</t>
    </r>
    <r>
      <rPr>
        <sz val="1"/>
        <color rgb="FFDAEEF3"/>
        <rFont val="David"/>
        <family val="2"/>
      </rPr>
      <t xml:space="preserve">
יוני 2019</t>
    </r>
  </si>
  <si>
    <r>
      <t>שיעור מסך הנכסים</t>
    </r>
    <r>
      <rPr>
        <sz val="11"/>
        <color rgb="FFDAEEF3"/>
        <rFont val="David"/>
        <family val="2"/>
      </rPr>
      <t>7</t>
    </r>
  </si>
  <si>
    <r>
      <t>התרומה לתשואה</t>
    </r>
    <r>
      <rPr>
        <sz val="11"/>
        <color rgb="FFDAEEF3"/>
        <rFont val="David"/>
        <family val="2"/>
      </rPr>
      <t>6</t>
    </r>
    <r>
      <rPr>
        <sz val="1"/>
        <color rgb="FFDAEEF3"/>
        <rFont val="David"/>
        <family val="2"/>
      </rPr>
      <t xml:space="preserve">
אפריל 2019</t>
    </r>
  </si>
  <si>
    <r>
      <t>שיעור מסך הנכסים</t>
    </r>
    <r>
      <rPr>
        <sz val="11"/>
        <color rgb="FFDAEEF3"/>
        <rFont val="David"/>
        <family val="2"/>
      </rPr>
      <t>3</t>
    </r>
  </si>
  <si>
    <r>
      <t>התרומה לתשואה</t>
    </r>
    <r>
      <rPr>
        <sz val="11"/>
        <color rgb="FFDAEEF3"/>
        <rFont val="David"/>
        <family val="2"/>
      </rPr>
      <t xml:space="preserve">2
</t>
    </r>
    <r>
      <rPr>
        <sz val="1"/>
        <color rgb="FFDAEEF3"/>
        <rFont val="David"/>
        <family val="2"/>
      </rPr>
      <t>פברואר 2019</t>
    </r>
  </si>
  <si>
    <t>שורה ריקה</t>
  </si>
  <si>
    <t>נתונים</t>
  </si>
  <si>
    <r>
      <t xml:space="preserve">התרומה לתשואה
</t>
    </r>
    <r>
      <rPr>
        <sz val="1"/>
        <color rgb="FFFFFFCC"/>
        <rFont val="David"/>
        <family val="2"/>
      </rPr>
      <t>ינואר-מרץ 2019</t>
    </r>
  </si>
  <si>
    <r>
      <t>התרומה לתשואה</t>
    </r>
    <r>
      <rPr>
        <sz val="11"/>
        <color rgb="FFDAEEF3"/>
        <rFont val="David"/>
        <family val="2"/>
      </rPr>
      <t>2</t>
    </r>
    <r>
      <rPr>
        <sz val="1"/>
        <color rgb="FFDAEEF3"/>
        <rFont val="David"/>
        <family val="2"/>
      </rPr>
      <t xml:space="preserve">
ינואר-יוני 2019</t>
    </r>
  </si>
  <si>
    <r>
      <t xml:space="preserve">התרומה לתשואה
</t>
    </r>
    <r>
      <rPr>
        <sz val="1"/>
        <color rgb="FFFFFFCC"/>
        <rFont val="David"/>
        <family val="2"/>
      </rPr>
      <t>ינואר-ספטמבר 2019</t>
    </r>
  </si>
  <si>
    <r>
      <t>שיעור מסך הנכסים</t>
    </r>
    <r>
      <rPr>
        <sz val="11"/>
        <color rgb="FFFFFFCC"/>
        <rFont val="David"/>
        <family val="2"/>
      </rPr>
      <t>2</t>
    </r>
  </si>
  <si>
    <r>
      <t>התרומה לתשואה</t>
    </r>
    <r>
      <rPr>
        <sz val="11"/>
        <color rgb="FFDAEEF3"/>
        <rFont val="David"/>
        <family val="2"/>
      </rPr>
      <t xml:space="preserve">6
</t>
    </r>
    <r>
      <rPr>
        <sz val="1"/>
        <color rgb="FFDAEEF3"/>
        <rFont val="David"/>
        <family val="2"/>
      </rPr>
      <t>ינואר-דצמבר 2019</t>
    </r>
  </si>
  <si>
    <t>סוף מסמך</t>
  </si>
  <si>
    <t>תא ריק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</si>
</sst>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40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4"/>
      <name val="David"/>
      <family val="2"/>
    </font>
    <font>
      <b/>
      <sz val="12"/>
      <name val="David"/>
      <family val="2"/>
    </font>
    <font>
      <sz val="11"/>
      <color rgb="FFFFFFCC"/>
      <name val="David"/>
      <family val="2"/>
    </font>
    <font>
      <sz val="1"/>
      <name val="David"/>
      <family val="2"/>
    </font>
    <font>
      <sz val="1"/>
      <color rgb="FFFFFFCC"/>
      <name val="David"/>
      <family val="2"/>
    </font>
    <font>
      <sz val="11"/>
      <color rgb="FFDAEEF3"/>
      <name val="David"/>
      <family val="2"/>
    </font>
    <font>
      <sz val="11"/>
      <color theme="0"/>
      <name val="David"/>
      <family val="2"/>
    </font>
    <font>
      <sz val="1"/>
      <color rgb="FFDAEEF3"/>
      <name val="David"/>
      <family val="2"/>
    </font>
    <font>
      <b/>
      <sz val="12"/>
      <color theme="0"/>
      <name val="David"/>
      <family val="2"/>
    </font>
    <font>
      <sz val="11"/>
      <color rgb="FFFFFFCC"/>
      <name val="David"/>
      <family val="2"/>
      <charset val="177"/>
    </font>
    <font>
      <b/>
      <sz val="11"/>
      <color rgb="FFFFFFCC"/>
      <name val="David"/>
      <family val="2"/>
      <charset val="177"/>
    </font>
    <font>
      <sz val="11"/>
      <color rgb="FFDAEEF3"/>
      <name val="David"/>
      <family val="2"/>
      <charset val="177"/>
    </font>
    <font>
      <b/>
      <sz val="11"/>
      <color rgb="FFDAEEF3"/>
      <name val="David"/>
      <family val="2"/>
      <charset val="177"/>
    </font>
    <font>
      <sz val="11"/>
      <color rgb="FF92D050"/>
      <name val="David"/>
      <family val="2"/>
      <charset val="177"/>
    </font>
    <font>
      <b/>
      <sz val="11"/>
      <color rgb="FF00B0F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AEEF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506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0" fontId="23" fillId="0" borderId="18" applyNumberFormat="0" applyFill="0" applyAlignment="0" applyProtection="0"/>
    <xf numFmtId="0" fontId="24" fillId="0" borderId="19" applyNumberFormat="0" applyFill="0" applyAlignment="0" applyProtection="0"/>
  </cellStyleXfs>
  <cellXfs count="109">
    <xf numFmtId="0" fontId="0" fillId="0" borderId="0" xfId="0"/>
    <xf numFmtId="0" fontId="19" fillId="0" borderId="0" xfId="0" applyFont="1"/>
    <xf numFmtId="0" fontId="2" fillId="0" borderId="1" xfId="0" applyFont="1" applyBorder="1"/>
    <xf numFmtId="17" fontId="3" fillId="2" borderId="2" xfId="0" applyNumberFormat="1" applyFont="1" applyFill="1" applyBorder="1" applyAlignment="1">
      <alignment horizontal="centerContinuous"/>
    </xf>
    <xf numFmtId="17" fontId="2" fillId="2" borderId="3" xfId="0" applyNumberFormat="1" applyFont="1" applyFill="1" applyBorder="1" applyAlignment="1">
      <alignment horizontal="centerContinuous"/>
    </xf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 applyBorder="1"/>
    <xf numFmtId="0" fontId="6" fillId="0" borderId="1" xfId="0" applyFont="1" applyBorder="1"/>
    <xf numFmtId="17" fontId="3" fillId="4" borderId="2" xfId="0" applyNumberFormat="1" applyFont="1" applyFill="1" applyBorder="1" applyAlignment="1">
      <alignment horizontal="centerContinuous"/>
    </xf>
    <xf numFmtId="17" fontId="2" fillId="4" borderId="3" xfId="0" applyNumberFormat="1" applyFont="1" applyFill="1" applyBorder="1" applyAlignment="1">
      <alignment horizontal="centerContinuous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6" borderId="9" xfId="0" applyFont="1" applyFill="1" applyBorder="1"/>
    <xf numFmtId="10" fontId="2" fillId="6" borderId="6" xfId="421" applyNumberFormat="1" applyFont="1" applyFill="1" applyBorder="1"/>
    <xf numFmtId="10" fontId="2" fillId="6" borderId="5" xfId="421" applyNumberFormat="1" applyFont="1" applyFill="1" applyBorder="1"/>
    <xf numFmtId="10" fontId="3" fillId="7" borderId="11" xfId="421" applyNumberFormat="1" applyFont="1" applyFill="1" applyBorder="1"/>
    <xf numFmtId="10" fontId="3" fillId="7" borderId="10" xfId="421" applyNumberFormat="1" applyFont="1" applyFill="1" applyBorder="1"/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0" fontId="5" fillId="0" borderId="0" xfId="0" applyFont="1" applyAlignment="1">
      <alignment horizontal="right" readingOrder="2"/>
    </xf>
    <xf numFmtId="0" fontId="20" fillId="0" borderId="0" xfId="0" applyFont="1" applyAlignment="1">
      <alignment horizontal="center"/>
    </xf>
    <xf numFmtId="0" fontId="25" fillId="0" borderId="0" xfId="504" applyFont="1" applyBorder="1" applyAlignment="1">
      <alignment horizontal="right"/>
    </xf>
    <xf numFmtId="0" fontId="20" fillId="0" borderId="0" xfId="0" applyFont="1" applyBorder="1" applyAlignment="1">
      <alignment horizontal="center"/>
    </xf>
    <xf numFmtId="17" fontId="26" fillId="2" borderId="12" xfId="505" applyNumberFormat="1" applyFont="1" applyFill="1" applyBorder="1" applyAlignment="1">
      <alignment horizontal="center"/>
    </xf>
    <xf numFmtId="17" fontId="3" fillId="2" borderId="21" xfId="0" applyNumberFormat="1" applyFont="1" applyFill="1" applyBorder="1" applyAlignment="1">
      <alignment horizontal="center"/>
    </xf>
    <xf numFmtId="17" fontId="2" fillId="2" borderId="22" xfId="0" applyNumberFormat="1" applyFont="1" applyFill="1" applyBorder="1" applyAlignment="1">
      <alignment horizontal="center"/>
    </xf>
    <xf numFmtId="17" fontId="3" fillId="4" borderId="21" xfId="0" applyNumberFormat="1" applyFont="1" applyFill="1" applyBorder="1" applyAlignment="1">
      <alignment horizontal="center"/>
    </xf>
    <xf numFmtId="17" fontId="2" fillId="4" borderId="22" xfId="0" applyNumberFormat="1" applyFont="1" applyFill="1" applyBorder="1" applyAlignment="1">
      <alignment horizontal="center"/>
    </xf>
    <xf numFmtId="0" fontId="2" fillId="3" borderId="14" xfId="0" applyFont="1" applyFill="1" applyBorder="1"/>
    <xf numFmtId="0" fontId="2" fillId="3" borderId="23" xfId="0" applyFont="1" applyFill="1" applyBorder="1"/>
    <xf numFmtId="0" fontId="3" fillId="6" borderId="24" xfId="0" applyFont="1" applyFill="1" applyBorder="1"/>
    <xf numFmtId="0" fontId="2" fillId="4" borderId="25" xfId="0" applyFont="1" applyFill="1" applyBorder="1" applyAlignment="1">
      <alignment horizontal="center" vertical="center" wrapText="1"/>
    </xf>
    <xf numFmtId="0" fontId="3" fillId="5" borderId="27" xfId="0" applyFont="1" applyFill="1" applyBorder="1"/>
    <xf numFmtId="3" fontId="3" fillId="2" borderId="28" xfId="421" applyNumberFormat="1" applyFont="1" applyFill="1" applyBorder="1" applyAlignment="1">
      <alignment horizontal="center"/>
    </xf>
    <xf numFmtId="3" fontId="3" fillId="4" borderId="28" xfId="421" applyNumberFormat="1" applyFont="1" applyFill="1" applyBorder="1" applyAlignment="1">
      <alignment horizontal="center"/>
    </xf>
    <xf numFmtId="10" fontId="2" fillId="2" borderId="31" xfId="421" applyNumberFormat="1" applyFont="1" applyFill="1" applyBorder="1"/>
    <xf numFmtId="10" fontId="2" fillId="2" borderId="30" xfId="421" applyNumberFormat="1" applyFont="1" applyFill="1" applyBorder="1"/>
    <xf numFmtId="0" fontId="2" fillId="2" borderId="22" xfId="0" applyFont="1" applyFill="1" applyBorder="1" applyAlignment="1">
      <alignment horizontal="center" vertical="center" wrapText="1"/>
    </xf>
    <xf numFmtId="0" fontId="2" fillId="4" borderId="33" xfId="0" applyFont="1" applyFill="1" applyBorder="1" applyAlignment="1">
      <alignment horizontal="center" vertical="center" wrapText="1"/>
    </xf>
    <xf numFmtId="10" fontId="3" fillId="2" borderId="34" xfId="421" applyNumberFormat="1" applyFont="1" applyFill="1" applyBorder="1"/>
    <xf numFmtId="10" fontId="3" fillId="2" borderId="35" xfId="421" applyNumberFormat="1" applyFont="1" applyFill="1" applyBorder="1"/>
    <xf numFmtId="10" fontId="3" fillId="4" borderId="36" xfId="421" applyNumberFormat="1" applyFont="1" applyFill="1" applyBorder="1"/>
    <xf numFmtId="10" fontId="3" fillId="4" borderId="35" xfId="421" applyNumberFormat="1" applyFont="1" applyFill="1" applyBorder="1"/>
    <xf numFmtId="10" fontId="3" fillId="2" borderId="36" xfId="421" applyNumberFormat="1" applyFont="1" applyFill="1" applyBorder="1"/>
    <xf numFmtId="0" fontId="2" fillId="8" borderId="5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2" fillId="0" borderId="0" xfId="0" applyFont="1" applyAlignment="1">
      <alignment horizontal="right"/>
    </xf>
    <xf numFmtId="0" fontId="31" fillId="0" borderId="0" xfId="0" applyFont="1" applyAlignment="1">
      <alignment horizontal="center"/>
    </xf>
    <xf numFmtId="0" fontId="33" fillId="0" borderId="0" xfId="0" applyFont="1" applyBorder="1"/>
    <xf numFmtId="0" fontId="19" fillId="0" borderId="0" xfId="0" applyFont="1" applyAlignment="1">
      <alignment horizontal="center"/>
    </xf>
    <xf numFmtId="10" fontId="34" fillId="2" borderId="5" xfId="421" applyNumberFormat="1" applyFont="1" applyFill="1" applyBorder="1"/>
    <xf numFmtId="10" fontId="34" fillId="2" borderId="6" xfId="421" applyNumberFormat="1" applyFont="1" applyFill="1" applyBorder="1"/>
    <xf numFmtId="10" fontId="35" fillId="2" borderId="10" xfId="421" applyNumberFormat="1" applyFont="1" applyFill="1" applyBorder="1"/>
    <xf numFmtId="10" fontId="35" fillId="2" borderId="11" xfId="421" applyNumberFormat="1" applyFont="1" applyFill="1" applyBorder="1"/>
    <xf numFmtId="3" fontId="35" fillId="2" borderId="27" xfId="421" applyNumberFormat="1" applyFont="1" applyFill="1" applyBorder="1" applyAlignment="1">
      <alignment horizontal="center"/>
    </xf>
    <xf numFmtId="3" fontId="35" fillId="4" borderId="27" xfId="421" applyNumberFormat="1" applyFont="1" applyFill="1" applyBorder="1" applyAlignment="1">
      <alignment horizontal="center"/>
    </xf>
    <xf numFmtId="3" fontId="35" fillId="2" borderId="28" xfId="421" applyNumberFormat="1" applyFont="1" applyFill="1" applyBorder="1" applyAlignment="1">
      <alignment horizontal="center"/>
    </xf>
    <xf numFmtId="10" fontId="36" fillId="4" borderId="5" xfId="421" applyNumberFormat="1" applyFont="1" applyFill="1" applyBorder="1"/>
    <xf numFmtId="10" fontId="36" fillId="4" borderId="6" xfId="421" applyNumberFormat="1" applyFont="1" applyFill="1" applyBorder="1"/>
    <xf numFmtId="10" fontId="37" fillId="4" borderId="10" xfId="421" applyNumberFormat="1" applyFont="1" applyFill="1" applyBorder="1"/>
    <xf numFmtId="10" fontId="37" fillId="4" borderId="11" xfId="421" applyNumberFormat="1" applyFont="1" applyFill="1" applyBorder="1"/>
    <xf numFmtId="3" fontId="37" fillId="4" borderId="28" xfId="421" applyNumberFormat="1" applyFont="1" applyFill="1" applyBorder="1" applyAlignment="1">
      <alignment horizontal="center"/>
    </xf>
    <xf numFmtId="3" fontId="37" fillId="4" borderId="27" xfId="421" applyNumberFormat="1" applyFont="1" applyFill="1" applyBorder="1" applyAlignment="1">
      <alignment horizontal="center"/>
    </xf>
    <xf numFmtId="10" fontId="36" fillId="4" borderId="25" xfId="421" applyNumberFormat="1" applyFont="1" applyFill="1" applyBorder="1"/>
    <xf numFmtId="10" fontId="37" fillId="4" borderId="26" xfId="421" applyNumberFormat="1" applyFont="1" applyFill="1" applyBorder="1"/>
    <xf numFmtId="3" fontId="37" fillId="4" borderId="29" xfId="421" applyNumberFormat="1" applyFont="1" applyFill="1" applyBorder="1" applyAlignment="1">
      <alignment horizontal="center"/>
    </xf>
    <xf numFmtId="10" fontId="34" fillId="2" borderId="2" xfId="421" applyNumberFormat="1" applyFont="1" applyFill="1" applyBorder="1"/>
    <xf numFmtId="10" fontId="34" fillId="2" borderId="3" xfId="421" applyNumberFormat="1" applyFont="1" applyFill="1" applyBorder="1"/>
    <xf numFmtId="10" fontId="35" fillId="2" borderId="36" xfId="421" applyNumberFormat="1" applyFont="1" applyFill="1" applyBorder="1"/>
    <xf numFmtId="10" fontId="35" fillId="2" borderId="35" xfId="421" applyNumberFormat="1" applyFont="1" applyFill="1" applyBorder="1"/>
    <xf numFmtId="10" fontId="36" fillId="4" borderId="2" xfId="421" applyNumberFormat="1" applyFont="1" applyFill="1" applyBorder="1"/>
    <xf numFmtId="10" fontId="36" fillId="4" borderId="32" xfId="421" applyNumberFormat="1" applyFont="1" applyFill="1" applyBorder="1"/>
    <xf numFmtId="10" fontId="37" fillId="4" borderId="36" xfId="421" applyNumberFormat="1" applyFont="1" applyFill="1" applyBorder="1"/>
    <xf numFmtId="10" fontId="37" fillId="4" borderId="37" xfId="421" applyNumberFormat="1" applyFont="1" applyFill="1" applyBorder="1"/>
    <xf numFmtId="10" fontId="36" fillId="4" borderId="3" xfId="421" applyNumberFormat="1" applyFont="1" applyFill="1" applyBorder="1"/>
    <xf numFmtId="10" fontId="37" fillId="4" borderId="35" xfId="421" applyNumberFormat="1" applyFont="1" applyFill="1" applyBorder="1"/>
    <xf numFmtId="0" fontId="19" fillId="0" borderId="38" xfId="0" applyFont="1" applyBorder="1" applyAlignment="1">
      <alignment horizontal="center"/>
    </xf>
    <xf numFmtId="0" fontId="31" fillId="0" borderId="38" xfId="0" applyFont="1" applyBorder="1" applyAlignment="1">
      <alignment horizontal="center"/>
    </xf>
    <xf numFmtId="10" fontId="38" fillId="6" borderId="5" xfId="421" applyNumberFormat="1" applyFont="1" applyFill="1" applyBorder="1"/>
    <xf numFmtId="10" fontId="38" fillId="6" borderId="6" xfId="421" applyNumberFormat="1" applyFont="1" applyFill="1" applyBorder="1"/>
    <xf numFmtId="10" fontId="39" fillId="7" borderId="10" xfId="421" applyNumberFormat="1" applyFont="1" applyFill="1" applyBorder="1"/>
    <xf numFmtId="10" fontId="39" fillId="7" borderId="11" xfId="421" applyNumberFormat="1" applyFont="1" applyFill="1" applyBorder="1"/>
    <xf numFmtId="0" fontId="31" fillId="0" borderId="0" xfId="0" applyFont="1" applyBorder="1" applyAlignment="1">
      <alignment horizontal="center"/>
    </xf>
  </cellXfs>
  <cellStyles count="506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1" xfId="504" builtinId="16"/>
    <cellStyle name="כותרת 2" xfId="505" builtinId="17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61"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 outline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 outline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vertical="center" textRotation="0" indent="0" justifyLastLine="0" shrinkToFit="0" readingOrder="0"/>
    </dxf>
    <dxf>
      <border outline="0">
        <bottom style="hair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</border>
    </dxf>
    <dxf>
      <border outline="0">
        <bottom style="hair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fill>
        <patternFill patternType="solid">
          <fgColor indexed="64"/>
          <bgColor theme="0" tint="-0.14999847407452621"/>
        </patternFill>
      </fill>
      <border diagonalUp="0" diagonalDown="0">
        <left/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 outline="0">
        <bottom style="hair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</border>
    </dxf>
    <dxf>
      <border outline="0">
        <bottom style="hair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fill>
        <patternFill patternType="solid">
          <fgColor indexed="64"/>
          <bgColor theme="0" tint="-0.14999847407452621"/>
        </patternFill>
      </fill>
      <border diagonalUp="0" diagonalDown="0">
        <left/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dxfs>
  <tableStyles count="0" defaultPivotStyle="PivotStyleLight16"/>
  <colors>
    <mruColors>
      <color rgb="FFDAEEF3"/>
      <color rgb="FFFFFFCC"/>
      <color rgb="FF00B0F0"/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1181458</xdr:colOff>
      <xdr:row>0</xdr:row>
      <xdr:rowOff>0</xdr:rowOff>
    </xdr:from>
    <xdr:to>
      <xdr:col>3</xdr:col>
      <xdr:colOff>120601</xdr:colOff>
      <xdr:row>1</xdr:row>
      <xdr:rowOff>0</xdr:rowOff>
    </xdr:to>
    <xdr:pic>
      <xdr:nvPicPr>
        <xdr:cNvPr id="3" name="תמונה 2" descr="מסמך נגיש">
          <a:extLst>
            <a:ext uri="{FF2B5EF4-FFF2-40B4-BE49-F238E27FC236}">
              <a16:creationId xmlns:a16="http://schemas.microsoft.com/office/drawing/2014/main" id="{F701AB2F-656A-4424-85F6-05B2B6C72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5271229" y="0"/>
          <a:ext cx="231822" cy="2381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C42A19-CBF3-45EF-9395-4B81789512F9}" name="טבלה1" displayName="טבלה1" ref="B7:Z28" totalsRowShown="0" headerRowDxfId="24" tableBorderDxfId="60">
  <autoFilter ref="B7:Z28" xr:uid="{D5C42A19-CBF3-45EF-9395-4B81789512F9}"/>
  <tableColumns count="25">
    <tableColumn id="1" xr3:uid="{42EA055B-3F2D-4889-9F60-950DBE8BD277}" name="עמודה1" dataDxfId="59"/>
    <tableColumn id="2" xr3:uid="{9E12AA5E-3170-4871-A094-77648B2B10FA}" name="התרומה לתשואה_x000a_ינואר 2019" dataDxfId="58" dataCellStyle="Percent"/>
    <tableColumn id="3" xr3:uid="{5F12F039-8BAA-4163-A030-FE9F1634330A}" name="שיעור מסך הנכסים" dataDxfId="57" dataCellStyle="Percent"/>
    <tableColumn id="4" xr3:uid="{1481E363-04E3-4EF8-B777-46DDCCEC197D}" name="התרומה לתשואה2_x000a_פברואר 2019" dataDxfId="56" dataCellStyle="Percent"/>
    <tableColumn id="5" xr3:uid="{6F5B1278-0E0E-4DE4-8571-EF036FFF55C3}" name="שיעור מסך הנכסים3" dataDxfId="55" dataCellStyle="Percent"/>
    <tableColumn id="6" xr3:uid="{E438546E-AA58-4188-AF17-B06D25B42613}" name="התרומה לתשואה4_x000a_מרץ 2019" dataDxfId="54" dataCellStyle="Percent"/>
    <tableColumn id="7" xr3:uid="{5793F56D-594B-4A14-A1E9-925BCAEF5229}" name="שיעור מסך הנכסים5" dataDxfId="53" dataCellStyle="Percent"/>
    <tableColumn id="8" xr3:uid="{2F02993B-2067-4B4E-A388-C4C21A811AB0}" name="התרומה לתשואה6_x000a_אפריל 2019" dataDxfId="52" dataCellStyle="Percent"/>
    <tableColumn id="9" xr3:uid="{B95F5382-6785-4621-8CAE-6F079A5927AC}" name="שיעור מסך הנכסים7" dataDxfId="51" dataCellStyle="Percent"/>
    <tableColumn id="10" xr3:uid="{E48741C4-186C-4CBD-883B-D72421286BD7}" name="התרומה לתשואה_x000a_מאי 2019" dataDxfId="50" dataCellStyle="Percent"/>
    <tableColumn id="11" xr3:uid="{86DBC045-1B38-4DA3-B361-81265905CB68}" name="שיעור מסך הנכסים9" dataDxfId="49" dataCellStyle="Percent"/>
    <tableColumn id="12" xr3:uid="{F20BBA70-55E1-4BA9-9EE8-CE114BF0956C}" name="התרומה לתשואה10_x000a_יוני 2019" dataDxfId="48" dataCellStyle="Percent"/>
    <tableColumn id="13" xr3:uid="{F07A91F9-96E4-4F39-A3C8-B70F64BBE1CE}" name="שיעור מסך הנכסים11" dataDxfId="47" dataCellStyle="Percent"/>
    <tableColumn id="14" xr3:uid="{78BC7FFE-D25E-4BA9-B655-EDC3429DF8D8}" name="התרומה לתשואה12_x000a_יולי 2019" dataDxfId="46" dataCellStyle="Percent"/>
    <tableColumn id="15" xr3:uid="{26718B42-8B8D-4F77-8411-D3F6D57DD040}" name="שיעור מסך הנכסים13" dataDxfId="45" dataCellStyle="Percent"/>
    <tableColumn id="16" xr3:uid="{BDC1F6FF-8AB2-4E6E-8976-2D28BB920633}" name="התרומה לתשואה14_x000a_אוגוסט 2019" dataDxfId="23" dataCellStyle="Percent"/>
    <tableColumn id="17" xr3:uid="{29912B9D-25EF-4EA3-BEE7-209AF31F2E44}" name="שיעור מסך הנכסים15" dataDxfId="22" dataCellStyle="Percent"/>
    <tableColumn id="18" xr3:uid="{8C62CE03-31A5-4DAC-B484-4BE7F17DFD8A}" name="התרומה לתשואה1_x000a_ספטמבר 20196" dataDxfId="44" dataCellStyle="Percent"/>
    <tableColumn id="19" xr3:uid="{B02458EB-C69B-43DD-B969-A1F8203402CD}" name="שיעור מסך הנכסים17" dataDxfId="43" dataCellStyle="Percent"/>
    <tableColumn id="20" xr3:uid="{A6F634F3-A984-4392-B045-03F60B44E223}" name="התרומה לתשואה_x000a_אוקטובר 201918" dataDxfId="21" dataCellStyle="Percent"/>
    <tableColumn id="21" xr3:uid="{FAF7C37F-5055-4DC5-9E04-2312CA195D97}" name="שיעור מסך הנכסים19_x000a_" dataDxfId="20" dataCellStyle="Percent"/>
    <tableColumn id="22" xr3:uid="{EAB80A31-E12E-4E03-B3F8-7CFEC3EFDBD6}" name="התרומה לתשואה_x000a_20 נובמבר 2019" dataDxfId="42" dataCellStyle="Percent"/>
    <tableColumn id="23" xr3:uid="{A66724EE-C520-4EB4-8BD4-6925DE194715}" name="שיעור מסך הנכסים21" dataDxfId="41" dataCellStyle="Percent"/>
    <tableColumn id="24" xr3:uid="{A08C4E43-8A11-4F44-AF88-462B68B49A8C}" name="התרומה לתשואה22_x000a_דצמבר 2019" dataDxfId="19" dataCellStyle="Percent"/>
    <tableColumn id="25" xr3:uid="{AD628DCD-9F71-45A9-9BAE-E16CB8B99FE8}" name="שיעור מסך הנכסים23" dataDxfId="18" dataCellStyle="Percent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330DDA-6102-4FDA-AF71-823FDA3E9A4A}" name="טבלה2" displayName="טבלה2" ref="C33:Z36" totalsRowShown="0" headerRowBorderDxfId="39" tableBorderDxfId="40">
  <autoFilter ref="C33:Z36" xr:uid="{3E330DDA-6102-4FDA-AF71-823FDA3E9A4A}"/>
  <tableColumns count="24">
    <tableColumn id="1" xr3:uid="{B6C04CB3-CBF2-4E06-B651-806B4369DE5A}" name="התרומה לתשואה_x000a_ינואר 2019"/>
    <tableColumn id="2" xr3:uid="{EF85F6BA-4566-4BB9-B6A9-901FEDDB2142}" name="שיעור מסך הנכסים"/>
    <tableColumn id="3" xr3:uid="{BF5F450D-4E39-4A92-9A54-4D851194BC9D}" name="התרומה לתשואה2_x000a_פברואר 2019"/>
    <tableColumn id="4" xr3:uid="{7188CC30-5408-4828-A9A1-EB1A4FDE8B38}" name="שיעור מסך הנכסים3"/>
    <tableColumn id="5" xr3:uid="{C2CF812F-040C-4EB8-817B-3B5AE4971828}" name="התרומה לתשואה4_x000a_מרץ 2019"/>
    <tableColumn id="6" xr3:uid="{4D8B836E-97B7-4500-802D-F8056EC4C983}" name="שיעור מסך הנכסים5"/>
    <tableColumn id="7" xr3:uid="{71B62961-5EA1-4A83-9CFD-B2D6BBF3BCD1}" name="התרומה לתשואה6_x000a_אפריל 2019"/>
    <tableColumn id="8" xr3:uid="{E37F6AAE-004C-434C-99DB-7240F8B7B0ED}" name="שיעור מסך הנכסים7"/>
    <tableColumn id="9" xr3:uid="{B237CFA5-6990-43BC-ADC6-0F6315E6F0C5}" name="התרומה לתשואה_x000a_מאי 2019"/>
    <tableColumn id="10" xr3:uid="{0E155DC6-21AD-44F7-829F-CFD5B66B5CCD}" name="שיעור מסך הנכסים9"/>
    <tableColumn id="11" xr3:uid="{E1E65890-5D81-44E6-82DD-E704F4FEDC25}" name="התרומה לתשואה10_x000a_יוני 2019"/>
    <tableColumn id="12" xr3:uid="{0B197E2F-0E2E-4791-AB49-29604867EAAD}" name="שיעור מסך הנכסים11"/>
    <tableColumn id="13" xr3:uid="{23A00DF2-33B7-4C35-8B15-F298D42802EC}" name="התרומה לתשואה12_x000a_יולי 2019"/>
    <tableColumn id="14" xr3:uid="{554194E6-A018-4665-ACA8-AC05D2373CC5}" name="שיעור מסך הנכסים13"/>
    <tableColumn id="15" xr3:uid="{4EB86A12-7682-414F-9E87-1393F83114C1}" name="התרומה לתשואה14_x000a_אוגוסט 2019" dataDxfId="13"/>
    <tableColumn id="16" xr3:uid="{8063E562-9C59-43F9-9700-2459A70137BA}" name="שיעור מסך הנכסים15" dataDxfId="12"/>
    <tableColumn id="17" xr3:uid="{0F58079D-B1D5-4086-91A8-C024B31C65F6}" name="התרומה לתשואה1_x000a_ספטמבר 20196"/>
    <tableColumn id="18" xr3:uid="{B89DF5C7-B545-4FD8-A6CB-19C0896B9236}" name="שיעור מסך הנכסים17"/>
    <tableColumn id="19" xr3:uid="{34141A6A-D0A8-4380-B108-86D627435752}" name="התרומה לתשואה_x000a_אוקטובר 201918" dataDxfId="15"/>
    <tableColumn id="20" xr3:uid="{67AD598F-0C27-47BC-8599-486CCB9D89FC}" name="שיעור מסך הנכסים19_x000a_" dataDxfId="14"/>
    <tableColumn id="21" xr3:uid="{0E006B01-CCB5-49EA-9FAF-EB83430F6C2E}" name="התרומה לתשואה_x000a_20 נובמבר 2019"/>
    <tableColumn id="22" xr3:uid="{73EDA126-9DCF-44BC-82E9-98AB51B12123}" name="שיעור מסך הנכסים21"/>
    <tableColumn id="23" xr3:uid="{DD642394-1269-4C9D-A147-4EA281832097}" name="התרומה לתשואה22_x000a_דצמבר 2019" dataDxfId="17"/>
    <tableColumn id="24" xr3:uid="{0217EC47-6D31-4F30-A742-AE43E2ACC2DF}" name="שיעור מסך הנכסים23" dataDxfId="16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3CF23C-EA12-4144-B1D3-98B8610FF3B1}" name="טבלה3" displayName="טבלה3" ref="C40:Z43" totalsRowShown="0" headerRowBorderDxfId="37" tableBorderDxfId="38">
  <autoFilter ref="C40:Z43" xr:uid="{043CF23C-EA12-4144-B1D3-98B8610FF3B1}"/>
  <tableColumns count="24">
    <tableColumn id="1" xr3:uid="{FAEE30AF-B927-474F-829C-7ECEDADC8FD9}" name="התרומה לתשואה_x000a_ינואר 2019"/>
    <tableColumn id="2" xr3:uid="{820C9737-F8E6-4B20-A82C-6906B854172E}" name="שיעור מסך הנכסים"/>
    <tableColumn id="3" xr3:uid="{9AC7A290-893A-4254-906D-5658551C23CC}" name="התרומה לתשואה2_x000a_פברואר 2019"/>
    <tableColumn id="4" xr3:uid="{4C75D540-4C27-4AB1-A03D-486030E66D41}" name="שיעור מסך הנכסים3"/>
    <tableColumn id="5" xr3:uid="{AA09D5B6-371A-4CB2-9AFE-98FD9DEBF275}" name="התרומה לתשואה4_x000a_מרץ 2019"/>
    <tableColumn id="6" xr3:uid="{AFDBD473-9D31-4A9F-B0F5-98FC7C339B0B}" name="שיעור מסך הנכסים5"/>
    <tableColumn id="7" xr3:uid="{591606EA-5A60-4F78-868D-9E39968EDAE0}" name="התרומה לתשואה6_x000a_אפריל 2019"/>
    <tableColumn id="8" xr3:uid="{7F49B3F7-BE1A-4DAA-B6C6-131DCD11AB63}" name="שיעור מסך הנכסים7"/>
    <tableColumn id="9" xr3:uid="{8BB000E0-2054-4AF7-A2A8-EC00CE18BC48}" name="התרומה לתשואה_x000a_מאי 2019"/>
    <tableColumn id="10" xr3:uid="{5A7AFAAF-ED7A-464C-BBD6-F0853154E794}" name="שיעור מסך הנכסים9"/>
    <tableColumn id="11" xr3:uid="{D6C81103-6E8B-459C-8227-9656500FF90A}" name="התרומה לתשואה10_x000a_יוני 2019"/>
    <tableColumn id="12" xr3:uid="{40ECD23C-AF2F-42D8-A556-62E151634AF6}" name="שיעור מסך הנכסים11"/>
    <tableColumn id="13" xr3:uid="{0CF645E8-A02A-4ACE-BA30-8963662058B6}" name="התרומה לתשואה12_x000a_יולי 2019"/>
    <tableColumn id="14" xr3:uid="{D5281726-E1B7-4C44-8223-99A0DE4411D0}" name="שיעור מסך הנכסים13"/>
    <tableColumn id="15" xr3:uid="{940C4009-3D86-49FE-BEE7-CAEB4F36025A}" name="התרומה לתשואה14_x000a_אוגוסט 2019" dataDxfId="7"/>
    <tableColumn id="16" xr3:uid="{87FC1D0A-54A9-4D8E-BE0D-5DE764555B9A}" name="שיעור מסך הנכסים15" dataDxfId="6"/>
    <tableColumn id="17" xr3:uid="{293A7720-C1A3-4F8A-9A51-8EC4A6D7F9F5}" name="התרומה לתשואה1_x000a_ספטמבר 20196"/>
    <tableColumn id="18" xr3:uid="{19C6DEB4-3240-4B57-BA86-28B7B8A354C4}" name="שיעור מסך הנכסים17"/>
    <tableColumn id="19" xr3:uid="{549C1739-1594-495B-930F-D905CC7AA77E}" name="התרומה לתשואה_x000a_אוקטובר 201918" dataDxfId="9"/>
    <tableColumn id="20" xr3:uid="{87F73243-4A4B-49FD-A842-30CB135A128C}" name="שיעור מסך הנכסים19_x000a_" dataDxfId="8"/>
    <tableColumn id="21" xr3:uid="{24F0A371-8022-475B-81FA-7FAF6A55A680}" name="התרומה לתשואה_x000a_20 נובמבר 2019"/>
    <tableColumn id="22" xr3:uid="{1A01BCFB-4A90-4E78-9FDD-6EAA871B0A9B}" name="שיעור מסך הנכסים21"/>
    <tableColumn id="23" xr3:uid="{6EF6C0FF-1771-44AA-8AA4-D44FFC974A3D}" name="התרומה לתשואה22_x000a_דצמבר 2019" dataDxfId="11"/>
    <tableColumn id="24" xr3:uid="{6E77781C-72C2-460A-9ADF-EC564BEC79F0}" name="שיעור מסך הנכסים23" dataDxfId="1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47C08E-75BD-478A-96E5-0B729D5A2136}" name="טבלה4" displayName="טבלה4" ref="B50:J71" totalsRowShown="0" tableBorderDxfId="36">
  <autoFilter ref="B50:J71" xr:uid="{9247C08E-75BD-478A-96E5-0B729D5A2136}"/>
  <tableColumns count="9">
    <tableColumn id="1" xr3:uid="{17DACD11-74C1-4018-A4B3-70236197E4F9}" name="נתונים" dataDxfId="35"/>
    <tableColumn id="2" xr3:uid="{5988F204-5ED9-4268-8918-9DCDEE747D93}" name="התרומה לתשואה_x000a_ינואר-מרץ 2019" dataDxfId="34" dataCellStyle="Percent"/>
    <tableColumn id="3" xr3:uid="{98B45790-1C09-4281-A546-3055D83414AB}" name="שיעור מסך הנכסים" dataDxfId="33" dataCellStyle="Percent"/>
    <tableColumn id="4" xr3:uid="{639581F3-F3C3-4B56-B5F7-1B82CDD529B2}" name="התרומה לתשואה2_x000a_ינואר-יוני 2019" dataDxfId="32" dataCellStyle="Percent"/>
    <tableColumn id="5" xr3:uid="{AC33989A-6F8D-4995-B5B8-DD313BFEC1E0}" name="שיעור מסך הנכסים3" dataDxfId="31" dataCellStyle="Percent"/>
    <tableColumn id="6" xr3:uid="{A2957811-C0DE-49B0-9404-29F78630D9AF}" name="התרומה לתשואה_x000a_ינואר-ספטמבר 2019" dataDxfId="30" dataCellStyle="Percent"/>
    <tableColumn id="7" xr3:uid="{1819A94C-3AAD-466C-90FC-9502D3C39D89}" name="שיעור מסך הנכסים2" dataDxfId="29" dataCellStyle="Percent"/>
    <tableColumn id="8" xr3:uid="{AB57375C-A3D1-4DFD-8683-B5CD2145679D}" name="התרומה לתשואה6_x000a_ינואר-דצמבר 2019" dataDxfId="5" dataCellStyle="Percent"/>
    <tableColumn id="9" xr3:uid="{74275DC9-845B-43A4-921C-168F48E97524}" name="שיעור מסך הנכסים7" dataDxfId="4" dataCellStyle="Percent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6A683F-E5C7-42F1-99CF-91C08F9F466C}" name="טבלה5" displayName="טבלה5" ref="C75:J78" totalsRowShown="0" headerRowBorderDxfId="27" tableBorderDxfId="28">
  <autoFilter ref="C75:J78" xr:uid="{AC6A683F-E5C7-42F1-99CF-91C08F9F466C}"/>
  <tableColumns count="8">
    <tableColumn id="1" xr3:uid="{FFF2A214-B8D8-48E1-AD0B-091333306D2E}" name="התרומה לתשואה_x000a_ינואר-מרץ 2019"/>
    <tableColumn id="2" xr3:uid="{45AE3221-3A4D-447D-88E3-7906BE54E53E}" name="שיעור מסך הנכסים"/>
    <tableColumn id="3" xr3:uid="{2BA244B9-B280-4311-B9D7-269B171A49FB}" name="התרומה לתשואה2_x000a_ינואר-יוני 2019"/>
    <tableColumn id="4" xr3:uid="{D54E6611-976C-4A1E-97ED-E39B9257CD86}" name="שיעור מסך הנכסים3"/>
    <tableColumn id="5" xr3:uid="{3479E7CA-D856-4028-BEFE-6C71682FAFD8}" name="התרומה לתשואה_x000a_ינואר-ספטמבר 2019"/>
    <tableColumn id="6" xr3:uid="{D1D4E322-CF7A-4E53-BE86-E4E7B1FB3C82}" name="שיעור מסך הנכסים2"/>
    <tableColumn id="7" xr3:uid="{2899509F-2E00-4228-A97B-1B063D3EF13C}" name="התרומה לתשואה6_x000a_ינואר-דצמבר 2019" dataDxfId="3"/>
    <tableColumn id="8" xr3:uid="{705E48C6-EFD4-473B-A148-392D77EA364C}" name="שיעור מסך הנכסים7" dataDxfId="2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B1213B0-E401-4CB0-9CDB-F9847D5906A1}" name="טבלה6" displayName="טבלה6" ref="C82:J85" totalsRowShown="0" headerRowBorderDxfId="25" tableBorderDxfId="26">
  <autoFilter ref="C82:J85" xr:uid="{3B1213B0-E401-4CB0-9CDB-F9847D5906A1}"/>
  <tableColumns count="8">
    <tableColumn id="1" xr3:uid="{4C366C30-8E53-4479-9BB0-563C93FAAA2F}" name="התרומה לתשואה_x000a_ינואר-מרץ 2019"/>
    <tableColumn id="2" xr3:uid="{C27E73C4-C332-4D55-8A98-3456A5511EF0}" name="שיעור מסך הנכסים"/>
    <tableColumn id="3" xr3:uid="{B0AAE49C-C218-456A-83FE-92E8CA17AB61}" name="התרומה לתשואה2_x000a_ינואר-יוני 2019"/>
    <tableColumn id="4" xr3:uid="{999433D0-5FA9-4C81-A51F-4804C1DD3B85}" name="שיעור מסך הנכסים3"/>
    <tableColumn id="5" xr3:uid="{1948DB26-8BFA-41D6-A57D-C1B75A095493}" name="התרומה לתשואה_x000a_ינואר-ספטמבר 2019"/>
    <tableColumn id="6" xr3:uid="{14379DC4-8975-4D5E-9F34-2119EAEA03F5}" name="שיעור מסך הנכסים2"/>
    <tableColumn id="7" xr3:uid="{D1F35898-DBA9-42CB-8B23-E2F510054732}" name="התרומה לתשואה6_x000a_ינואר-דצמבר 2019" dataDxfId="1"/>
    <tableColumn id="8" xr3:uid="{7B948287-2D75-449D-8AD0-B5BE6BAC8DE5}" name="שיעור מסך הנכסים7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53"/>
  <sheetViews>
    <sheetView rightToLeft="1" tabSelected="1" topLeftCell="B1" zoomScale="112" zoomScaleNormal="112" workbookViewId="0">
      <selection activeCell="B2" sqref="B2:Z2"/>
    </sheetView>
  </sheetViews>
  <sheetFormatPr defaultColWidth="9.125" defaultRowHeight="15" x14ac:dyDescent="0.25"/>
  <cols>
    <col min="1" max="1" width="2.125" style="1" hidden="1" customWidth="1"/>
    <col min="2" max="2" width="31.25" style="1" customWidth="1"/>
    <col min="3" max="3" width="17" style="1" bestFit="1" customWidth="1"/>
    <col min="4" max="4" width="18.375" style="1" bestFit="1" customWidth="1"/>
    <col min="5" max="5" width="17.875" style="1" bestFit="1" customWidth="1"/>
    <col min="6" max="6" width="17.125" style="1" customWidth="1"/>
    <col min="7" max="7" width="17.875" style="1" bestFit="1" customWidth="1"/>
    <col min="8" max="8" width="19.25" style="1" bestFit="1" customWidth="1"/>
    <col min="9" max="9" width="15.75" style="1" customWidth="1"/>
    <col min="10" max="10" width="19.25" style="1" bestFit="1" customWidth="1"/>
    <col min="11" max="11" width="17.875" style="1" bestFit="1" customWidth="1"/>
    <col min="12" max="12" width="17.125" style="1" customWidth="1"/>
    <col min="13" max="13" width="16.625" style="1" customWidth="1"/>
    <col min="14" max="14" width="18" style="1" customWidth="1"/>
    <col min="15" max="15" width="16.625" style="1" customWidth="1"/>
    <col min="16" max="16" width="18" style="1" customWidth="1"/>
    <col min="17" max="17" width="16.625" style="1" customWidth="1"/>
    <col min="18" max="18" width="18" style="1" customWidth="1"/>
    <col min="19" max="19" width="16.625" style="1" customWidth="1"/>
    <col min="20" max="20" width="18" style="1" customWidth="1"/>
    <col min="21" max="21" width="16.625" style="1" customWidth="1"/>
    <col min="22" max="22" width="18" style="1" customWidth="1"/>
    <col min="23" max="23" width="16.625" style="1" customWidth="1"/>
    <col min="24" max="24" width="18" style="1" customWidth="1"/>
    <col min="25" max="25" width="16.625" style="1" customWidth="1"/>
    <col min="26" max="26" width="18" style="1" customWidth="1"/>
    <col min="27" max="30" width="0" style="1" hidden="1" customWidth="1"/>
    <col min="31" max="16384" width="9.125" style="1"/>
  </cols>
  <sheetData>
    <row r="1" spans="2:31" ht="18.75" x14ac:dyDescent="0.3">
      <c r="B1" s="44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E1" s="73" t="s">
        <v>80</v>
      </c>
    </row>
    <row r="2" spans="2:31" ht="18.75" x14ac:dyDescent="0.3">
      <c r="B2" s="42" t="s">
        <v>42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E2" s="75"/>
    </row>
    <row r="3" spans="2:31" ht="18.75" x14ac:dyDescent="0.3">
      <c r="B3" s="18" t="s">
        <v>42</v>
      </c>
      <c r="C3" s="43" t="s">
        <v>39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E3" s="75"/>
    </row>
    <row r="4" spans="2:31" x14ac:dyDescent="0.25">
      <c r="B4" s="2">
        <v>2019</v>
      </c>
      <c r="C4" s="45">
        <v>5</v>
      </c>
      <c r="D4" s="45"/>
      <c r="E4" s="45">
        <f>C4+1</f>
        <v>6</v>
      </c>
      <c r="F4" s="45"/>
      <c r="G4" s="45">
        <f>E4+1</f>
        <v>7</v>
      </c>
      <c r="H4" s="45"/>
      <c r="I4" s="45">
        <f>G4+1</f>
        <v>8</v>
      </c>
      <c r="J4" s="45"/>
      <c r="K4" s="45">
        <f>I4+1</f>
        <v>9</v>
      </c>
      <c r="L4" s="45"/>
      <c r="M4" s="45">
        <f>K4+1</f>
        <v>10</v>
      </c>
      <c r="N4" s="45"/>
      <c r="O4" s="45">
        <f>M4+1</f>
        <v>11</v>
      </c>
      <c r="P4" s="45"/>
      <c r="Q4" s="45">
        <f>O4+1</f>
        <v>12</v>
      </c>
      <c r="R4" s="45"/>
      <c r="S4" s="45">
        <f>Q4+1</f>
        <v>13</v>
      </c>
      <c r="T4" s="45"/>
      <c r="U4" s="45">
        <f>S4+1</f>
        <v>14</v>
      </c>
      <c r="V4" s="45"/>
      <c r="W4" s="45">
        <f>U4+1</f>
        <v>15</v>
      </c>
      <c r="X4" s="45"/>
      <c r="Y4" s="45">
        <f>W4+1</f>
        <v>16</v>
      </c>
      <c r="Z4" s="45"/>
      <c r="AE4" s="1">
        <v>2016</v>
      </c>
    </row>
    <row r="5" spans="2:31" ht="15.75" x14ac:dyDescent="0.25">
      <c r="B5" s="2"/>
      <c r="C5" s="46" t="s">
        <v>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E5" s="5" t="s">
        <v>1</v>
      </c>
    </row>
    <row r="6" spans="2:31" ht="15.75" x14ac:dyDescent="0.25">
      <c r="B6" s="19" t="s">
        <v>40</v>
      </c>
      <c r="C6" s="47" t="str">
        <f ca="1">CONCATENATE(INDIRECT(CONCATENATE($C$3,C4))," ",$B$4)</f>
        <v>ינואר 2019</v>
      </c>
      <c r="D6" s="48"/>
      <c r="E6" s="49" t="str">
        <f ca="1">CONCATENATE(INDIRECT(CONCATENATE($C$3,E4))," ",$B$4)</f>
        <v>פברואר 2019</v>
      </c>
      <c r="F6" s="50"/>
      <c r="G6" s="47" t="str">
        <f ca="1">CONCATENATE(INDIRECT(CONCATENATE($C$3,G4))," ",$B$4)</f>
        <v>מרץ 2019</v>
      </c>
      <c r="H6" s="48"/>
      <c r="I6" s="49" t="str">
        <f ca="1">CONCATENATE(INDIRECT(CONCATENATE($C$3,I4))," ",$B$4)</f>
        <v>אפריל 2019</v>
      </c>
      <c r="J6" s="50"/>
      <c r="K6" s="47" t="str">
        <f ca="1">CONCATENATE(INDIRECT(CONCATENATE($C$3,K4))," ",$B$4)</f>
        <v>מאי 2019</v>
      </c>
      <c r="L6" s="48"/>
      <c r="M6" s="49" t="str">
        <f ca="1">CONCATENATE(INDIRECT(CONCATENATE($C$3,M4))," ",$B$4)</f>
        <v>יוני 2019</v>
      </c>
      <c r="N6" s="50"/>
      <c r="O6" s="47" t="str">
        <f ca="1">CONCATENATE(INDIRECT(CONCATENATE($C$3,O4))," ",$B$4)</f>
        <v>יולי 2019</v>
      </c>
      <c r="P6" s="48"/>
      <c r="Q6" s="49" t="str">
        <f ca="1">CONCATENATE(INDIRECT(CONCATENATE($C$3,Q4))," ",$B$4)</f>
        <v>אוגוסט 2019</v>
      </c>
      <c r="R6" s="50"/>
      <c r="S6" s="47" t="str">
        <f ca="1">CONCATENATE(INDIRECT(CONCATENATE($C$3,S4))," ",$B$4)</f>
        <v>ספטמבר 2019</v>
      </c>
      <c r="T6" s="48"/>
      <c r="U6" s="49" t="str">
        <f ca="1">CONCATENATE(INDIRECT(CONCATENATE($C$3,U4))," ",$B$4)</f>
        <v>אוקטובר 2019</v>
      </c>
      <c r="V6" s="50"/>
      <c r="W6" s="47" t="str">
        <f ca="1">CONCATENATE(INDIRECT(CONCATENATE($C$3,W4))," ",$B$4)</f>
        <v>נובמבר 2019</v>
      </c>
      <c r="X6" s="48"/>
      <c r="Y6" s="49" t="str">
        <f ca="1">CONCATENATE(INDIRECT(CONCATENATE($C$3,Y4))," ",$B$4)</f>
        <v>דצמבר 2019</v>
      </c>
      <c r="Z6" s="50"/>
      <c r="AE6" s="5" t="s">
        <v>3</v>
      </c>
    </row>
    <row r="7" spans="2:31" s="68" customFormat="1" ht="30" x14ac:dyDescent="0.2">
      <c r="B7" s="69" t="s">
        <v>48</v>
      </c>
      <c r="C7" s="7" t="s">
        <v>49</v>
      </c>
      <c r="D7" s="8" t="s">
        <v>2</v>
      </c>
      <c r="E7" s="22" t="s">
        <v>71</v>
      </c>
      <c r="F7" s="23" t="s">
        <v>70</v>
      </c>
      <c r="G7" s="7" t="s">
        <v>50</v>
      </c>
      <c r="H7" s="8" t="s">
        <v>51</v>
      </c>
      <c r="I7" s="22" t="s">
        <v>69</v>
      </c>
      <c r="J7" s="23" t="s">
        <v>68</v>
      </c>
      <c r="K7" s="7" t="s">
        <v>52</v>
      </c>
      <c r="L7" s="8" t="s">
        <v>53</v>
      </c>
      <c r="M7" s="22" t="s">
        <v>67</v>
      </c>
      <c r="N7" s="23" t="s">
        <v>66</v>
      </c>
      <c r="O7" s="7" t="s">
        <v>54</v>
      </c>
      <c r="P7" s="8" t="s">
        <v>55</v>
      </c>
      <c r="Q7" s="22" t="s">
        <v>65</v>
      </c>
      <c r="R7" s="23" t="s">
        <v>64</v>
      </c>
      <c r="S7" s="7" t="s">
        <v>56</v>
      </c>
      <c r="T7" s="8" t="s">
        <v>57</v>
      </c>
      <c r="U7" s="22" t="s">
        <v>63</v>
      </c>
      <c r="V7" s="23" t="s">
        <v>62</v>
      </c>
      <c r="W7" s="7" t="s">
        <v>58</v>
      </c>
      <c r="X7" s="8" t="s">
        <v>59</v>
      </c>
      <c r="Y7" s="67" t="s">
        <v>60</v>
      </c>
      <c r="Z7" s="54" t="s">
        <v>61</v>
      </c>
      <c r="AE7" s="70" t="s">
        <v>5</v>
      </c>
    </row>
    <row r="8" spans="2:31" x14ac:dyDescent="0.25">
      <c r="B8" s="51" t="s">
        <v>4</v>
      </c>
      <c r="C8" s="10">
        <v>-1E-4</v>
      </c>
      <c r="D8" s="11">
        <v>1.49971239562815E-2</v>
      </c>
      <c r="E8" s="24">
        <v>0</v>
      </c>
      <c r="F8" s="25">
        <v>2.2301101015754301E-2</v>
      </c>
      <c r="G8" s="10">
        <v>0</v>
      </c>
      <c r="H8" s="11">
        <v>2.8411849430351702E-2</v>
      </c>
      <c r="I8" s="24">
        <v>0</v>
      </c>
      <c r="J8" s="25">
        <v>3.1602791451936799E-2</v>
      </c>
      <c r="K8" s="10">
        <v>0</v>
      </c>
      <c r="L8" s="11">
        <v>3.6609324619207698E-2</v>
      </c>
      <c r="M8" s="24">
        <v>0</v>
      </c>
      <c r="N8" s="25">
        <v>3.4789602644537503E-2</v>
      </c>
      <c r="O8" s="76" t="s">
        <v>80</v>
      </c>
      <c r="P8" s="77" t="s">
        <v>80</v>
      </c>
      <c r="Q8" s="83" t="s">
        <v>80</v>
      </c>
      <c r="R8" s="84" t="s">
        <v>80</v>
      </c>
      <c r="S8" s="76" t="s">
        <v>80</v>
      </c>
      <c r="T8" s="77" t="s">
        <v>80</v>
      </c>
      <c r="U8" s="83" t="s">
        <v>80</v>
      </c>
      <c r="V8" s="84" t="s">
        <v>80</v>
      </c>
      <c r="W8" s="76" t="s">
        <v>80</v>
      </c>
      <c r="X8" s="77" t="s">
        <v>80</v>
      </c>
      <c r="Y8" s="83" t="s">
        <v>80</v>
      </c>
      <c r="Z8" s="89" t="s">
        <v>80</v>
      </c>
      <c r="AE8" s="5" t="s">
        <v>7</v>
      </c>
    </row>
    <row r="9" spans="2:31" x14ac:dyDescent="0.25">
      <c r="B9" s="52" t="s">
        <v>6</v>
      </c>
      <c r="C9" s="10">
        <v>1.43E-2</v>
      </c>
      <c r="D9" s="11">
        <v>0.67412173485967997</v>
      </c>
      <c r="E9" s="24">
        <v>4.4999999999999997E-3</v>
      </c>
      <c r="F9" s="25">
        <v>0.66266871026760099</v>
      </c>
      <c r="G9" s="10">
        <v>1.5900000000000001E-2</v>
      </c>
      <c r="H9" s="11">
        <v>0.66046009689044805</v>
      </c>
      <c r="I9" s="24">
        <v>1.01E-2</v>
      </c>
      <c r="J9" s="25">
        <v>0.66246498208153004</v>
      </c>
      <c r="K9" s="10">
        <v>3.8999999999999998E-3</v>
      </c>
      <c r="L9" s="11">
        <v>0.66510711302567005</v>
      </c>
      <c r="M9" s="24">
        <v>9.1000000000000004E-3</v>
      </c>
      <c r="N9" s="25">
        <v>0.66749697638918504</v>
      </c>
      <c r="O9" s="76" t="s">
        <v>80</v>
      </c>
      <c r="P9" s="77" t="s">
        <v>80</v>
      </c>
      <c r="Q9" s="83" t="s">
        <v>80</v>
      </c>
      <c r="R9" s="84" t="s">
        <v>80</v>
      </c>
      <c r="S9" s="76" t="s">
        <v>80</v>
      </c>
      <c r="T9" s="77" t="s">
        <v>80</v>
      </c>
      <c r="U9" s="83" t="s">
        <v>80</v>
      </c>
      <c r="V9" s="84" t="s">
        <v>80</v>
      </c>
      <c r="W9" s="76" t="s">
        <v>80</v>
      </c>
      <c r="X9" s="77" t="s">
        <v>80</v>
      </c>
      <c r="Y9" s="83" t="s">
        <v>80</v>
      </c>
      <c r="Z9" s="89" t="s">
        <v>80</v>
      </c>
      <c r="AE9" s="5" t="s">
        <v>9</v>
      </c>
    </row>
    <row r="10" spans="2:31" x14ac:dyDescent="0.25">
      <c r="B10" s="52" t="s">
        <v>8</v>
      </c>
      <c r="C10" s="10">
        <v>0</v>
      </c>
      <c r="D10" s="11">
        <v>0</v>
      </c>
      <c r="E10" s="24">
        <v>0</v>
      </c>
      <c r="F10" s="25">
        <v>0</v>
      </c>
      <c r="G10" s="10">
        <v>0</v>
      </c>
      <c r="H10" s="11">
        <v>0</v>
      </c>
      <c r="I10" s="24">
        <v>0</v>
      </c>
      <c r="J10" s="25">
        <v>0</v>
      </c>
      <c r="K10" s="10">
        <v>0</v>
      </c>
      <c r="L10" s="11">
        <v>0</v>
      </c>
      <c r="M10" s="24">
        <v>0</v>
      </c>
      <c r="N10" s="25">
        <v>0</v>
      </c>
      <c r="O10" s="76" t="s">
        <v>80</v>
      </c>
      <c r="P10" s="77" t="s">
        <v>80</v>
      </c>
      <c r="Q10" s="83" t="s">
        <v>80</v>
      </c>
      <c r="R10" s="84" t="s">
        <v>80</v>
      </c>
      <c r="S10" s="76" t="s">
        <v>80</v>
      </c>
      <c r="T10" s="77" t="s">
        <v>80</v>
      </c>
      <c r="U10" s="83" t="s">
        <v>80</v>
      </c>
      <c r="V10" s="84" t="s">
        <v>80</v>
      </c>
      <c r="W10" s="76" t="s">
        <v>80</v>
      </c>
      <c r="X10" s="77" t="s">
        <v>80</v>
      </c>
      <c r="Y10" s="83" t="s">
        <v>80</v>
      </c>
      <c r="Z10" s="89" t="s">
        <v>80</v>
      </c>
      <c r="AE10" s="5" t="s">
        <v>11</v>
      </c>
    </row>
    <row r="11" spans="2:31" x14ac:dyDescent="0.25">
      <c r="B11" s="52" t="s">
        <v>10</v>
      </c>
      <c r="C11" s="10">
        <v>0</v>
      </c>
      <c r="D11" s="11">
        <v>0</v>
      </c>
      <c r="E11" s="24">
        <v>0</v>
      </c>
      <c r="F11" s="25">
        <v>0</v>
      </c>
      <c r="G11" s="10">
        <v>0</v>
      </c>
      <c r="H11" s="11">
        <v>0</v>
      </c>
      <c r="I11" s="24">
        <v>0</v>
      </c>
      <c r="J11" s="25">
        <v>0</v>
      </c>
      <c r="K11" s="10">
        <v>0</v>
      </c>
      <c r="L11" s="11">
        <v>0</v>
      </c>
      <c r="M11" s="24">
        <v>0</v>
      </c>
      <c r="N11" s="25">
        <v>0</v>
      </c>
      <c r="O11" s="76" t="s">
        <v>80</v>
      </c>
      <c r="P11" s="77" t="s">
        <v>80</v>
      </c>
      <c r="Q11" s="83" t="s">
        <v>80</v>
      </c>
      <c r="R11" s="84" t="s">
        <v>80</v>
      </c>
      <c r="S11" s="76" t="s">
        <v>80</v>
      </c>
      <c r="T11" s="77" t="s">
        <v>80</v>
      </c>
      <c r="U11" s="83" t="s">
        <v>80</v>
      </c>
      <c r="V11" s="84" t="s">
        <v>80</v>
      </c>
      <c r="W11" s="76" t="s">
        <v>80</v>
      </c>
      <c r="X11" s="77" t="s">
        <v>80</v>
      </c>
      <c r="Y11" s="83" t="s">
        <v>80</v>
      </c>
      <c r="Z11" s="89" t="s">
        <v>80</v>
      </c>
      <c r="AE11" s="5" t="s">
        <v>13</v>
      </c>
    </row>
    <row r="12" spans="2:31" x14ac:dyDescent="0.25">
      <c r="B12" s="52" t="s">
        <v>12</v>
      </c>
      <c r="C12" s="10">
        <v>1E-3</v>
      </c>
      <c r="D12" s="11">
        <v>5.9053024465564902E-2</v>
      </c>
      <c r="E12" s="24">
        <v>8.0000000000000004E-4</v>
      </c>
      <c r="F12" s="25">
        <v>6.2914217232529698E-2</v>
      </c>
      <c r="G12" s="10">
        <v>1E-3</v>
      </c>
      <c r="H12" s="11">
        <v>6.4172170192477798E-2</v>
      </c>
      <c r="I12" s="24">
        <v>5.0000000000000001E-4</v>
      </c>
      <c r="J12" s="25">
        <v>6.3745220737443806E-2</v>
      </c>
      <c r="K12" s="10">
        <v>1E-4</v>
      </c>
      <c r="L12" s="11">
        <v>5.7145391897831702E-2</v>
      </c>
      <c r="M12" s="24">
        <v>5.9999999999999995E-4</v>
      </c>
      <c r="N12" s="25">
        <v>5.6718332186327103E-2</v>
      </c>
      <c r="O12" s="76" t="s">
        <v>80</v>
      </c>
      <c r="P12" s="77" t="s">
        <v>80</v>
      </c>
      <c r="Q12" s="83" t="s">
        <v>80</v>
      </c>
      <c r="R12" s="84" t="s">
        <v>80</v>
      </c>
      <c r="S12" s="76" t="s">
        <v>80</v>
      </c>
      <c r="T12" s="77" t="s">
        <v>80</v>
      </c>
      <c r="U12" s="83" t="s">
        <v>80</v>
      </c>
      <c r="V12" s="84" t="s">
        <v>80</v>
      </c>
      <c r="W12" s="76" t="s">
        <v>80</v>
      </c>
      <c r="X12" s="77" t="s">
        <v>80</v>
      </c>
      <c r="Y12" s="83" t="s">
        <v>80</v>
      </c>
      <c r="Z12" s="89" t="s">
        <v>80</v>
      </c>
      <c r="AE12" s="5" t="s">
        <v>15</v>
      </c>
    </row>
    <row r="13" spans="2:31" x14ac:dyDescent="0.25">
      <c r="B13" s="52" t="s">
        <v>14</v>
      </c>
      <c r="C13" s="10">
        <v>6.9999999999999999E-4</v>
      </c>
      <c r="D13" s="11">
        <v>2.2180252620637601E-2</v>
      </c>
      <c r="E13" s="24">
        <v>2.9999999999999997E-4</v>
      </c>
      <c r="F13" s="25">
        <v>2.2136415139641898E-2</v>
      </c>
      <c r="G13" s="10">
        <v>2.9999999999999997E-4</v>
      </c>
      <c r="H13" s="11">
        <v>2.1630689929417201E-2</v>
      </c>
      <c r="I13" s="24">
        <v>2.9999999999999997E-4</v>
      </c>
      <c r="J13" s="25">
        <v>2.1410383366029E-2</v>
      </c>
      <c r="K13" s="10">
        <v>0</v>
      </c>
      <c r="L13" s="11">
        <v>2.1370198919283701E-2</v>
      </c>
      <c r="M13" s="24">
        <v>4.0000000000000002E-4</v>
      </c>
      <c r="N13" s="25">
        <v>2.1358949828555299E-2</v>
      </c>
      <c r="O13" s="76" t="s">
        <v>80</v>
      </c>
      <c r="P13" s="77" t="s">
        <v>80</v>
      </c>
      <c r="Q13" s="83" t="s">
        <v>80</v>
      </c>
      <c r="R13" s="84" t="s">
        <v>80</v>
      </c>
      <c r="S13" s="76" t="s">
        <v>80</v>
      </c>
      <c r="T13" s="77" t="s">
        <v>80</v>
      </c>
      <c r="U13" s="83" t="s">
        <v>80</v>
      </c>
      <c r="V13" s="84" t="s">
        <v>80</v>
      </c>
      <c r="W13" s="76" t="s">
        <v>80</v>
      </c>
      <c r="X13" s="77" t="s">
        <v>80</v>
      </c>
      <c r="Y13" s="83" t="s">
        <v>80</v>
      </c>
      <c r="Z13" s="89" t="s">
        <v>80</v>
      </c>
      <c r="AE13" s="5" t="s">
        <v>17</v>
      </c>
    </row>
    <row r="14" spans="2:31" x14ac:dyDescent="0.25">
      <c r="B14" s="52" t="s">
        <v>16</v>
      </c>
      <c r="C14" s="10">
        <v>2.8E-3</v>
      </c>
      <c r="D14" s="11">
        <v>5.6679598146030602E-2</v>
      </c>
      <c r="E14" s="24">
        <v>6.9999999999999999E-4</v>
      </c>
      <c r="F14" s="25">
        <v>5.5698202569671999E-2</v>
      </c>
      <c r="G14" s="10">
        <v>-1E-4</v>
      </c>
      <c r="H14" s="11">
        <v>5.4610975242322397E-2</v>
      </c>
      <c r="I14" s="24">
        <v>1.8E-3</v>
      </c>
      <c r="J14" s="25">
        <v>5.1970470451850097E-2</v>
      </c>
      <c r="K14" s="10">
        <v>-5.0000000000000001E-4</v>
      </c>
      <c r="L14" s="11">
        <v>5.2031547787521601E-2</v>
      </c>
      <c r="M14" s="24">
        <v>1.6999999999999999E-3</v>
      </c>
      <c r="N14" s="25">
        <v>5.1854705290028003E-2</v>
      </c>
      <c r="O14" s="76" t="s">
        <v>80</v>
      </c>
      <c r="P14" s="77" t="s">
        <v>80</v>
      </c>
      <c r="Q14" s="83" t="s">
        <v>80</v>
      </c>
      <c r="R14" s="84" t="s">
        <v>80</v>
      </c>
      <c r="S14" s="76" t="s">
        <v>80</v>
      </c>
      <c r="T14" s="77" t="s">
        <v>80</v>
      </c>
      <c r="U14" s="83" t="s">
        <v>80</v>
      </c>
      <c r="V14" s="84" t="s">
        <v>80</v>
      </c>
      <c r="W14" s="76" t="s">
        <v>80</v>
      </c>
      <c r="X14" s="77" t="s">
        <v>80</v>
      </c>
      <c r="Y14" s="83" t="s">
        <v>80</v>
      </c>
      <c r="Z14" s="89" t="s">
        <v>80</v>
      </c>
      <c r="AE14" s="5" t="s">
        <v>19</v>
      </c>
    </row>
    <row r="15" spans="2:31" x14ac:dyDescent="0.25">
      <c r="B15" s="52" t="s">
        <v>18</v>
      </c>
      <c r="C15" s="10">
        <v>3.0000000000000001E-3</v>
      </c>
      <c r="D15" s="11">
        <v>7.3003429393229097E-2</v>
      </c>
      <c r="E15" s="24">
        <v>1.6000000000000001E-3</v>
      </c>
      <c r="F15" s="25">
        <v>7.3797136407026495E-2</v>
      </c>
      <c r="G15" s="10">
        <v>5.9999999999999995E-4</v>
      </c>
      <c r="H15" s="11">
        <v>7.1468189224308198E-2</v>
      </c>
      <c r="I15" s="24">
        <v>1.6000000000000001E-3</v>
      </c>
      <c r="J15" s="25">
        <v>6.7573926899924502E-2</v>
      </c>
      <c r="K15" s="10">
        <v>-1.9E-3</v>
      </c>
      <c r="L15" s="11">
        <v>6.5115496632370096E-2</v>
      </c>
      <c r="M15" s="24">
        <v>1.6999999999999999E-3</v>
      </c>
      <c r="N15" s="25">
        <v>6.5080051294092001E-2</v>
      </c>
      <c r="O15" s="76" t="s">
        <v>80</v>
      </c>
      <c r="P15" s="77" t="s">
        <v>80</v>
      </c>
      <c r="Q15" s="83" t="s">
        <v>80</v>
      </c>
      <c r="R15" s="84" t="s">
        <v>80</v>
      </c>
      <c r="S15" s="76" t="s">
        <v>80</v>
      </c>
      <c r="T15" s="77" t="s">
        <v>80</v>
      </c>
      <c r="U15" s="83" t="s">
        <v>80</v>
      </c>
      <c r="V15" s="84" t="s">
        <v>80</v>
      </c>
      <c r="W15" s="76" t="s">
        <v>80</v>
      </c>
      <c r="X15" s="77" t="s">
        <v>80</v>
      </c>
      <c r="Y15" s="83" t="s">
        <v>80</v>
      </c>
      <c r="Z15" s="89" t="s">
        <v>80</v>
      </c>
      <c r="AE15" s="5" t="s">
        <v>21</v>
      </c>
    </row>
    <row r="16" spans="2:31" x14ac:dyDescent="0.25">
      <c r="B16" s="52" t="s">
        <v>20</v>
      </c>
      <c r="C16" s="10">
        <v>0</v>
      </c>
      <c r="D16" s="11">
        <v>3.81858591734673E-3</v>
      </c>
      <c r="E16" s="24">
        <v>0</v>
      </c>
      <c r="F16" s="25">
        <v>3.8477035033504499E-3</v>
      </c>
      <c r="G16" s="10">
        <v>1E-4</v>
      </c>
      <c r="H16" s="11">
        <v>3.9289343051525901E-3</v>
      </c>
      <c r="I16" s="24">
        <v>0</v>
      </c>
      <c r="J16" s="25">
        <v>3.6253727515104198E-3</v>
      </c>
      <c r="K16" s="10">
        <v>-1E-4</v>
      </c>
      <c r="L16" s="11">
        <v>3.5151785456092599E-3</v>
      </c>
      <c r="M16" s="24">
        <v>0</v>
      </c>
      <c r="N16" s="25">
        <v>3.5106059559598698E-3</v>
      </c>
      <c r="O16" s="76" t="s">
        <v>80</v>
      </c>
      <c r="P16" s="77" t="s">
        <v>80</v>
      </c>
      <c r="Q16" s="83" t="s">
        <v>80</v>
      </c>
      <c r="R16" s="84" t="s">
        <v>80</v>
      </c>
      <c r="S16" s="76" t="s">
        <v>80</v>
      </c>
      <c r="T16" s="77" t="s">
        <v>80</v>
      </c>
      <c r="U16" s="83" t="s">
        <v>80</v>
      </c>
      <c r="V16" s="84" t="s">
        <v>80</v>
      </c>
      <c r="W16" s="76" t="s">
        <v>80</v>
      </c>
      <c r="X16" s="77" t="s">
        <v>80</v>
      </c>
      <c r="Y16" s="83" t="s">
        <v>80</v>
      </c>
      <c r="Z16" s="89" t="s">
        <v>80</v>
      </c>
      <c r="AE16" s="5" t="s">
        <v>23</v>
      </c>
    </row>
    <row r="17" spans="2:31" x14ac:dyDescent="0.25">
      <c r="B17" s="52" t="s">
        <v>22</v>
      </c>
      <c r="C17" s="10">
        <v>-1E-3</v>
      </c>
      <c r="D17" s="11">
        <v>4.8970928024055997E-2</v>
      </c>
      <c r="E17" s="24">
        <v>-2.9999999999999997E-4</v>
      </c>
      <c r="F17" s="25">
        <v>5.0060862609847503E-2</v>
      </c>
      <c r="G17" s="10">
        <v>4.0000000000000002E-4</v>
      </c>
      <c r="H17" s="11">
        <v>5.0174336788848001E-2</v>
      </c>
      <c r="I17" s="24">
        <v>-2.0000000000000001E-4</v>
      </c>
      <c r="J17" s="25">
        <v>5.3240344224986698E-2</v>
      </c>
      <c r="K17" s="10">
        <v>1E-3</v>
      </c>
      <c r="L17" s="11">
        <v>5.5069884007291098E-2</v>
      </c>
      <c r="M17" s="24">
        <v>-4.0000000000000002E-4</v>
      </c>
      <c r="N17" s="25">
        <v>5.5891698504520297E-2</v>
      </c>
      <c r="O17" s="76" t="s">
        <v>80</v>
      </c>
      <c r="P17" s="77" t="s">
        <v>80</v>
      </c>
      <c r="Q17" s="83" t="s">
        <v>80</v>
      </c>
      <c r="R17" s="84" t="s">
        <v>80</v>
      </c>
      <c r="S17" s="76" t="s">
        <v>80</v>
      </c>
      <c r="T17" s="77" t="s">
        <v>80</v>
      </c>
      <c r="U17" s="83" t="s">
        <v>80</v>
      </c>
      <c r="V17" s="84" t="s">
        <v>80</v>
      </c>
      <c r="W17" s="76" t="s">
        <v>80</v>
      </c>
      <c r="X17" s="77" t="s">
        <v>80</v>
      </c>
      <c r="Y17" s="83" t="s">
        <v>80</v>
      </c>
      <c r="Z17" s="89" t="s">
        <v>80</v>
      </c>
      <c r="AE17" s="73" t="s">
        <v>80</v>
      </c>
    </row>
    <row r="18" spans="2:31" x14ac:dyDescent="0.25">
      <c r="B18" s="52" t="s">
        <v>24</v>
      </c>
      <c r="C18" s="10">
        <v>0</v>
      </c>
      <c r="D18" s="11">
        <v>1.7884664482617001E-5</v>
      </c>
      <c r="E18" s="24">
        <v>0</v>
      </c>
      <c r="F18" s="25">
        <v>2.1663253766342801E-5</v>
      </c>
      <c r="G18" s="10">
        <v>0</v>
      </c>
      <c r="H18" s="11">
        <v>2.2521844945561699E-5</v>
      </c>
      <c r="I18" s="24">
        <v>0</v>
      </c>
      <c r="J18" s="25">
        <v>2.1858920353007099E-5</v>
      </c>
      <c r="K18" s="10">
        <v>0</v>
      </c>
      <c r="L18" s="11">
        <v>1.7602477698573601E-5</v>
      </c>
      <c r="M18" s="24">
        <v>0</v>
      </c>
      <c r="N18" s="25">
        <v>2.0141503835157601E-5</v>
      </c>
      <c r="O18" s="76" t="s">
        <v>80</v>
      </c>
      <c r="P18" s="77" t="s">
        <v>80</v>
      </c>
      <c r="Q18" s="83" t="s">
        <v>80</v>
      </c>
      <c r="R18" s="84" t="s">
        <v>80</v>
      </c>
      <c r="S18" s="76" t="s">
        <v>80</v>
      </c>
      <c r="T18" s="77" t="s">
        <v>80</v>
      </c>
      <c r="U18" s="83" t="s">
        <v>80</v>
      </c>
      <c r="V18" s="84" t="s">
        <v>80</v>
      </c>
      <c r="W18" s="76" t="s">
        <v>80</v>
      </c>
      <c r="X18" s="77" t="s">
        <v>80</v>
      </c>
      <c r="Y18" s="83" t="s">
        <v>80</v>
      </c>
      <c r="Z18" s="89" t="s">
        <v>80</v>
      </c>
      <c r="AE18" s="75"/>
    </row>
    <row r="19" spans="2:31" x14ac:dyDescent="0.25">
      <c r="B19" s="52" t="s">
        <v>25</v>
      </c>
      <c r="C19" s="10">
        <v>0</v>
      </c>
      <c r="D19" s="11">
        <v>0</v>
      </c>
      <c r="E19" s="24">
        <v>0</v>
      </c>
      <c r="F19" s="25">
        <v>0</v>
      </c>
      <c r="G19" s="10">
        <v>0</v>
      </c>
      <c r="H19" s="11">
        <v>0</v>
      </c>
      <c r="I19" s="24">
        <v>0</v>
      </c>
      <c r="J19" s="25">
        <v>0</v>
      </c>
      <c r="K19" s="10">
        <v>0</v>
      </c>
      <c r="L19" s="11">
        <v>0</v>
      </c>
      <c r="M19" s="24">
        <v>0</v>
      </c>
      <c r="N19" s="25">
        <v>0</v>
      </c>
      <c r="O19" s="76" t="s">
        <v>80</v>
      </c>
      <c r="P19" s="77" t="s">
        <v>80</v>
      </c>
      <c r="Q19" s="83" t="s">
        <v>80</v>
      </c>
      <c r="R19" s="84" t="s">
        <v>80</v>
      </c>
      <c r="S19" s="76" t="s">
        <v>80</v>
      </c>
      <c r="T19" s="77" t="s">
        <v>80</v>
      </c>
      <c r="U19" s="83" t="s">
        <v>80</v>
      </c>
      <c r="V19" s="84" t="s">
        <v>80</v>
      </c>
      <c r="W19" s="76" t="s">
        <v>80</v>
      </c>
      <c r="X19" s="77" t="s">
        <v>80</v>
      </c>
      <c r="Y19" s="83" t="s">
        <v>80</v>
      </c>
      <c r="Z19" s="89" t="s">
        <v>80</v>
      </c>
      <c r="AE19" s="75"/>
    </row>
    <row r="20" spans="2:31" x14ac:dyDescent="0.25">
      <c r="B20" s="52" t="s">
        <v>26</v>
      </c>
      <c r="C20" s="10">
        <v>0</v>
      </c>
      <c r="D20" s="11">
        <v>0</v>
      </c>
      <c r="E20" s="24">
        <v>0</v>
      </c>
      <c r="F20" s="25">
        <v>0</v>
      </c>
      <c r="G20" s="10">
        <v>0</v>
      </c>
      <c r="H20" s="11">
        <v>0</v>
      </c>
      <c r="I20" s="24">
        <v>0</v>
      </c>
      <c r="J20" s="25">
        <v>0</v>
      </c>
      <c r="K20" s="10">
        <v>0</v>
      </c>
      <c r="L20" s="11">
        <v>0</v>
      </c>
      <c r="M20" s="24">
        <v>0</v>
      </c>
      <c r="N20" s="25">
        <v>0</v>
      </c>
      <c r="O20" s="76" t="s">
        <v>80</v>
      </c>
      <c r="P20" s="77" t="s">
        <v>80</v>
      </c>
      <c r="Q20" s="83" t="s">
        <v>80</v>
      </c>
      <c r="R20" s="84" t="s">
        <v>80</v>
      </c>
      <c r="S20" s="76" t="s">
        <v>80</v>
      </c>
      <c r="T20" s="77" t="s">
        <v>80</v>
      </c>
      <c r="U20" s="83" t="s">
        <v>80</v>
      </c>
      <c r="V20" s="84" t="s">
        <v>80</v>
      </c>
      <c r="W20" s="76" t="s">
        <v>80</v>
      </c>
      <c r="X20" s="77" t="s">
        <v>80</v>
      </c>
      <c r="Y20" s="83" t="s">
        <v>80</v>
      </c>
      <c r="Z20" s="89" t="s">
        <v>80</v>
      </c>
      <c r="AE20" s="75"/>
    </row>
    <row r="21" spans="2:31" x14ac:dyDescent="0.25">
      <c r="B21" s="52" t="s">
        <v>27</v>
      </c>
      <c r="C21" s="10">
        <v>0</v>
      </c>
      <c r="D21" s="11">
        <v>0</v>
      </c>
      <c r="E21" s="24">
        <v>0</v>
      </c>
      <c r="F21" s="25">
        <v>0</v>
      </c>
      <c r="G21" s="10">
        <v>0</v>
      </c>
      <c r="H21" s="11">
        <v>0</v>
      </c>
      <c r="I21" s="24">
        <v>0</v>
      </c>
      <c r="J21" s="25">
        <v>0</v>
      </c>
      <c r="K21" s="10">
        <v>0</v>
      </c>
      <c r="L21" s="11">
        <v>0</v>
      </c>
      <c r="M21" s="24">
        <v>0</v>
      </c>
      <c r="N21" s="25">
        <v>0</v>
      </c>
      <c r="O21" s="76" t="s">
        <v>80</v>
      </c>
      <c r="P21" s="77" t="s">
        <v>80</v>
      </c>
      <c r="Q21" s="83" t="s">
        <v>80</v>
      </c>
      <c r="R21" s="84" t="s">
        <v>80</v>
      </c>
      <c r="S21" s="76" t="s">
        <v>80</v>
      </c>
      <c r="T21" s="77" t="s">
        <v>80</v>
      </c>
      <c r="U21" s="83" t="s">
        <v>80</v>
      </c>
      <c r="V21" s="84" t="s">
        <v>80</v>
      </c>
      <c r="W21" s="76" t="s">
        <v>80</v>
      </c>
      <c r="X21" s="77" t="s">
        <v>80</v>
      </c>
      <c r="Y21" s="83" t="s">
        <v>80</v>
      </c>
      <c r="Z21" s="89" t="s">
        <v>80</v>
      </c>
      <c r="AE21" s="75"/>
    </row>
    <row r="22" spans="2:31" x14ac:dyDescent="0.25">
      <c r="B22" s="52" t="s">
        <v>28</v>
      </c>
      <c r="C22" s="10">
        <v>2.9999999999999997E-4</v>
      </c>
      <c r="D22" s="11">
        <v>4.4395082415011902E-2</v>
      </c>
      <c r="E22" s="24">
        <v>0</v>
      </c>
      <c r="F22" s="25">
        <v>4.38166816089018E-2</v>
      </c>
      <c r="G22" s="10">
        <v>2.9999999999999997E-4</v>
      </c>
      <c r="H22" s="11">
        <v>4.2997967634790003E-2</v>
      </c>
      <c r="I22" s="24">
        <v>2.0000000000000001E-4</v>
      </c>
      <c r="J22" s="25">
        <v>4.2240868446828499E-2</v>
      </c>
      <c r="K22" s="10">
        <v>2.9999999999999997E-4</v>
      </c>
      <c r="L22" s="11">
        <v>4.1959399097154002E-2</v>
      </c>
      <c r="M22" s="24">
        <v>2.9999999999999997E-4</v>
      </c>
      <c r="N22" s="25">
        <v>4.1241541036020103E-2</v>
      </c>
      <c r="O22" s="76" t="s">
        <v>80</v>
      </c>
      <c r="P22" s="77" t="s">
        <v>80</v>
      </c>
      <c r="Q22" s="83" t="s">
        <v>80</v>
      </c>
      <c r="R22" s="84" t="s">
        <v>80</v>
      </c>
      <c r="S22" s="76" t="s">
        <v>80</v>
      </c>
      <c r="T22" s="77" t="s">
        <v>80</v>
      </c>
      <c r="U22" s="83" t="s">
        <v>80</v>
      </c>
      <c r="V22" s="84" t="s">
        <v>80</v>
      </c>
      <c r="W22" s="76" t="s">
        <v>80</v>
      </c>
      <c r="X22" s="77" t="s">
        <v>80</v>
      </c>
      <c r="Y22" s="83" t="s">
        <v>80</v>
      </c>
      <c r="Z22" s="89" t="s">
        <v>80</v>
      </c>
      <c r="AE22" s="75"/>
    </row>
    <row r="23" spans="2:31" x14ac:dyDescent="0.25">
      <c r="B23" s="52" t="s">
        <v>29</v>
      </c>
      <c r="C23" s="10">
        <v>1E-4</v>
      </c>
      <c r="D23" s="11">
        <v>2.0321715971898802E-3</v>
      </c>
      <c r="E23" s="24">
        <v>9.9999999999999707E-5</v>
      </c>
      <c r="F23" s="25">
        <v>2.0110561882085202E-3</v>
      </c>
      <c r="G23" s="10">
        <v>-6.32089866559049E-19</v>
      </c>
      <c r="H23" s="11">
        <v>1.40756013814122E-3</v>
      </c>
      <c r="I23" s="24">
        <v>6.7220534694101299E-20</v>
      </c>
      <c r="J23" s="25">
        <v>1.39762702846007E-3</v>
      </c>
      <c r="K23" s="10">
        <v>-1E-4</v>
      </c>
      <c r="L23" s="11">
        <v>1.3530414535664499E-3</v>
      </c>
      <c r="M23" s="24">
        <v>7.6110992508482397E-19</v>
      </c>
      <c r="N23" s="25">
        <v>1.33915656767999E-3</v>
      </c>
      <c r="O23" s="76" t="s">
        <v>80</v>
      </c>
      <c r="P23" s="77" t="s">
        <v>80</v>
      </c>
      <c r="Q23" s="83" t="s">
        <v>80</v>
      </c>
      <c r="R23" s="84" t="s">
        <v>80</v>
      </c>
      <c r="S23" s="76" t="s">
        <v>80</v>
      </c>
      <c r="T23" s="77" t="s">
        <v>80</v>
      </c>
      <c r="U23" s="83" t="s">
        <v>80</v>
      </c>
      <c r="V23" s="84" t="s">
        <v>80</v>
      </c>
      <c r="W23" s="76" t="s">
        <v>80</v>
      </c>
      <c r="X23" s="77" t="s">
        <v>80</v>
      </c>
      <c r="Y23" s="83" t="s">
        <v>80</v>
      </c>
      <c r="Z23" s="89" t="s">
        <v>80</v>
      </c>
      <c r="AE23" s="75"/>
    </row>
    <row r="24" spans="2:31" x14ac:dyDescent="0.25">
      <c r="B24" s="52" t="s">
        <v>30</v>
      </c>
      <c r="C24" s="10">
        <v>0</v>
      </c>
      <c r="D24" s="11">
        <v>0</v>
      </c>
      <c r="E24" s="24">
        <v>0</v>
      </c>
      <c r="F24" s="25">
        <v>0</v>
      </c>
      <c r="G24" s="10">
        <v>0</v>
      </c>
      <c r="H24" s="11">
        <v>0</v>
      </c>
      <c r="I24" s="24">
        <v>0</v>
      </c>
      <c r="J24" s="25">
        <v>0</v>
      </c>
      <c r="K24" s="10">
        <v>0</v>
      </c>
      <c r="L24" s="11">
        <v>0</v>
      </c>
      <c r="M24" s="24">
        <v>0</v>
      </c>
      <c r="N24" s="25">
        <v>0</v>
      </c>
      <c r="O24" s="76" t="s">
        <v>80</v>
      </c>
      <c r="P24" s="77" t="s">
        <v>80</v>
      </c>
      <c r="Q24" s="83" t="s">
        <v>80</v>
      </c>
      <c r="R24" s="84" t="s">
        <v>80</v>
      </c>
      <c r="S24" s="76" t="s">
        <v>80</v>
      </c>
      <c r="T24" s="77" t="s">
        <v>80</v>
      </c>
      <c r="U24" s="83" t="s">
        <v>80</v>
      </c>
      <c r="V24" s="84" t="s">
        <v>80</v>
      </c>
      <c r="W24" s="76" t="s">
        <v>80</v>
      </c>
      <c r="X24" s="77" t="s">
        <v>80</v>
      </c>
      <c r="Y24" s="83" t="s">
        <v>80</v>
      </c>
      <c r="Z24" s="89" t="s">
        <v>80</v>
      </c>
      <c r="AE24" s="75"/>
    </row>
    <row r="25" spans="2:31" x14ac:dyDescent="0.25">
      <c r="B25" s="52" t="s">
        <v>31</v>
      </c>
      <c r="C25" s="10">
        <v>0</v>
      </c>
      <c r="D25" s="11">
        <v>7.3018394048939602E-4</v>
      </c>
      <c r="E25" s="24">
        <v>0</v>
      </c>
      <c r="F25" s="25">
        <v>7.2625020370024201E-4</v>
      </c>
      <c r="G25" s="10">
        <v>0</v>
      </c>
      <c r="H25" s="11">
        <v>7.1470837879714999E-4</v>
      </c>
      <c r="I25" s="24">
        <v>0</v>
      </c>
      <c r="J25" s="25">
        <v>7.0615363914701E-4</v>
      </c>
      <c r="K25" s="10">
        <v>0</v>
      </c>
      <c r="L25" s="11">
        <v>7.0582153679530203E-4</v>
      </c>
      <c r="M25" s="24">
        <v>0</v>
      </c>
      <c r="N25" s="25">
        <v>6.9823879925970497E-4</v>
      </c>
      <c r="O25" s="76" t="s">
        <v>80</v>
      </c>
      <c r="P25" s="77" t="s">
        <v>80</v>
      </c>
      <c r="Q25" s="83" t="s">
        <v>80</v>
      </c>
      <c r="R25" s="84" t="s">
        <v>80</v>
      </c>
      <c r="S25" s="76" t="s">
        <v>80</v>
      </c>
      <c r="T25" s="77" t="s">
        <v>80</v>
      </c>
      <c r="U25" s="83" t="s">
        <v>80</v>
      </c>
      <c r="V25" s="84" t="s">
        <v>80</v>
      </c>
      <c r="W25" s="76" t="s">
        <v>80</v>
      </c>
      <c r="X25" s="77" t="s">
        <v>80</v>
      </c>
      <c r="Y25" s="83" t="s">
        <v>80</v>
      </c>
      <c r="Z25" s="89" t="s">
        <v>80</v>
      </c>
      <c r="AE25" s="75"/>
    </row>
    <row r="26" spans="2:31" x14ac:dyDescent="0.25">
      <c r="B26" s="52" t="s">
        <v>32</v>
      </c>
      <c r="C26" s="10">
        <v>0</v>
      </c>
      <c r="D26" s="11">
        <v>0</v>
      </c>
      <c r="E26" s="24">
        <v>0</v>
      </c>
      <c r="F26" s="25">
        <v>0</v>
      </c>
      <c r="G26" s="10">
        <v>0</v>
      </c>
      <c r="H26" s="11">
        <v>0</v>
      </c>
      <c r="I26" s="24">
        <v>0</v>
      </c>
      <c r="J26" s="25">
        <v>0</v>
      </c>
      <c r="K26" s="10">
        <v>0</v>
      </c>
      <c r="L26" s="11">
        <v>0</v>
      </c>
      <c r="M26" s="24">
        <v>0</v>
      </c>
      <c r="N26" s="25">
        <v>0</v>
      </c>
      <c r="O26" s="76" t="s">
        <v>80</v>
      </c>
      <c r="P26" s="77" t="s">
        <v>80</v>
      </c>
      <c r="Q26" s="83" t="s">
        <v>80</v>
      </c>
      <c r="R26" s="84" t="s">
        <v>80</v>
      </c>
      <c r="S26" s="76" t="s">
        <v>80</v>
      </c>
      <c r="T26" s="77" t="s">
        <v>80</v>
      </c>
      <c r="U26" s="83" t="s">
        <v>80</v>
      </c>
      <c r="V26" s="84" t="s">
        <v>80</v>
      </c>
      <c r="W26" s="76" t="s">
        <v>80</v>
      </c>
      <c r="X26" s="77" t="s">
        <v>80</v>
      </c>
      <c r="Y26" s="83" t="s">
        <v>80</v>
      </c>
      <c r="Z26" s="89" t="s">
        <v>80</v>
      </c>
      <c r="AE26" s="75"/>
    </row>
    <row r="27" spans="2:31" x14ac:dyDescent="0.25">
      <c r="B27" s="53" t="s">
        <v>43</v>
      </c>
      <c r="C27" s="13">
        <v>2.1100000000000001E-2</v>
      </c>
      <c r="D27" s="14">
        <v>1</v>
      </c>
      <c r="E27" s="26">
        <v>7.7000000000000002E-3</v>
      </c>
      <c r="F27" s="27">
        <v>1</v>
      </c>
      <c r="G27" s="13">
        <v>1.8499999999999999E-2</v>
      </c>
      <c r="H27" s="14">
        <v>1</v>
      </c>
      <c r="I27" s="26">
        <v>1.43E-2</v>
      </c>
      <c r="J27" s="27">
        <v>1</v>
      </c>
      <c r="K27" s="13">
        <v>2.7000000000000001E-3</v>
      </c>
      <c r="L27" s="14">
        <v>1</v>
      </c>
      <c r="M27" s="26">
        <v>1.34E-2</v>
      </c>
      <c r="N27" s="27">
        <v>1</v>
      </c>
      <c r="O27" s="78" t="s">
        <v>80</v>
      </c>
      <c r="P27" s="79" t="s">
        <v>80</v>
      </c>
      <c r="Q27" s="85" t="s">
        <v>80</v>
      </c>
      <c r="R27" s="86" t="s">
        <v>80</v>
      </c>
      <c r="S27" s="78" t="s">
        <v>80</v>
      </c>
      <c r="T27" s="79" t="s">
        <v>80</v>
      </c>
      <c r="U27" s="85" t="s">
        <v>80</v>
      </c>
      <c r="V27" s="86" t="s">
        <v>80</v>
      </c>
      <c r="W27" s="78" t="s">
        <v>80</v>
      </c>
      <c r="X27" s="79" t="s">
        <v>80</v>
      </c>
      <c r="Y27" s="85" t="s">
        <v>80</v>
      </c>
      <c r="Z27" s="90" t="s">
        <v>80</v>
      </c>
      <c r="AE27" s="75"/>
    </row>
    <row r="28" spans="2:31" x14ac:dyDescent="0.25">
      <c r="B28" s="55" t="s">
        <v>38</v>
      </c>
      <c r="C28" s="56">
        <v>215047.57085958001</v>
      </c>
      <c r="D28" s="80" t="s">
        <v>80</v>
      </c>
      <c r="E28" s="57">
        <v>80401.602228396398</v>
      </c>
      <c r="F28" s="81" t="s">
        <v>80</v>
      </c>
      <c r="G28" s="56">
        <v>192283.89282619601</v>
      </c>
      <c r="H28" s="80" t="s">
        <v>80</v>
      </c>
      <c r="I28" s="57">
        <v>152174.257476631</v>
      </c>
      <c r="J28" s="81" t="s">
        <v>80</v>
      </c>
      <c r="K28" s="56">
        <v>29186.156634354</v>
      </c>
      <c r="L28" s="80" t="s">
        <v>80</v>
      </c>
      <c r="M28" s="57">
        <v>144615.66832428399</v>
      </c>
      <c r="N28" s="88" t="s">
        <v>80</v>
      </c>
      <c r="O28" s="82" t="s">
        <v>80</v>
      </c>
      <c r="P28" s="80" t="s">
        <v>80</v>
      </c>
      <c r="Q28" s="87" t="s">
        <v>80</v>
      </c>
      <c r="R28" s="88" t="s">
        <v>80</v>
      </c>
      <c r="S28" s="82" t="s">
        <v>80</v>
      </c>
      <c r="T28" s="80" t="s">
        <v>80</v>
      </c>
      <c r="U28" s="87" t="s">
        <v>80</v>
      </c>
      <c r="V28" s="88" t="s">
        <v>80</v>
      </c>
      <c r="W28" s="82" t="s">
        <v>80</v>
      </c>
      <c r="X28" s="80" t="s">
        <v>80</v>
      </c>
      <c r="Y28" s="87" t="s">
        <v>80</v>
      </c>
      <c r="Z28" s="91" t="s">
        <v>80</v>
      </c>
      <c r="AE28" s="75"/>
    </row>
    <row r="29" spans="2:31" x14ac:dyDescent="0.25">
      <c r="B29" s="72" t="s">
        <v>41</v>
      </c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E29" s="75"/>
    </row>
    <row r="30" spans="2:31" x14ac:dyDescent="0.25">
      <c r="B30" s="73" t="s">
        <v>72</v>
      </c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E30" s="75"/>
    </row>
    <row r="31" spans="2:31" ht="15.75" x14ac:dyDescent="0.25">
      <c r="B31" s="15"/>
      <c r="C31" s="46" t="s">
        <v>0</v>
      </c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E31" s="75"/>
    </row>
    <row r="32" spans="2:31" ht="15.75" x14ac:dyDescent="0.25">
      <c r="B32" s="19" t="s">
        <v>40</v>
      </c>
      <c r="C32" s="3" t="str">
        <f ca="1">CONCATENATE(INDIRECT(CONCATENATE($C$3,$C$4))," ",$B$4)</f>
        <v>ינואר 2019</v>
      </c>
      <c r="D32" s="4"/>
      <c r="E32" s="20" t="str">
        <f ca="1">CONCATENATE(INDIRECT(CONCATENATE($C$3,$E$4))," ",$B$4)</f>
        <v>פברואר 2019</v>
      </c>
      <c r="F32" s="21"/>
      <c r="G32" s="3" t="str">
        <f ca="1">CONCATENATE(INDIRECT(CONCATENATE($C$3,$G$4))," ",$B$4)</f>
        <v>מרץ 2019</v>
      </c>
      <c r="H32" s="4"/>
      <c r="I32" s="20" t="str">
        <f ca="1">CONCATENATE(INDIRECT(CONCATENATE($C$3,$I$4))," ",$B$4)</f>
        <v>אפריל 2019</v>
      </c>
      <c r="J32" s="21"/>
      <c r="K32" s="3" t="str">
        <f ca="1">CONCATENATE(INDIRECT(CONCATENATE($C$3,$K$4))," ",$B$4)</f>
        <v>מאי 2019</v>
      </c>
      <c r="L32" s="4"/>
      <c r="M32" s="20" t="str">
        <f ca="1">CONCATENATE(INDIRECT(CONCATENATE($C$3,$M$4))," ",$B$4)</f>
        <v>יוני 2019</v>
      </c>
      <c r="N32" s="21"/>
      <c r="O32" s="3" t="str">
        <f ca="1">CONCATENATE(INDIRECT(CONCATENATE($C$3,$O$4))," ",$B$4)</f>
        <v>יולי 2019</v>
      </c>
      <c r="P32" s="4"/>
      <c r="Q32" s="20" t="str">
        <f ca="1">CONCATENATE(INDIRECT(CONCATENATE($C$3,$Q$4))," ",$B$4)</f>
        <v>אוגוסט 2019</v>
      </c>
      <c r="R32" s="21"/>
      <c r="S32" s="3" t="str">
        <f ca="1">CONCATENATE(INDIRECT(CONCATENATE($C$3,$S$4))," ",$B$4)</f>
        <v>ספטמבר 2019</v>
      </c>
      <c r="T32" s="4"/>
      <c r="U32" s="20" t="str">
        <f ca="1">CONCATENATE(INDIRECT(CONCATENATE($C$3,$U$4))," ",$B$4)</f>
        <v>אוקטובר 2019</v>
      </c>
      <c r="V32" s="21"/>
      <c r="W32" s="3" t="str">
        <f ca="1">CONCATENATE(INDIRECT(CONCATENATE($C$3,$W$4))," ",$B$4)</f>
        <v>נובמבר 2019</v>
      </c>
      <c r="X32" s="4"/>
      <c r="Y32" s="20" t="str">
        <f ca="1">CONCATENATE(INDIRECT(CONCATENATE($C$3,$Y$4))," ",$B$4)</f>
        <v>דצמבר 2019</v>
      </c>
      <c r="Z32" s="21"/>
      <c r="AE32" s="75"/>
    </row>
    <row r="33" spans="2:31" ht="30" x14ac:dyDescent="0.25">
      <c r="B33" s="6"/>
      <c r="C33" s="7" t="s">
        <v>49</v>
      </c>
      <c r="D33" s="8" t="s">
        <v>2</v>
      </c>
      <c r="E33" s="22" t="s">
        <v>71</v>
      </c>
      <c r="F33" s="23" t="s">
        <v>70</v>
      </c>
      <c r="G33" s="7" t="s">
        <v>50</v>
      </c>
      <c r="H33" s="8" t="s">
        <v>51</v>
      </c>
      <c r="I33" s="22" t="s">
        <v>69</v>
      </c>
      <c r="J33" s="23" t="s">
        <v>68</v>
      </c>
      <c r="K33" s="7" t="s">
        <v>52</v>
      </c>
      <c r="L33" s="8" t="s">
        <v>53</v>
      </c>
      <c r="M33" s="22" t="s">
        <v>67</v>
      </c>
      <c r="N33" s="23" t="s">
        <v>66</v>
      </c>
      <c r="O33" s="7" t="s">
        <v>54</v>
      </c>
      <c r="P33" s="8" t="s">
        <v>55</v>
      </c>
      <c r="Q33" s="22" t="s">
        <v>65</v>
      </c>
      <c r="R33" s="23" t="s">
        <v>64</v>
      </c>
      <c r="S33" s="7" t="s">
        <v>56</v>
      </c>
      <c r="T33" s="8" t="s">
        <v>57</v>
      </c>
      <c r="U33" s="22" t="s">
        <v>63</v>
      </c>
      <c r="V33" s="23" t="s">
        <v>62</v>
      </c>
      <c r="W33" s="7" t="s">
        <v>58</v>
      </c>
      <c r="X33" s="8" t="s">
        <v>59</v>
      </c>
      <c r="Y33" s="67" t="s">
        <v>60</v>
      </c>
      <c r="Z33" s="54" t="s">
        <v>61</v>
      </c>
      <c r="AE33" s="75"/>
    </row>
    <row r="34" spans="2:31" x14ac:dyDescent="0.25">
      <c r="B34" s="9" t="s">
        <v>33</v>
      </c>
      <c r="C34" s="58">
        <v>2.1000000000000001E-2</v>
      </c>
      <c r="D34" s="17">
        <v>0.97196069478565605</v>
      </c>
      <c r="E34" s="28">
        <v>7.7999999999999996E-3</v>
      </c>
      <c r="F34" s="29">
        <v>0.97120648092692796</v>
      </c>
      <c r="G34" s="16">
        <v>1.7999999999999999E-2</v>
      </c>
      <c r="H34" s="17">
        <v>0.96957324806955403</v>
      </c>
      <c r="I34" s="28">
        <v>1.43E-2</v>
      </c>
      <c r="J34" s="29">
        <v>0.96662701776946303</v>
      </c>
      <c r="K34" s="16">
        <v>3.0000000000000001E-3</v>
      </c>
      <c r="L34" s="17">
        <v>0.96560425448737197</v>
      </c>
      <c r="M34" s="28">
        <v>1.32E-2</v>
      </c>
      <c r="N34" s="29">
        <v>0.96510421533438395</v>
      </c>
      <c r="O34" s="92" t="s">
        <v>80</v>
      </c>
      <c r="P34" s="93" t="s">
        <v>80</v>
      </c>
      <c r="Q34" s="96" t="s">
        <v>80</v>
      </c>
      <c r="R34" s="100" t="s">
        <v>80</v>
      </c>
      <c r="S34" s="92" t="s">
        <v>80</v>
      </c>
      <c r="T34" s="93" t="s">
        <v>80</v>
      </c>
      <c r="U34" s="96" t="s">
        <v>80</v>
      </c>
      <c r="V34" s="100" t="s">
        <v>80</v>
      </c>
      <c r="W34" s="92" t="s">
        <v>80</v>
      </c>
      <c r="X34" s="93" t="s">
        <v>80</v>
      </c>
      <c r="Y34" s="96" t="s">
        <v>80</v>
      </c>
      <c r="Z34" s="97" t="s">
        <v>80</v>
      </c>
      <c r="AE34" s="75"/>
    </row>
    <row r="35" spans="2:31" x14ac:dyDescent="0.25">
      <c r="B35" s="12" t="s">
        <v>34</v>
      </c>
      <c r="C35" s="59">
        <v>1E-4</v>
      </c>
      <c r="D35" s="11">
        <v>2.8039305214344001E-2</v>
      </c>
      <c r="E35" s="24">
        <v>-1E-4</v>
      </c>
      <c r="F35" s="25">
        <v>2.8793519073072101E-2</v>
      </c>
      <c r="G35" s="10">
        <v>5.0000000000000001E-4</v>
      </c>
      <c r="H35" s="11">
        <v>3.0426751930445702E-2</v>
      </c>
      <c r="I35" s="24">
        <v>-1.11022302462516E-18</v>
      </c>
      <c r="J35" s="25">
        <v>3.3372982230536599E-2</v>
      </c>
      <c r="K35" s="10">
        <v>-2.9999999999999997E-4</v>
      </c>
      <c r="L35" s="11">
        <v>3.4395745512628001E-2</v>
      </c>
      <c r="M35" s="24">
        <v>1.9999999999999901E-4</v>
      </c>
      <c r="N35" s="25">
        <v>3.4895784665615798E-2</v>
      </c>
      <c r="O35" s="76" t="s">
        <v>80</v>
      </c>
      <c r="P35" s="77" t="s">
        <v>80</v>
      </c>
      <c r="Q35" s="83" t="s">
        <v>80</v>
      </c>
      <c r="R35" s="84" t="s">
        <v>80</v>
      </c>
      <c r="S35" s="76" t="s">
        <v>80</v>
      </c>
      <c r="T35" s="77" t="s">
        <v>80</v>
      </c>
      <c r="U35" s="83" t="s">
        <v>80</v>
      </c>
      <c r="V35" s="84" t="s">
        <v>80</v>
      </c>
      <c r="W35" s="76" t="s">
        <v>80</v>
      </c>
      <c r="X35" s="77" t="s">
        <v>80</v>
      </c>
      <c r="Y35" s="83" t="s">
        <v>80</v>
      </c>
      <c r="Z35" s="89" t="s">
        <v>80</v>
      </c>
      <c r="AE35" s="75"/>
    </row>
    <row r="36" spans="2:31" x14ac:dyDescent="0.25">
      <c r="B36" s="30" t="s">
        <v>43</v>
      </c>
      <c r="C36" s="62">
        <v>2.1100000000000001E-2</v>
      </c>
      <c r="D36" s="63">
        <v>1</v>
      </c>
      <c r="E36" s="64">
        <v>7.7000000000000002E-3</v>
      </c>
      <c r="F36" s="65">
        <v>1</v>
      </c>
      <c r="G36" s="66">
        <v>1.8499999999999999E-2</v>
      </c>
      <c r="H36" s="63">
        <v>1</v>
      </c>
      <c r="I36" s="64">
        <v>1.43E-2</v>
      </c>
      <c r="J36" s="65">
        <v>1</v>
      </c>
      <c r="K36" s="66">
        <v>2.7000000000000001E-3</v>
      </c>
      <c r="L36" s="63">
        <v>1</v>
      </c>
      <c r="M36" s="64">
        <v>1.34E-2</v>
      </c>
      <c r="N36" s="65">
        <v>1</v>
      </c>
      <c r="O36" s="94" t="s">
        <v>80</v>
      </c>
      <c r="P36" s="95" t="s">
        <v>80</v>
      </c>
      <c r="Q36" s="98" t="s">
        <v>80</v>
      </c>
      <c r="R36" s="101" t="s">
        <v>80</v>
      </c>
      <c r="S36" s="94" t="s">
        <v>80</v>
      </c>
      <c r="T36" s="95" t="s">
        <v>80</v>
      </c>
      <c r="U36" s="98" t="s">
        <v>80</v>
      </c>
      <c r="V36" s="101" t="s">
        <v>80</v>
      </c>
      <c r="W36" s="94" t="s">
        <v>80</v>
      </c>
      <c r="X36" s="95" t="s">
        <v>80</v>
      </c>
      <c r="Y36" s="98" t="s">
        <v>80</v>
      </c>
      <c r="Z36" s="99" t="s">
        <v>80</v>
      </c>
      <c r="AE36" s="75"/>
    </row>
    <row r="37" spans="2:31" x14ac:dyDescent="0.25">
      <c r="B37" s="73" t="s">
        <v>72</v>
      </c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E37" s="75"/>
    </row>
    <row r="38" spans="2:31" ht="15.75" x14ac:dyDescent="0.25">
      <c r="C38" s="35" t="s">
        <v>0</v>
      </c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7"/>
      <c r="AE38" s="75"/>
    </row>
    <row r="39" spans="2:31" ht="15.75" x14ac:dyDescent="0.25">
      <c r="B39" s="19" t="s">
        <v>40</v>
      </c>
      <c r="C39" s="3" t="str">
        <f ca="1">CONCATENATE(INDIRECT(CONCATENATE($C$3,$C$4))," ",$B$4)</f>
        <v>ינואר 2019</v>
      </c>
      <c r="D39" s="4"/>
      <c r="E39" s="20" t="str">
        <f ca="1">CONCATENATE(INDIRECT(CONCATENATE($C$3,$E$4))," ",$B$4)</f>
        <v>פברואר 2019</v>
      </c>
      <c r="F39" s="21"/>
      <c r="G39" s="3" t="str">
        <f ca="1">CONCATENATE(INDIRECT(CONCATENATE($C$3,$G$4))," ",$B$4)</f>
        <v>מרץ 2019</v>
      </c>
      <c r="H39" s="4"/>
      <c r="I39" s="20" t="str">
        <f ca="1">CONCATENATE(INDIRECT(CONCATENATE($C$3,$I$4))," ",$B$4)</f>
        <v>אפריל 2019</v>
      </c>
      <c r="J39" s="21"/>
      <c r="K39" s="3" t="str">
        <f ca="1">CONCATENATE(INDIRECT(CONCATENATE($C$3,$K$4))," ",$B$4)</f>
        <v>מאי 2019</v>
      </c>
      <c r="L39" s="4"/>
      <c r="M39" s="20" t="str">
        <f ca="1">CONCATENATE(INDIRECT(CONCATENATE($C$3,$M$4))," ",$B$4)</f>
        <v>יוני 2019</v>
      </c>
      <c r="N39" s="21"/>
      <c r="O39" s="3" t="str">
        <f ca="1">CONCATENATE(INDIRECT(CONCATENATE($C$3,$O$4))," ",$B$4)</f>
        <v>יולי 2019</v>
      </c>
      <c r="P39" s="4"/>
      <c r="Q39" s="20" t="str">
        <f ca="1">CONCATENATE(INDIRECT(CONCATENATE($C$3,$Q$4))," ",$B$4)</f>
        <v>אוגוסט 2019</v>
      </c>
      <c r="R39" s="21"/>
      <c r="S39" s="3" t="str">
        <f ca="1">CONCATENATE(INDIRECT(CONCATENATE($C$3,$S$4))," ",$B$4)</f>
        <v>ספטמבר 2019</v>
      </c>
      <c r="T39" s="4"/>
      <c r="U39" s="20" t="str">
        <f ca="1">CONCATENATE(INDIRECT(CONCATENATE($C$3,$U$4))," ",$B$4)</f>
        <v>אוקטובר 2019</v>
      </c>
      <c r="V39" s="21"/>
      <c r="W39" s="3" t="str">
        <f ca="1">CONCATENATE(INDIRECT(CONCATENATE($C$3,$W$4))," ",$B$4)</f>
        <v>נובמבר 2019</v>
      </c>
      <c r="X39" s="4"/>
      <c r="Y39" s="20" t="str">
        <f ca="1">CONCATENATE(INDIRECT(CONCATENATE($C$3,$Y$4))," ",$B$4)</f>
        <v>דצמבר 2019</v>
      </c>
      <c r="Z39" s="21"/>
      <c r="AE39" s="75"/>
    </row>
    <row r="40" spans="2:31" ht="30" x14ac:dyDescent="0.25">
      <c r="B40" s="6"/>
      <c r="C40" s="7" t="s">
        <v>49</v>
      </c>
      <c r="D40" s="8" t="s">
        <v>2</v>
      </c>
      <c r="E40" s="22" t="s">
        <v>71</v>
      </c>
      <c r="F40" s="23" t="s">
        <v>70</v>
      </c>
      <c r="G40" s="7" t="s">
        <v>50</v>
      </c>
      <c r="H40" s="8" t="s">
        <v>51</v>
      </c>
      <c r="I40" s="22" t="s">
        <v>69</v>
      </c>
      <c r="J40" s="23" t="s">
        <v>68</v>
      </c>
      <c r="K40" s="7" t="s">
        <v>52</v>
      </c>
      <c r="L40" s="8" t="s">
        <v>53</v>
      </c>
      <c r="M40" s="22" t="s">
        <v>67</v>
      </c>
      <c r="N40" s="23" t="s">
        <v>66</v>
      </c>
      <c r="O40" s="7" t="s">
        <v>54</v>
      </c>
      <c r="P40" s="8" t="s">
        <v>55</v>
      </c>
      <c r="Q40" s="22" t="s">
        <v>65</v>
      </c>
      <c r="R40" s="23" t="s">
        <v>64</v>
      </c>
      <c r="S40" s="7" t="s">
        <v>56</v>
      </c>
      <c r="T40" s="8" t="s">
        <v>57</v>
      </c>
      <c r="U40" s="22" t="s">
        <v>63</v>
      </c>
      <c r="V40" s="23" t="s">
        <v>62</v>
      </c>
      <c r="W40" s="7" t="s">
        <v>58</v>
      </c>
      <c r="X40" s="8" t="s">
        <v>59</v>
      </c>
      <c r="Y40" s="67" t="s">
        <v>60</v>
      </c>
      <c r="Z40" s="54" t="s">
        <v>61</v>
      </c>
      <c r="AE40" s="75"/>
    </row>
    <row r="41" spans="2:31" x14ac:dyDescent="0.25">
      <c r="B41" s="9" t="s">
        <v>35</v>
      </c>
      <c r="C41" s="58">
        <v>1.4200000000000001E-2</v>
      </c>
      <c r="D41" s="17">
        <v>0.50843758957817198</v>
      </c>
      <c r="E41" s="28">
        <v>3.8999999999999998E-3</v>
      </c>
      <c r="F41" s="29">
        <v>0.50840353110875403</v>
      </c>
      <c r="G41" s="16">
        <v>9.9000000000000008E-3</v>
      </c>
      <c r="H41" s="17">
        <v>0.508489623033203</v>
      </c>
      <c r="I41" s="28">
        <v>8.0000000000000002E-3</v>
      </c>
      <c r="J41" s="29">
        <v>0.50336040499097801</v>
      </c>
      <c r="K41" s="16">
        <v>-2.8E-3</v>
      </c>
      <c r="L41" s="17">
        <v>0.49771418414393598</v>
      </c>
      <c r="M41" s="28">
        <v>8.5000000000000006E-3</v>
      </c>
      <c r="N41" s="29">
        <v>0.498799347219474</v>
      </c>
      <c r="O41" s="92" t="s">
        <v>80</v>
      </c>
      <c r="P41" s="93" t="s">
        <v>80</v>
      </c>
      <c r="Q41" s="96" t="s">
        <v>80</v>
      </c>
      <c r="R41" s="100" t="s">
        <v>80</v>
      </c>
      <c r="S41" s="92" t="s">
        <v>80</v>
      </c>
      <c r="T41" s="93" t="s">
        <v>80</v>
      </c>
      <c r="U41" s="96" t="s">
        <v>80</v>
      </c>
      <c r="V41" s="100" t="s">
        <v>80</v>
      </c>
      <c r="W41" s="92" t="s">
        <v>80</v>
      </c>
      <c r="X41" s="93" t="s">
        <v>80</v>
      </c>
      <c r="Y41" s="96" t="s">
        <v>80</v>
      </c>
      <c r="Z41" s="97" t="s">
        <v>80</v>
      </c>
      <c r="AE41" s="75"/>
    </row>
    <row r="42" spans="2:31" x14ac:dyDescent="0.25">
      <c r="B42" s="12" t="s">
        <v>36</v>
      </c>
      <c r="C42" s="59">
        <v>6.8999999999999999E-3</v>
      </c>
      <c r="D42" s="11">
        <v>0.49156241042182802</v>
      </c>
      <c r="E42" s="24">
        <v>3.8E-3</v>
      </c>
      <c r="F42" s="25">
        <v>0.49159646889124597</v>
      </c>
      <c r="G42" s="10">
        <v>8.6E-3</v>
      </c>
      <c r="H42" s="11">
        <v>0.491510376966797</v>
      </c>
      <c r="I42" s="24">
        <v>6.3E-3</v>
      </c>
      <c r="J42" s="25">
        <v>0.49663959500902199</v>
      </c>
      <c r="K42" s="10">
        <v>5.4999999999999997E-3</v>
      </c>
      <c r="L42" s="11">
        <v>0.50228581585606402</v>
      </c>
      <c r="M42" s="24">
        <v>4.8999999999999998E-3</v>
      </c>
      <c r="N42" s="25">
        <v>0.50120065278052595</v>
      </c>
      <c r="O42" s="76" t="s">
        <v>80</v>
      </c>
      <c r="P42" s="77" t="s">
        <v>80</v>
      </c>
      <c r="Q42" s="83" t="s">
        <v>80</v>
      </c>
      <c r="R42" s="84" t="s">
        <v>80</v>
      </c>
      <c r="S42" s="76" t="s">
        <v>80</v>
      </c>
      <c r="T42" s="77" t="s">
        <v>80</v>
      </c>
      <c r="U42" s="83" t="s">
        <v>80</v>
      </c>
      <c r="V42" s="84" t="s">
        <v>80</v>
      </c>
      <c r="W42" s="76" t="s">
        <v>80</v>
      </c>
      <c r="X42" s="77" t="s">
        <v>80</v>
      </c>
      <c r="Y42" s="83" t="s">
        <v>80</v>
      </c>
      <c r="Z42" s="89" t="s">
        <v>80</v>
      </c>
      <c r="AE42" s="75"/>
    </row>
    <row r="43" spans="2:31" x14ac:dyDescent="0.25">
      <c r="B43" s="30" t="s">
        <v>43</v>
      </c>
      <c r="C43" s="62">
        <v>2.1100000000000001E-2</v>
      </c>
      <c r="D43" s="63">
        <v>1</v>
      </c>
      <c r="E43" s="64">
        <v>7.7000000000000002E-3</v>
      </c>
      <c r="F43" s="65">
        <v>1</v>
      </c>
      <c r="G43" s="66">
        <v>1.8499999999999999E-2</v>
      </c>
      <c r="H43" s="63">
        <v>1</v>
      </c>
      <c r="I43" s="64">
        <v>1.43E-2</v>
      </c>
      <c r="J43" s="65">
        <v>1</v>
      </c>
      <c r="K43" s="66">
        <v>2.7000000000000001E-3</v>
      </c>
      <c r="L43" s="63">
        <v>1</v>
      </c>
      <c r="M43" s="64">
        <v>1.34E-2</v>
      </c>
      <c r="N43" s="65">
        <v>1</v>
      </c>
      <c r="O43" s="94" t="s">
        <v>80</v>
      </c>
      <c r="P43" s="95" t="s">
        <v>80</v>
      </c>
      <c r="Q43" s="98" t="s">
        <v>80</v>
      </c>
      <c r="R43" s="101" t="s">
        <v>80</v>
      </c>
      <c r="S43" s="94" t="s">
        <v>80</v>
      </c>
      <c r="T43" s="95" t="s">
        <v>80</v>
      </c>
      <c r="U43" s="98" t="s">
        <v>80</v>
      </c>
      <c r="V43" s="101" t="s">
        <v>80</v>
      </c>
      <c r="W43" s="94" t="s">
        <v>80</v>
      </c>
      <c r="X43" s="95" t="s">
        <v>80</v>
      </c>
      <c r="Y43" s="98" t="s">
        <v>80</v>
      </c>
      <c r="Z43" s="99" t="s">
        <v>80</v>
      </c>
      <c r="AE43" s="75"/>
    </row>
    <row r="44" spans="2:31" x14ac:dyDescent="0.25">
      <c r="B44" s="103" t="s">
        <v>72</v>
      </c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E44" s="75"/>
    </row>
    <row r="45" spans="2:31" x14ac:dyDescent="0.25">
      <c r="B45" s="31" t="s">
        <v>44</v>
      </c>
      <c r="C45" s="104" t="s">
        <v>80</v>
      </c>
      <c r="D45" s="105" t="s">
        <v>80</v>
      </c>
      <c r="E45" s="104" t="s">
        <v>80</v>
      </c>
      <c r="F45" s="105" t="s">
        <v>80</v>
      </c>
      <c r="G45" s="32">
        <v>2.8E-3</v>
      </c>
      <c r="H45" s="105" t="s">
        <v>80</v>
      </c>
      <c r="I45" s="104" t="s">
        <v>80</v>
      </c>
      <c r="J45" s="105" t="s">
        <v>80</v>
      </c>
      <c r="K45" s="104" t="s">
        <v>80</v>
      </c>
      <c r="L45" s="105" t="s">
        <v>80</v>
      </c>
      <c r="M45" s="32">
        <v>2.8999999999999998E-3</v>
      </c>
      <c r="N45" s="105" t="s">
        <v>80</v>
      </c>
      <c r="O45" s="104" t="s">
        <v>80</v>
      </c>
      <c r="P45" s="105" t="s">
        <v>80</v>
      </c>
      <c r="Q45" s="104" t="s">
        <v>80</v>
      </c>
      <c r="R45" s="105" t="s">
        <v>80</v>
      </c>
      <c r="S45" s="104" t="s">
        <v>80</v>
      </c>
      <c r="T45" s="105" t="s">
        <v>80</v>
      </c>
      <c r="U45" s="104" t="s">
        <v>80</v>
      </c>
      <c r="V45" s="105" t="s">
        <v>80</v>
      </c>
      <c r="W45" s="104" t="s">
        <v>80</v>
      </c>
      <c r="X45" s="105" t="s">
        <v>80</v>
      </c>
      <c r="Y45" s="105" t="s">
        <v>80</v>
      </c>
      <c r="Z45" s="105" t="s">
        <v>80</v>
      </c>
      <c r="AE45" s="75"/>
    </row>
    <row r="46" spans="2:31" x14ac:dyDescent="0.25">
      <c r="B46" s="33" t="s">
        <v>45</v>
      </c>
      <c r="C46" s="106" t="s">
        <v>80</v>
      </c>
      <c r="D46" s="107" t="s">
        <v>80</v>
      </c>
      <c r="E46" s="106" t="s">
        <v>80</v>
      </c>
      <c r="F46" s="107" t="s">
        <v>80</v>
      </c>
      <c r="G46" s="34">
        <f>G43+G45</f>
        <v>2.1299999999999999E-2</v>
      </c>
      <c r="H46" s="107" t="s">
        <v>80</v>
      </c>
      <c r="I46" s="106" t="s">
        <v>80</v>
      </c>
      <c r="J46" s="107" t="s">
        <v>80</v>
      </c>
      <c r="K46" s="106" t="s">
        <v>80</v>
      </c>
      <c r="L46" s="107" t="s">
        <v>80</v>
      </c>
      <c r="M46" s="34">
        <f>M43+M45</f>
        <v>1.6300000000000002E-2</v>
      </c>
      <c r="N46" s="107" t="s">
        <v>80</v>
      </c>
      <c r="O46" s="106" t="s">
        <v>80</v>
      </c>
      <c r="P46" s="107" t="s">
        <v>80</v>
      </c>
      <c r="Q46" s="106" t="s">
        <v>80</v>
      </c>
      <c r="R46" s="107" t="s">
        <v>80</v>
      </c>
      <c r="S46" s="106" t="s">
        <v>80</v>
      </c>
      <c r="T46" s="107" t="s">
        <v>80</v>
      </c>
      <c r="U46" s="106" t="s">
        <v>80</v>
      </c>
      <c r="V46" s="107" t="s">
        <v>80</v>
      </c>
      <c r="W46" s="106" t="s">
        <v>80</v>
      </c>
      <c r="X46" s="107" t="s">
        <v>80</v>
      </c>
      <c r="Y46" s="106" t="s">
        <v>80</v>
      </c>
      <c r="Z46" s="107" t="s">
        <v>80</v>
      </c>
      <c r="AE46" s="75"/>
    </row>
    <row r="47" spans="2:31" x14ac:dyDescent="0.25">
      <c r="B47" s="73" t="s">
        <v>72</v>
      </c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E47" s="75"/>
    </row>
    <row r="48" spans="2:31" ht="15.75" x14ac:dyDescent="0.25">
      <c r="C48" s="46" t="s">
        <v>0</v>
      </c>
      <c r="D48" s="46"/>
      <c r="E48" s="46"/>
      <c r="F48" s="46"/>
      <c r="G48" s="46"/>
      <c r="H48" s="46"/>
      <c r="I48" s="46"/>
      <c r="J48" s="46"/>
      <c r="K48" s="73" t="s">
        <v>79</v>
      </c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E48" s="75"/>
    </row>
    <row r="49" spans="2:31" ht="15.75" x14ac:dyDescent="0.25">
      <c r="B49" s="19" t="s">
        <v>37</v>
      </c>
      <c r="C49" s="38" t="str">
        <f ca="1">CONCATENATE(INDIRECT(CONCATENATE($C$3,C4))," - ",INDIRECT(CONCATENATE($C$3,G4))," ",$B$4)</f>
        <v>ינואר - מרץ 2019</v>
      </c>
      <c r="D49" s="39"/>
      <c r="E49" s="40" t="str">
        <f ca="1">CONCATENATE(INDIRECT(CONCATENATE($C$3,C4))," - ",INDIRECT(CONCATENATE($C$3,M4))," ",$B$4)</f>
        <v>ינואר - יוני 2019</v>
      </c>
      <c r="F49" s="41"/>
      <c r="G49" s="38" t="str">
        <f ca="1">CONCATENATE(INDIRECT(CONCATENATE($C$3,C4))," - ",INDIRECT(CONCATENATE($C$3,S4))," ",$B$4)</f>
        <v>ינואר - ספטמבר 2019</v>
      </c>
      <c r="H49" s="39"/>
      <c r="I49" s="40" t="str">
        <f ca="1">CONCATENATE(INDIRECT(CONCATENATE($C$3,C4))," - ",INDIRECT(CONCATENATE($C$3,Y4))," ",$B$4)</f>
        <v>ינואר - דצמבר 2019</v>
      </c>
      <c r="J49" s="41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E49" s="75"/>
    </row>
    <row r="50" spans="2:31" ht="18.75" x14ac:dyDescent="0.25">
      <c r="B50" s="74" t="s">
        <v>73</v>
      </c>
      <c r="C50" s="7" t="s">
        <v>74</v>
      </c>
      <c r="D50" s="8" t="s">
        <v>2</v>
      </c>
      <c r="E50" s="22" t="s">
        <v>75</v>
      </c>
      <c r="F50" s="23" t="s">
        <v>70</v>
      </c>
      <c r="G50" s="7" t="s">
        <v>76</v>
      </c>
      <c r="H50" s="8" t="s">
        <v>77</v>
      </c>
      <c r="I50" s="22" t="s">
        <v>78</v>
      </c>
      <c r="J50" s="54" t="s">
        <v>68</v>
      </c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E50" s="75"/>
    </row>
    <row r="51" spans="2:31" x14ac:dyDescent="0.25">
      <c r="B51" s="51" t="s">
        <v>4</v>
      </c>
      <c r="C51" s="10">
        <v>0</v>
      </c>
      <c r="D51" s="11">
        <v>2.8411849430351702E-2</v>
      </c>
      <c r="E51" s="24">
        <v>0</v>
      </c>
      <c r="F51" s="25">
        <v>3.4789602644537398E-2</v>
      </c>
      <c r="G51" s="76" t="s">
        <v>80</v>
      </c>
      <c r="H51" s="77" t="s">
        <v>80</v>
      </c>
      <c r="I51" s="83" t="s">
        <v>80</v>
      </c>
      <c r="J51" s="89" t="s">
        <v>80</v>
      </c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E51" s="75"/>
    </row>
    <row r="52" spans="2:31" x14ac:dyDescent="0.25">
      <c r="B52" s="52" t="s">
        <v>6</v>
      </c>
      <c r="C52" s="10">
        <v>3.5099999999999999E-2</v>
      </c>
      <c r="D52" s="11">
        <v>0.66046009689044805</v>
      </c>
      <c r="E52" s="24">
        <v>5.9299999999999999E-2</v>
      </c>
      <c r="F52" s="25">
        <v>0.66749697638918404</v>
      </c>
      <c r="G52" s="76" t="s">
        <v>80</v>
      </c>
      <c r="H52" s="77" t="s">
        <v>80</v>
      </c>
      <c r="I52" s="83" t="s">
        <v>80</v>
      </c>
      <c r="J52" s="89" t="s">
        <v>80</v>
      </c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E52" s="75"/>
    </row>
    <row r="53" spans="2:31" x14ac:dyDescent="0.25">
      <c r="B53" s="52" t="s">
        <v>8</v>
      </c>
      <c r="C53" s="10">
        <v>0</v>
      </c>
      <c r="D53" s="11">
        <v>0</v>
      </c>
      <c r="E53" s="24">
        <v>0</v>
      </c>
      <c r="F53" s="25">
        <v>0</v>
      </c>
      <c r="G53" s="76" t="s">
        <v>80</v>
      </c>
      <c r="H53" s="77" t="s">
        <v>80</v>
      </c>
      <c r="I53" s="83" t="s">
        <v>80</v>
      </c>
      <c r="J53" s="89" t="s">
        <v>80</v>
      </c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E53" s="75"/>
    </row>
    <row r="54" spans="2:31" x14ac:dyDescent="0.25">
      <c r="B54" s="52" t="s">
        <v>10</v>
      </c>
      <c r="C54" s="10">
        <v>0</v>
      </c>
      <c r="D54" s="11">
        <v>0</v>
      </c>
      <c r="E54" s="24">
        <v>0</v>
      </c>
      <c r="F54" s="25">
        <v>0</v>
      </c>
      <c r="G54" s="76" t="s">
        <v>80</v>
      </c>
      <c r="H54" s="77" t="s">
        <v>80</v>
      </c>
      <c r="I54" s="83" t="s">
        <v>80</v>
      </c>
      <c r="J54" s="89" t="s">
        <v>80</v>
      </c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E54" s="75"/>
    </row>
    <row r="55" spans="2:31" x14ac:dyDescent="0.25">
      <c r="B55" s="52" t="s">
        <v>12</v>
      </c>
      <c r="C55" s="10">
        <v>2.8E-3</v>
      </c>
      <c r="D55" s="11">
        <v>6.4172170192477798E-2</v>
      </c>
      <c r="E55" s="24">
        <v>4.1000000000000003E-3</v>
      </c>
      <c r="F55" s="25">
        <v>5.6718332186326999E-2</v>
      </c>
      <c r="G55" s="76" t="s">
        <v>80</v>
      </c>
      <c r="H55" s="77" t="s">
        <v>80</v>
      </c>
      <c r="I55" s="83" t="s">
        <v>80</v>
      </c>
      <c r="J55" s="89" t="s">
        <v>80</v>
      </c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E55" s="75"/>
    </row>
    <row r="56" spans="2:31" x14ac:dyDescent="0.25">
      <c r="B56" s="52" t="s">
        <v>14</v>
      </c>
      <c r="C56" s="10">
        <v>1.4E-3</v>
      </c>
      <c r="D56" s="11">
        <v>2.1630689929417201E-2</v>
      </c>
      <c r="E56" s="24">
        <v>2.2000000000000001E-3</v>
      </c>
      <c r="F56" s="25">
        <v>2.1358949828555299E-2</v>
      </c>
      <c r="G56" s="76" t="s">
        <v>80</v>
      </c>
      <c r="H56" s="77" t="s">
        <v>80</v>
      </c>
      <c r="I56" s="83" t="s">
        <v>80</v>
      </c>
      <c r="J56" s="89" t="s">
        <v>80</v>
      </c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E56" s="75"/>
    </row>
    <row r="57" spans="2:31" x14ac:dyDescent="0.25">
      <c r="B57" s="52" t="s">
        <v>16</v>
      </c>
      <c r="C57" s="10">
        <v>3.3999999999999998E-3</v>
      </c>
      <c r="D57" s="11">
        <v>5.4610975242322397E-2</v>
      </c>
      <c r="E57" s="24">
        <v>6.4999999999999997E-3</v>
      </c>
      <c r="F57" s="25">
        <v>5.1854705290028003E-2</v>
      </c>
      <c r="G57" s="76" t="s">
        <v>80</v>
      </c>
      <c r="H57" s="77" t="s">
        <v>80</v>
      </c>
      <c r="I57" s="83" t="s">
        <v>80</v>
      </c>
      <c r="J57" s="89" t="s">
        <v>80</v>
      </c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E57" s="75"/>
    </row>
    <row r="58" spans="2:31" x14ac:dyDescent="0.25">
      <c r="B58" s="52" t="s">
        <v>18</v>
      </c>
      <c r="C58" s="10">
        <v>5.1999999999999998E-3</v>
      </c>
      <c r="D58" s="11">
        <v>7.1468189224308198E-2</v>
      </c>
      <c r="E58" s="24">
        <v>6.7999999999999996E-3</v>
      </c>
      <c r="F58" s="25">
        <v>6.5080051294091903E-2</v>
      </c>
      <c r="G58" s="76" t="s">
        <v>80</v>
      </c>
      <c r="H58" s="77" t="s">
        <v>80</v>
      </c>
      <c r="I58" s="83" t="s">
        <v>80</v>
      </c>
      <c r="J58" s="89" t="s">
        <v>80</v>
      </c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E58" s="75"/>
    </row>
    <row r="59" spans="2:31" x14ac:dyDescent="0.25">
      <c r="B59" s="52" t="s">
        <v>20</v>
      </c>
      <c r="C59" s="10">
        <v>2.0000000000000001E-4</v>
      </c>
      <c r="D59" s="11">
        <v>3.9289343051525901E-3</v>
      </c>
      <c r="E59" s="24">
        <v>2.9999999999999997E-4</v>
      </c>
      <c r="F59" s="25">
        <v>3.5106059559598599E-3</v>
      </c>
      <c r="G59" s="76" t="s">
        <v>80</v>
      </c>
      <c r="H59" s="77" t="s">
        <v>80</v>
      </c>
      <c r="I59" s="83" t="s">
        <v>80</v>
      </c>
      <c r="J59" s="89" t="s">
        <v>80</v>
      </c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E59" s="75"/>
    </row>
    <row r="60" spans="2:31" x14ac:dyDescent="0.25">
      <c r="B60" s="52" t="s">
        <v>22</v>
      </c>
      <c r="C60" s="10">
        <v>-8.0000000000000004E-4</v>
      </c>
      <c r="D60" s="11">
        <v>5.0174336788848001E-2</v>
      </c>
      <c r="E60" s="24">
        <v>-2.9999999999999997E-4</v>
      </c>
      <c r="F60" s="25">
        <v>5.58916985045202E-2</v>
      </c>
      <c r="G60" s="76" t="s">
        <v>80</v>
      </c>
      <c r="H60" s="77" t="s">
        <v>80</v>
      </c>
      <c r="I60" s="83" t="s">
        <v>80</v>
      </c>
      <c r="J60" s="89" t="s">
        <v>80</v>
      </c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E60" s="75"/>
    </row>
    <row r="61" spans="2:31" x14ac:dyDescent="0.25">
      <c r="B61" s="52" t="s">
        <v>24</v>
      </c>
      <c r="C61" s="10">
        <v>0</v>
      </c>
      <c r="D61" s="11">
        <v>2.2521844945561699E-5</v>
      </c>
      <c r="E61" s="24">
        <v>1E-4</v>
      </c>
      <c r="F61" s="25">
        <v>2.01415038351575E-5</v>
      </c>
      <c r="G61" s="76" t="s">
        <v>80</v>
      </c>
      <c r="H61" s="77" t="s">
        <v>80</v>
      </c>
      <c r="I61" s="83" t="s">
        <v>80</v>
      </c>
      <c r="J61" s="89" t="s">
        <v>80</v>
      </c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E61" s="75"/>
    </row>
    <row r="62" spans="2:31" x14ac:dyDescent="0.25">
      <c r="B62" s="52" t="s">
        <v>25</v>
      </c>
      <c r="C62" s="10">
        <v>0</v>
      </c>
      <c r="D62" s="11">
        <v>0</v>
      </c>
      <c r="E62" s="24">
        <v>0</v>
      </c>
      <c r="F62" s="25">
        <v>0</v>
      </c>
      <c r="G62" s="76" t="s">
        <v>80</v>
      </c>
      <c r="H62" s="77" t="s">
        <v>80</v>
      </c>
      <c r="I62" s="83" t="s">
        <v>80</v>
      </c>
      <c r="J62" s="89" t="s">
        <v>80</v>
      </c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E62" s="75"/>
    </row>
    <row r="63" spans="2:31" x14ac:dyDescent="0.25">
      <c r="B63" s="52" t="s">
        <v>26</v>
      </c>
      <c r="C63" s="10">
        <v>0</v>
      </c>
      <c r="D63" s="11">
        <v>0</v>
      </c>
      <c r="E63" s="24">
        <v>0</v>
      </c>
      <c r="F63" s="25">
        <v>0</v>
      </c>
      <c r="G63" s="76" t="s">
        <v>80</v>
      </c>
      <c r="H63" s="77" t="s">
        <v>80</v>
      </c>
      <c r="I63" s="83" t="s">
        <v>80</v>
      </c>
      <c r="J63" s="89" t="s">
        <v>80</v>
      </c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E63" s="75"/>
    </row>
    <row r="64" spans="2:31" x14ac:dyDescent="0.25">
      <c r="B64" s="52" t="s">
        <v>27</v>
      </c>
      <c r="C64" s="10">
        <v>0</v>
      </c>
      <c r="D64" s="11">
        <v>0</v>
      </c>
      <c r="E64" s="24">
        <v>0</v>
      </c>
      <c r="F64" s="25">
        <v>0</v>
      </c>
      <c r="G64" s="76" t="s">
        <v>80</v>
      </c>
      <c r="H64" s="77" t="s">
        <v>80</v>
      </c>
      <c r="I64" s="83" t="s">
        <v>80</v>
      </c>
      <c r="J64" s="89" t="s">
        <v>80</v>
      </c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E64" s="75"/>
    </row>
    <row r="65" spans="2:31" x14ac:dyDescent="0.25">
      <c r="B65" s="52" t="s">
        <v>28</v>
      </c>
      <c r="C65" s="10">
        <v>5.9999999999999995E-4</v>
      </c>
      <c r="D65" s="11">
        <v>4.2997967634790003E-2</v>
      </c>
      <c r="E65" s="24">
        <v>1.4E-3</v>
      </c>
      <c r="F65" s="25">
        <v>4.1241541036020103E-2</v>
      </c>
      <c r="G65" s="76" t="s">
        <v>80</v>
      </c>
      <c r="H65" s="77" t="s">
        <v>80</v>
      </c>
      <c r="I65" s="83" t="s">
        <v>80</v>
      </c>
      <c r="J65" s="89" t="s">
        <v>80</v>
      </c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E65" s="75"/>
    </row>
    <row r="66" spans="2:31" x14ac:dyDescent="0.25">
      <c r="B66" s="52" t="s">
        <v>29</v>
      </c>
      <c r="C66" s="10">
        <v>9.9999999999997105E-5</v>
      </c>
      <c r="D66" s="11">
        <v>1.4075601381414999E-3</v>
      </c>
      <c r="E66" s="24">
        <v>-4.6317116808580702E-18</v>
      </c>
      <c r="F66" s="25">
        <v>1.33915656768127E-3</v>
      </c>
      <c r="G66" s="76" t="s">
        <v>80</v>
      </c>
      <c r="H66" s="77" t="s">
        <v>80</v>
      </c>
      <c r="I66" s="83" t="s">
        <v>80</v>
      </c>
      <c r="J66" s="89" t="s">
        <v>80</v>
      </c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E66" s="75"/>
    </row>
    <row r="67" spans="2:31" x14ac:dyDescent="0.25">
      <c r="B67" s="52" t="s">
        <v>30</v>
      </c>
      <c r="C67" s="10">
        <v>0</v>
      </c>
      <c r="D67" s="11">
        <v>0</v>
      </c>
      <c r="E67" s="24">
        <v>0</v>
      </c>
      <c r="F67" s="25">
        <v>0</v>
      </c>
      <c r="G67" s="76" t="s">
        <v>80</v>
      </c>
      <c r="H67" s="77" t="s">
        <v>80</v>
      </c>
      <c r="I67" s="83" t="s">
        <v>80</v>
      </c>
      <c r="J67" s="89" t="s">
        <v>80</v>
      </c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E67" s="75"/>
    </row>
    <row r="68" spans="2:31" x14ac:dyDescent="0.25">
      <c r="B68" s="52" t="s">
        <v>31</v>
      </c>
      <c r="C68" s="10">
        <v>0</v>
      </c>
      <c r="D68" s="11">
        <v>7.1470837879714999E-4</v>
      </c>
      <c r="E68" s="24">
        <v>0</v>
      </c>
      <c r="F68" s="25">
        <v>6.98238799259704E-4</v>
      </c>
      <c r="G68" s="76" t="s">
        <v>80</v>
      </c>
      <c r="H68" s="77" t="s">
        <v>80</v>
      </c>
      <c r="I68" s="83" t="s">
        <v>80</v>
      </c>
      <c r="J68" s="89" t="s">
        <v>80</v>
      </c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E68" s="75"/>
    </row>
    <row r="69" spans="2:31" x14ac:dyDescent="0.25">
      <c r="B69" s="52" t="s">
        <v>32</v>
      </c>
      <c r="C69" s="10">
        <v>0</v>
      </c>
      <c r="D69" s="11">
        <v>0</v>
      </c>
      <c r="E69" s="24">
        <v>0</v>
      </c>
      <c r="F69" s="25">
        <v>0</v>
      </c>
      <c r="G69" s="76" t="s">
        <v>80</v>
      </c>
      <c r="H69" s="77" t="s">
        <v>80</v>
      </c>
      <c r="I69" s="83" t="s">
        <v>80</v>
      </c>
      <c r="J69" s="89" t="s">
        <v>80</v>
      </c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E69" s="75"/>
    </row>
    <row r="70" spans="2:31" x14ac:dyDescent="0.25">
      <c r="B70" s="53" t="s">
        <v>46</v>
      </c>
      <c r="C70" s="13">
        <v>4.8000000000000001E-2</v>
      </c>
      <c r="D70" s="14">
        <v>1</v>
      </c>
      <c r="E70" s="26">
        <v>8.0399999999999999E-2</v>
      </c>
      <c r="F70" s="27">
        <v>1</v>
      </c>
      <c r="G70" s="78" t="s">
        <v>80</v>
      </c>
      <c r="H70" s="79" t="s">
        <v>80</v>
      </c>
      <c r="I70" s="85" t="s">
        <v>80</v>
      </c>
      <c r="J70" s="90" t="s">
        <v>80</v>
      </c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E70" s="75"/>
    </row>
    <row r="71" spans="2:31" x14ac:dyDescent="0.25">
      <c r="B71" s="55" t="s">
        <v>38</v>
      </c>
      <c r="C71" s="56">
        <v>487738.48310937302</v>
      </c>
      <c r="D71" s="80" t="s">
        <v>80</v>
      </c>
      <c r="E71" s="57">
        <v>813723.32488797198</v>
      </c>
      <c r="F71" s="88" t="s">
        <v>80</v>
      </c>
      <c r="G71" s="82" t="s">
        <v>80</v>
      </c>
      <c r="H71" s="80" t="s">
        <v>80</v>
      </c>
      <c r="I71" s="87" t="s">
        <v>80</v>
      </c>
      <c r="J71" s="91" t="s">
        <v>80</v>
      </c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E71" s="75"/>
    </row>
    <row r="72" spans="2:31" x14ac:dyDescent="0.25">
      <c r="B72" s="73" t="s">
        <v>72</v>
      </c>
      <c r="C72" s="71"/>
      <c r="D72" s="71"/>
      <c r="E72" s="71"/>
      <c r="F72" s="71"/>
      <c r="G72" s="71"/>
      <c r="H72" s="71"/>
      <c r="I72" s="71"/>
      <c r="J72" s="71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E72" s="75"/>
    </row>
    <row r="73" spans="2:31" ht="15.75" x14ac:dyDescent="0.25">
      <c r="C73" s="46" t="s">
        <v>0</v>
      </c>
      <c r="D73" s="46"/>
      <c r="E73" s="46"/>
      <c r="F73" s="46"/>
      <c r="G73" s="46"/>
      <c r="H73" s="46"/>
      <c r="I73" s="46"/>
      <c r="J73" s="46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E73" s="75"/>
    </row>
    <row r="74" spans="2:31" ht="15.75" x14ac:dyDescent="0.25">
      <c r="B74" s="19" t="s">
        <v>37</v>
      </c>
      <c r="C74" s="38" t="str">
        <f ca="1">CONCATENATE(INDIRECT(CONCATENATE($C$3,$C$4))," - ",INDIRECT(CONCATENATE($C$3,$G$4))," ",$B$4)</f>
        <v>ינואר - מרץ 2019</v>
      </c>
      <c r="D74" s="39"/>
      <c r="E74" s="40" t="str">
        <f ca="1">CONCATENATE(INDIRECT(CONCATENATE($C$3,$C$4))," - ",INDIRECT(CONCATENATE($C$3,$M4))," ",$B$4)</f>
        <v>ינואר - יוני 2019</v>
      </c>
      <c r="F74" s="41"/>
      <c r="G74" s="38" t="str">
        <f ca="1">CONCATENATE(INDIRECT(CONCATENATE($C$3,$C$4))," - ",INDIRECT(CONCATENATE($C$3,$S$4))," ",$B$4)</f>
        <v>ינואר - ספטמבר 2019</v>
      </c>
      <c r="H74" s="39"/>
      <c r="I74" s="40" t="str">
        <f ca="1">CONCATENATE(INDIRECT(CONCATENATE($C$3,$C$4))," - ",INDIRECT(CONCATENATE($C$3,$Y4))," ",$B$4)</f>
        <v>ינואר - דצמבר 2019</v>
      </c>
      <c r="J74" s="41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E74" s="75"/>
    </row>
    <row r="75" spans="2:31" ht="18.75" x14ac:dyDescent="0.25">
      <c r="B75" s="19"/>
      <c r="C75" s="7" t="s">
        <v>74</v>
      </c>
      <c r="D75" s="60" t="s">
        <v>2</v>
      </c>
      <c r="E75" s="22" t="s">
        <v>75</v>
      </c>
      <c r="F75" s="23" t="s">
        <v>70</v>
      </c>
      <c r="G75" s="7" t="s">
        <v>76</v>
      </c>
      <c r="H75" s="8" t="s">
        <v>77</v>
      </c>
      <c r="I75" s="22" t="s">
        <v>78</v>
      </c>
      <c r="J75" s="61" t="s">
        <v>68</v>
      </c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E75" s="75"/>
    </row>
    <row r="76" spans="2:31" x14ac:dyDescent="0.25">
      <c r="B76" s="9" t="s">
        <v>33</v>
      </c>
      <c r="C76" s="58">
        <v>4.7500000000000001E-2</v>
      </c>
      <c r="D76" s="17">
        <v>0.96957324806955303</v>
      </c>
      <c r="E76" s="28">
        <v>7.9799999999999996E-2</v>
      </c>
      <c r="F76" s="29">
        <v>0.96510421533438395</v>
      </c>
      <c r="G76" s="92" t="s">
        <v>80</v>
      </c>
      <c r="H76" s="93" t="s">
        <v>80</v>
      </c>
      <c r="I76" s="96" t="s">
        <v>80</v>
      </c>
      <c r="J76" s="97" t="s">
        <v>80</v>
      </c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E76" s="75"/>
    </row>
    <row r="77" spans="2:31" x14ac:dyDescent="0.25">
      <c r="B77" s="12" t="s">
        <v>34</v>
      </c>
      <c r="C77" s="59">
        <v>4.9999999999999795E-4</v>
      </c>
      <c r="D77" s="11">
        <v>3.0426751930446898E-2</v>
      </c>
      <c r="E77" s="24">
        <v>5.9999999999997805E-4</v>
      </c>
      <c r="F77" s="25">
        <v>3.4895784665615902E-2</v>
      </c>
      <c r="G77" s="76" t="s">
        <v>80</v>
      </c>
      <c r="H77" s="77" t="s">
        <v>80</v>
      </c>
      <c r="I77" s="83" t="s">
        <v>80</v>
      </c>
      <c r="J77" s="89" t="s">
        <v>80</v>
      </c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E77" s="75"/>
    </row>
    <row r="78" spans="2:31" x14ac:dyDescent="0.25">
      <c r="B78" s="30" t="s">
        <v>46</v>
      </c>
      <c r="C78" s="62">
        <v>4.8000000000000001E-2</v>
      </c>
      <c r="D78" s="63">
        <v>1</v>
      </c>
      <c r="E78" s="64">
        <v>8.0399999999999999E-2</v>
      </c>
      <c r="F78" s="65">
        <v>1</v>
      </c>
      <c r="G78" s="94" t="s">
        <v>80</v>
      </c>
      <c r="H78" s="95" t="s">
        <v>80</v>
      </c>
      <c r="I78" s="98" t="s">
        <v>80</v>
      </c>
      <c r="J78" s="99" t="s">
        <v>80</v>
      </c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E78" s="75"/>
    </row>
    <row r="79" spans="2:31" x14ac:dyDescent="0.25">
      <c r="B79" s="73" t="s">
        <v>72</v>
      </c>
      <c r="C79" s="71"/>
      <c r="D79" s="71"/>
      <c r="E79" s="71"/>
      <c r="F79" s="71"/>
      <c r="G79" s="71"/>
      <c r="H79" s="71"/>
      <c r="I79" s="71"/>
      <c r="J79" s="71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E79" s="75"/>
    </row>
    <row r="80" spans="2:31" ht="15.75" x14ac:dyDescent="0.25">
      <c r="C80" s="46" t="s">
        <v>0</v>
      </c>
      <c r="D80" s="46"/>
      <c r="E80" s="46"/>
      <c r="F80" s="46"/>
      <c r="G80" s="46"/>
      <c r="H80" s="46"/>
      <c r="I80" s="46"/>
      <c r="J80" s="46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E80" s="75"/>
    </row>
    <row r="81" spans="2:31" ht="15.75" x14ac:dyDescent="0.25">
      <c r="B81" s="19" t="s">
        <v>37</v>
      </c>
      <c r="C81" s="38" t="str">
        <f ca="1">CONCATENATE(INDIRECT(CONCATENATE($C$3,$C$4))," - ",INDIRECT(CONCATENATE($C$3,$G$4))," ",$B$4)</f>
        <v>ינואר - מרץ 2019</v>
      </c>
      <c r="D81" s="39"/>
      <c r="E81" s="40" t="str">
        <f ca="1">CONCATENATE(INDIRECT(CONCATENATE($C$3,$C$4))," - ",INDIRECT(CONCATENATE($C$3,$M$4))," ",$B$4)</f>
        <v>ינואר - יוני 2019</v>
      </c>
      <c r="F81" s="41"/>
      <c r="G81" s="38" t="str">
        <f ca="1">CONCATENATE(INDIRECT(CONCATENATE($C$3,$C$4))," - ",INDIRECT(CONCATENATE($C$3,$S$4))," ",$B$4)</f>
        <v>ינואר - ספטמבר 2019</v>
      </c>
      <c r="H81" s="39"/>
      <c r="I81" s="40" t="str">
        <f ca="1">CONCATENATE(INDIRECT(CONCATENATE($C$3,$C$4))," - ",INDIRECT(CONCATENATE($C$3,$Y$4))," ",$B$4)</f>
        <v>ינואר - דצמבר 2019</v>
      </c>
      <c r="J81" s="41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E81" s="75"/>
    </row>
    <row r="82" spans="2:31" ht="18.75" x14ac:dyDescent="0.25">
      <c r="B82" s="19"/>
      <c r="C82" s="7" t="s">
        <v>74</v>
      </c>
      <c r="D82" s="60" t="s">
        <v>2</v>
      </c>
      <c r="E82" s="22" t="s">
        <v>75</v>
      </c>
      <c r="F82" s="23" t="s">
        <v>70</v>
      </c>
      <c r="G82" s="7" t="s">
        <v>76</v>
      </c>
      <c r="H82" s="8" t="s">
        <v>77</v>
      </c>
      <c r="I82" s="22" t="s">
        <v>78</v>
      </c>
      <c r="J82" s="61" t="s">
        <v>68</v>
      </c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E82" s="75"/>
    </row>
    <row r="83" spans="2:31" x14ac:dyDescent="0.25">
      <c r="B83" s="9" t="s">
        <v>35</v>
      </c>
      <c r="C83" s="58">
        <v>2.8400000000000002E-2</v>
      </c>
      <c r="D83" s="17">
        <v>0.508489623033203</v>
      </c>
      <c r="E83" s="28">
        <v>4.3099999999999999E-2</v>
      </c>
      <c r="F83" s="29">
        <v>0.498799347219474</v>
      </c>
      <c r="G83" s="92" t="s">
        <v>80</v>
      </c>
      <c r="H83" s="93" t="s">
        <v>80</v>
      </c>
      <c r="I83" s="96" t="s">
        <v>80</v>
      </c>
      <c r="J83" s="97" t="s">
        <v>80</v>
      </c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E83" s="75"/>
    </row>
    <row r="84" spans="2:31" x14ac:dyDescent="0.25">
      <c r="B84" s="12" t="s">
        <v>36</v>
      </c>
      <c r="C84" s="59">
        <v>1.9599999999999999E-2</v>
      </c>
      <c r="D84" s="11">
        <v>0.491510376966797</v>
      </c>
      <c r="E84" s="24">
        <v>3.73E-2</v>
      </c>
      <c r="F84" s="25">
        <v>0.50120065278052595</v>
      </c>
      <c r="G84" s="76" t="s">
        <v>80</v>
      </c>
      <c r="H84" s="77" t="s">
        <v>80</v>
      </c>
      <c r="I84" s="83" t="s">
        <v>80</v>
      </c>
      <c r="J84" s="89" t="s">
        <v>80</v>
      </c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E84" s="75"/>
    </row>
    <row r="85" spans="2:31" x14ac:dyDescent="0.25">
      <c r="B85" s="30" t="s">
        <v>46</v>
      </c>
      <c r="C85" s="62">
        <v>4.8000000000000001E-2</v>
      </c>
      <c r="D85" s="63">
        <v>1</v>
      </c>
      <c r="E85" s="64">
        <v>8.0399999999999999E-2</v>
      </c>
      <c r="F85" s="65">
        <v>1</v>
      </c>
      <c r="G85" s="94" t="s">
        <v>80</v>
      </c>
      <c r="H85" s="95" t="s">
        <v>80</v>
      </c>
      <c r="I85" s="98" t="s">
        <v>80</v>
      </c>
      <c r="J85" s="99" t="s">
        <v>80</v>
      </c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E85" s="75"/>
    </row>
    <row r="86" spans="2:31" x14ac:dyDescent="0.25">
      <c r="B86" s="73" t="s">
        <v>72</v>
      </c>
      <c r="C86" s="71"/>
      <c r="D86" s="71"/>
      <c r="E86" s="71"/>
      <c r="F86" s="71"/>
      <c r="G86" s="71"/>
      <c r="H86" s="71"/>
      <c r="I86" s="71"/>
      <c r="J86" s="71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E86" s="75"/>
    </row>
    <row r="87" spans="2:31" x14ac:dyDescent="0.25">
      <c r="B87" s="31" t="s">
        <v>44</v>
      </c>
      <c r="C87" s="32">
        <v>2.8E-3</v>
      </c>
      <c r="D87" s="31"/>
      <c r="E87" s="32">
        <v>5.7000000000000002E-3</v>
      </c>
      <c r="F87" s="31"/>
      <c r="G87" s="32"/>
      <c r="H87" s="31"/>
      <c r="I87" s="32"/>
      <c r="J87" s="31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E87" s="75"/>
    </row>
    <row r="88" spans="2:31" x14ac:dyDescent="0.25">
      <c r="B88" s="33" t="s">
        <v>47</v>
      </c>
      <c r="C88" s="34">
        <f>C85+C87</f>
        <v>5.0799999999999998E-2</v>
      </c>
      <c r="D88" s="33"/>
      <c r="E88" s="34">
        <f>E85+E87</f>
        <v>8.6099999999999996E-2</v>
      </c>
      <c r="F88" s="33"/>
      <c r="G88" s="34"/>
      <c r="H88" s="33"/>
      <c r="I88" s="34"/>
      <c r="J88" s="33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E88" s="75"/>
    </row>
    <row r="89" spans="2:31" x14ac:dyDescent="0.25">
      <c r="B89" s="108" t="s">
        <v>79</v>
      </c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10012" spans="3:14" x14ac:dyDescent="0.25">
      <c r="C10012">
        <v>1</v>
      </c>
      <c r="D10012">
        <v>0</v>
      </c>
      <c r="E10012">
        <v>1</v>
      </c>
      <c r="F10012">
        <v>0</v>
      </c>
      <c r="G10012">
        <v>1</v>
      </c>
      <c r="H10012">
        <v>0</v>
      </c>
      <c r="I10012">
        <v>1</v>
      </c>
      <c r="J10012">
        <v>0</v>
      </c>
      <c r="K10012">
        <v>1</v>
      </c>
      <c r="L10012">
        <v>0</v>
      </c>
      <c r="M10012">
        <v>1</v>
      </c>
      <c r="N10012">
        <v>0</v>
      </c>
    </row>
    <row r="10013" spans="3:14" x14ac:dyDescent="0.25">
      <c r="C10013">
        <v>1.0210600000000001</v>
      </c>
      <c r="D10013">
        <v>0</v>
      </c>
      <c r="E10013">
        <v>1.0077199999999999</v>
      </c>
      <c r="F10013">
        <v>0</v>
      </c>
      <c r="G10013">
        <v>1.0184599999999999</v>
      </c>
      <c r="H10013">
        <v>0</v>
      </c>
      <c r="I10013">
        <v>1.01427</v>
      </c>
      <c r="J10013">
        <v>0</v>
      </c>
      <c r="K10013">
        <v>1.00268</v>
      </c>
      <c r="L10013">
        <v>0</v>
      </c>
      <c r="M10013">
        <v>1.0133799999999999</v>
      </c>
      <c r="N10013">
        <v>0</v>
      </c>
    </row>
    <row r="10052" spans="3:6" x14ac:dyDescent="0.25">
      <c r="C10052">
        <v>1</v>
      </c>
      <c r="D10052">
        <v>0</v>
      </c>
      <c r="E10052">
        <v>1</v>
      </c>
      <c r="F10052">
        <v>0</v>
      </c>
    </row>
    <row r="10053" spans="3:6" x14ac:dyDescent="0.25">
      <c r="C10053">
        <v>1.048</v>
      </c>
      <c r="D10053">
        <v>0</v>
      </c>
      <c r="E10053">
        <v>1.08036</v>
      </c>
      <c r="F10053">
        <v>0</v>
      </c>
    </row>
  </sheetData>
  <mergeCells count="45">
    <mergeCell ref="B79:J79"/>
    <mergeCell ref="B86:J86"/>
    <mergeCell ref="K48:Z88"/>
    <mergeCell ref="AE1:AE3"/>
    <mergeCell ref="AE17:AE88"/>
    <mergeCell ref="B44:Z44"/>
    <mergeCell ref="B89:Z89"/>
    <mergeCell ref="B30:Z30"/>
    <mergeCell ref="B29:Z29"/>
    <mergeCell ref="B37:Z37"/>
    <mergeCell ref="B47:Z47"/>
    <mergeCell ref="B72:J72"/>
    <mergeCell ref="B1:Z1"/>
    <mergeCell ref="B2:Z2"/>
    <mergeCell ref="C3:Z3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I49:J49"/>
    <mergeCell ref="E49:F49"/>
    <mergeCell ref="G49:H49"/>
    <mergeCell ref="C49:D49"/>
    <mergeCell ref="C48:J48"/>
    <mergeCell ref="C5:Z5"/>
    <mergeCell ref="C31:Z31"/>
    <mergeCell ref="C38:Z38"/>
    <mergeCell ref="C73:J73"/>
    <mergeCell ref="C74:D74"/>
    <mergeCell ref="E74:F74"/>
    <mergeCell ref="G74:H74"/>
    <mergeCell ref="I74:J74"/>
    <mergeCell ref="C80:J80"/>
    <mergeCell ref="C81:D81"/>
    <mergeCell ref="E81:F81"/>
    <mergeCell ref="G81:H81"/>
    <mergeCell ref="I81:J81"/>
  </mergeCells>
  <pageMargins left="0" right="0" top="0" bottom="0.55118110236220474" header="0" footer="0.31496062992125984"/>
  <pageSetup paperSize="9" orientation="landscape" r:id="rId1"/>
  <headerFooter>
    <oddFooter>&amp;L&amp;Z&amp;F&amp;A</oddFooter>
  </headerFooter>
  <drawing r:id="rId2"/>
  <tableParts count="6">
    <tablePart r:id="rId3"/>
    <tablePart r:id="rId4"/>
    <tablePart r:id="rId5"/>
    <tablePart r:id="rId6"/>
    <tablePart r:id="rId7"/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sharepoint/v3"/>
    <ds:schemaRef ds:uri="http://purl.org/dc/dcmitype/"/>
    <ds:schemaRef ds:uri="http://www.w3.org/XML/1998/namespace"/>
    <ds:schemaRef ds:uri="http://schemas.microsoft.com/office/2006/metadata/properties"/>
    <ds:schemaRef ds:uri="http://purl.org/dc/elements/1.1/"/>
    <ds:schemaRef ds:uri="a46656d4-8850-49b3-aebd-68bd05f7f43d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User</cp:lastModifiedBy>
  <cp:lastPrinted>2022-04-10T13:44:38Z</cp:lastPrinted>
  <dcterms:created xsi:type="dcterms:W3CDTF">2016-08-07T08:05:35Z</dcterms:created>
  <dcterms:modified xsi:type="dcterms:W3CDTF">2022-04-10T13:47:11Z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