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filterPrivacy="1" defaultThemeVersion="124226"/>
  <xr:revisionPtr revIDLastSave="0" documentId="13_ncr:1_{F710275F-334A-4A30-97A2-85280145BB5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פרסום מרכיבי תשואה" sheetId="5" r:id="rId1"/>
  </sheets>
  <definedNames>
    <definedName name="_xlnm.Print_Area" localSheetId="0">'פרסום מרכיבי תשואה'!$B$1:$Z$68</definedName>
    <definedName name="Years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5" l="1"/>
  <c r="G4" i="5" s="1"/>
  <c r="I4" i="5" s="1"/>
  <c r="K4" i="5" l="1"/>
  <c r="M4" i="5" l="1"/>
  <c r="O4" i="5" l="1"/>
  <c r="Q4" i="5" l="1"/>
  <c r="S4" i="5" l="1"/>
  <c r="U4" i="5" l="1"/>
  <c r="W4" i="5" l="1"/>
  <c r="Y4" i="5" l="1"/>
</calcChain>
</file>

<file path=xl/sharedStrings.xml><?xml version="1.0" encoding="utf-8"?>
<sst xmlns="http://schemas.openxmlformats.org/spreadsheetml/2006/main" count="373" uniqueCount="73">
  <si>
    <t>פירוט תרומת אפיקי ההשקעה לתשואה הכוללת</t>
  </si>
  <si>
    <t>מזומנים ושווי מזומנים</t>
  </si>
  <si>
    <t>אג"ח ממשלתיות סחירות ולא סחירות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</si>
  <si>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</si>
  <si>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</si>
  <si>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</si>
  <si>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</si>
  <si>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</si>
  <si>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</si>
  <si>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</si>
  <si>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</si>
  <si>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</si>
  <si>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</si>
  <si>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</si>
  <si>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</si>
  <si>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</si>
  <si>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</si>
  <si>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</si>
  <si>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</si>
  <si>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</si>
  <si>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</si>
  <si>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</si>
  <si>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</si>
  <si>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</si>
  <si>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</si>
  <si>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AE</t>
  </si>
  <si>
    <t>הערות:</t>
  </si>
  <si>
    <t>התרומה לתשואה ושיעור מסך הנכסים  ידווחו באחוזים עם שתי ספרות לאחר הנקודה העשרונית.</t>
  </si>
  <si>
    <t>אפיקי השקעה:</t>
  </si>
  <si>
    <t>סוף מידע</t>
  </si>
  <si>
    <t>קרנות סל</t>
  </si>
  <si>
    <t>התרומה לתשואה ינואר 2020</t>
  </si>
  <si>
    <t>שיעור מסך הנכסים ינואר 2020</t>
  </si>
  <si>
    <t>התרומה לתשואה פברואר 2020</t>
  </si>
  <si>
    <t>שיעור מסך הנכסים פברואר 2020</t>
  </si>
  <si>
    <t>התרומה לתשואה מרץ 2020</t>
  </si>
  <si>
    <t>שיעור מסך הנכסים מרץ 2020</t>
  </si>
  <si>
    <t>התרומה לתשואה אפריל 2020</t>
  </si>
  <si>
    <t>שיעור מסך הנכסים אפריל 2020</t>
  </si>
  <si>
    <t>התרומה לתשואה מאי 2020</t>
  </si>
  <si>
    <t>שיעור מסך הנכסים מאי 2020</t>
  </si>
  <si>
    <t>התרומה לתשואה יוני 2020</t>
  </si>
  <si>
    <t>שיעור מסך הנכסים יוני 2020</t>
  </si>
  <si>
    <t>התרומה לתשואה יולי 2020</t>
  </si>
  <si>
    <t>שיעור מסך הנכסים יולי 2020</t>
  </si>
  <si>
    <t>התרומה לתשואה אוגוסט 2020</t>
  </si>
  <si>
    <t>שיעור מסך הנכסים אוגוסט 2020</t>
  </si>
  <si>
    <t>התרומה לתשואה ספטמבר 2020</t>
  </si>
  <si>
    <t>שיעור מסך הנכסים ספטמבר 2020</t>
  </si>
  <si>
    <t>התרומה לתשואה אוקטובר 2020</t>
  </si>
  <si>
    <t>שיעור מסך הנכסים אוקטובר 2020</t>
  </si>
  <si>
    <t>התרומה לתשואה נובמבר 2020</t>
  </si>
  <si>
    <t>שיעור מסך הנכסים נובמבר 2020</t>
  </si>
  <si>
    <t>התרומה לתשואה דצמבר 2020</t>
  </si>
  <si>
    <t>שיעור מסך הנכסים דצמבר 2020</t>
  </si>
  <si>
    <t>התרומה לתשואה ינואר-מרץ 2020</t>
  </si>
  <si>
    <t>שיעור מסך הנכסים ינואר-מרץ 2020</t>
  </si>
  <si>
    <t>התרומה לתשואה ינואר-יוני 2020</t>
  </si>
  <si>
    <t>שיעור מסך הנכסים ינואר-יוני 2020</t>
  </si>
  <si>
    <t>התרומה לתשואה ינואר-ספטמבר 2020</t>
  </si>
  <si>
    <t>שיעור מסך הנכסים ינואר-ספטמבר 2020</t>
  </si>
  <si>
    <t>התרומה לתשואה ינואר-דצמבר 2020</t>
  </si>
  <si>
    <t>שיעור מסך הנכסים ינואר-דצמבר 2020</t>
  </si>
  <si>
    <t>נוסף סיוע האוצר לקרן ותיקה</t>
  </si>
  <si>
    <t>תשואה חודשית כוללת</t>
  </si>
  <si>
    <t>תשואה מצטברת כוללת</t>
  </si>
  <si>
    <t>החברה המנהלת -  גמלאות לעובדים דתיים בע"מ</t>
  </si>
  <si>
    <t>קרן הפנסיה -  גילעד גמלאות לעובדים דתיים</t>
  </si>
  <si>
    <t>תשואה חודשית מהשקעות מהשקעות</t>
  </si>
  <si>
    <t>תשואה מצטברת מהשקעות</t>
  </si>
  <si>
    <t>שורת נוסחאות</t>
  </si>
  <si>
    <t>תא ריק</t>
  </si>
  <si>
    <t>שורה ריקה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</si>
</sst>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3" formatCode="_ * #,##0.00_ ;_ * \-#,##0.00_ ;_ * &quot;-&quot;??_ ;_ @_ "/>
    <numFmt numFmtId="164" formatCode="_-&quot;₪&quot;* #,##0_-;\-&quot;₪&quot;* #,##0_-;_-&quot;₪&quot;* &quot;-&quot;_-;_-@_-"/>
    <numFmt numFmtId="165" formatCode="_(* #,##0_);_(* \(#,##0\);_(* &quot;-&quot;_);_(@_)"/>
    <numFmt numFmtId="166" formatCode="[Color43]0.00%;[Color3]\-0.00%"/>
    <numFmt numFmtId="167" formatCode="[Color51]0.0%;[Color3]\-0.0%"/>
    <numFmt numFmtId="168" formatCode="dd\ \בmmmm\ yyyy\ "/>
    <numFmt numFmtId="169" formatCode="dd\.mm\.yy"/>
    <numFmt numFmtId="170" formatCode="dd\.mm\.yyyy"/>
    <numFmt numFmtId="171" formatCode="[Color10]#,##0_);[Color30]#,##0_)"/>
    <numFmt numFmtId="172" formatCode="[Color10]\(#,##0\);[Color30]#,##0_)"/>
    <numFmt numFmtId="173" formatCode="[Color10]#,##0_);[Color30]\(#,##0\)"/>
    <numFmt numFmtId="174" formatCode="&quot;₪&quot;#,##0.00;[Red]&quot;₪&quot;\-#,##0.00"/>
    <numFmt numFmtId="175" formatCode="_ [$€-2]\ * #,##0.00_ ;_ [$€-2]\ * \-#,##0.00_ ;_ [$€-2]\ * &quot;-&quot;??_ "/>
    <numFmt numFmtId="176" formatCode="mmmm\ yyyy"/>
  </numFmts>
  <fonts count="30" x14ac:knownFonts="1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Arial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  <font>
      <b/>
      <sz val="15"/>
      <color theme="3"/>
      <name val="Arial"/>
      <family val="2"/>
      <charset val="177"/>
      <scheme val="minor"/>
    </font>
    <font>
      <sz val="11"/>
      <color theme="0"/>
      <name val="David"/>
      <family val="2"/>
    </font>
    <font>
      <b/>
      <sz val="11"/>
      <color theme="0"/>
      <name val="David"/>
      <family val="2"/>
      <charset val="177"/>
    </font>
    <font>
      <b/>
      <sz val="11"/>
      <color theme="0" tint="-0.14999847407452621"/>
      <name val="David"/>
      <family val="2"/>
      <charset val="177"/>
    </font>
    <font>
      <sz val="11"/>
      <color rgb="FFFFFFFF"/>
      <name val="David"/>
      <family val="2"/>
      <charset val="177"/>
    </font>
    <font>
      <b/>
      <sz val="11"/>
      <color rgb="FF00B0F0"/>
      <name val="David"/>
      <family val="2"/>
      <charset val="177"/>
    </font>
    <font>
      <sz val="11"/>
      <color rgb="FF92D050"/>
      <name val="David"/>
      <family val="2"/>
      <charset val="177"/>
    </font>
    <font>
      <b/>
      <sz val="14"/>
      <color theme="1"/>
      <name val="David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theme="4" tint="0.39997558519241921"/>
      </bottom>
      <diagonal/>
    </border>
    <border>
      <left style="hair">
        <color indexed="64"/>
      </left>
      <right/>
      <top style="hair">
        <color indexed="64"/>
      </top>
      <bottom style="thin">
        <color theme="4" tint="0.39997558519241921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505">
    <xf numFmtId="0" fontId="0" fillId="0" borderId="0"/>
    <xf numFmtId="166" fontId="6" fillId="0" borderId="0">
      <alignment horizontal="right"/>
      <protection hidden="1"/>
    </xf>
    <xf numFmtId="167" fontId="6" fillId="0" borderId="0">
      <alignment horizontal="right"/>
      <protection hidden="1"/>
    </xf>
    <xf numFmtId="166" fontId="6" fillId="0" borderId="0">
      <alignment horizontal="right"/>
      <protection hidden="1"/>
    </xf>
    <xf numFmtId="0" fontId="1" fillId="0" borderId="0"/>
    <xf numFmtId="168" fontId="6" fillId="0" borderId="0">
      <alignment horizontal="right"/>
      <protection hidden="1"/>
    </xf>
    <xf numFmtId="169" fontId="6" fillId="0" borderId="0">
      <alignment horizontal="right"/>
      <protection locked="0"/>
    </xf>
    <xf numFmtId="170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1" fontId="6" fillId="0" borderId="0">
      <alignment horizontal="right"/>
      <protection hidden="1"/>
    </xf>
    <xf numFmtId="172" fontId="6" fillId="0" borderId="0">
      <alignment horizontal="right"/>
      <protection hidden="1"/>
    </xf>
    <xf numFmtId="171" fontId="6" fillId="0" borderId="0">
      <alignment horizontal="right"/>
      <protection hidden="1"/>
    </xf>
    <xf numFmtId="173" fontId="6" fillId="0" borderId="0">
      <alignment horizontal="right"/>
      <protection hidden="1"/>
    </xf>
    <xf numFmtId="173" fontId="6" fillId="0" borderId="0">
      <alignment horizontal="right"/>
      <protection locked="0"/>
    </xf>
    <xf numFmtId="37" fontId="6" fillId="0" borderId="0">
      <alignment horizontal="right"/>
      <protection hidden="1"/>
    </xf>
    <xf numFmtId="171" fontId="6" fillId="0" borderId="0">
      <alignment horizontal="right"/>
      <protection hidden="1"/>
    </xf>
    <xf numFmtId="171" fontId="6" fillId="0" borderId="0">
      <alignment horizontal="right"/>
      <protection hidden="1"/>
    </xf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1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4" fontId="7" fillId="0" borderId="0" applyFont="0" applyFill="0" applyBorder="0" applyAlignment="0" applyProtection="0"/>
    <xf numFmtId="43" fontId="10" fillId="0" borderId="0" applyFont="0" applyFill="0" applyBorder="0" applyAlignment="0" applyProtection="0"/>
    <xf numFmtId="164" fontId="4" fillId="0" borderId="0" applyFont="0" applyFill="0" applyBorder="0" applyAlignment="0" applyProtection="0"/>
    <xf numFmtId="175" fontId="6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8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6" fillId="0" borderId="0"/>
    <xf numFmtId="0" fontId="1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" fillId="0" borderId="0"/>
    <xf numFmtId="0" fontId="1" fillId="0" borderId="0"/>
    <xf numFmtId="0" fontId="9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2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2" fillId="0" borderId="0"/>
    <xf numFmtId="0" fontId="12" fillId="0" borderId="0"/>
    <xf numFmtId="0" fontId="12" fillId="0" borderId="0"/>
    <xf numFmtId="0" fontId="12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6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8" fontId="6" fillId="0" borderId="0">
      <alignment horizontal="right" readingOrder="2"/>
      <protection hidden="1"/>
    </xf>
    <xf numFmtId="0" fontId="18" fillId="0" borderId="0">
      <alignment horizontal="right" wrapText="1"/>
    </xf>
    <xf numFmtId="0" fontId="22" fillId="0" borderId="7" applyNumberFormat="0" applyFill="0" applyAlignment="0" applyProtection="0"/>
  </cellStyleXfs>
  <cellXfs count="79">
    <xf numFmtId="0" fontId="0" fillId="0" borderId="0" xfId="0"/>
    <xf numFmtId="0" fontId="18" fillId="0" borderId="0" xfId="0" applyFont="1"/>
    <xf numFmtId="0" fontId="2" fillId="0" borderId="1" xfId="0" applyFont="1" applyBorder="1"/>
    <xf numFmtId="0" fontId="5" fillId="0" borderId="0" xfId="0" applyFont="1"/>
    <xf numFmtId="0" fontId="19" fillId="0" borderId="0" xfId="0" applyFont="1"/>
    <xf numFmtId="10" fontId="3" fillId="7" borderId="4" xfId="421" applyNumberFormat="1" applyFont="1" applyFill="1" applyBorder="1"/>
    <xf numFmtId="10" fontId="3" fillId="7" borderId="6" xfId="421" applyNumberFormat="1" applyFont="1" applyFill="1" applyBorder="1"/>
    <xf numFmtId="10" fontId="2" fillId="8" borderId="3" xfId="421" applyNumberFormat="1" applyFont="1" applyFill="1" applyBorder="1"/>
    <xf numFmtId="10" fontId="2" fillId="8" borderId="2" xfId="421" applyNumberFormat="1" applyFont="1" applyFill="1" applyBorder="1"/>
    <xf numFmtId="0" fontId="19" fillId="0" borderId="0" xfId="0" applyFont="1" applyAlignment="1"/>
    <xf numFmtId="0" fontId="23" fillId="0" borderId="0" xfId="0" applyFont="1" applyAlignment="1"/>
    <xf numFmtId="0" fontId="2" fillId="3" borderId="10" xfId="0" applyFont="1" applyFill="1" applyBorder="1"/>
    <xf numFmtId="10" fontId="2" fillId="2" borderId="13" xfId="421" applyNumberFormat="1" applyFont="1" applyFill="1" applyBorder="1"/>
    <xf numFmtId="10" fontId="2" fillId="2" borderId="14" xfId="421" applyNumberFormat="1" applyFont="1" applyFill="1" applyBorder="1"/>
    <xf numFmtId="10" fontId="2" fillId="5" borderId="13" xfId="421" applyNumberFormat="1" applyFont="1" applyFill="1" applyBorder="1"/>
    <xf numFmtId="10" fontId="2" fillId="5" borderId="14" xfId="421" applyNumberFormat="1" applyFont="1" applyFill="1" applyBorder="1"/>
    <xf numFmtId="10" fontId="2" fillId="5" borderId="6" xfId="421" applyNumberFormat="1" applyFont="1" applyFill="1" applyBorder="1"/>
    <xf numFmtId="0" fontId="2" fillId="3" borderId="13" xfId="0" applyFont="1" applyFill="1" applyBorder="1"/>
    <xf numFmtId="0" fontId="3" fillId="7" borderId="13" xfId="0" applyFont="1" applyFill="1" applyBorder="1"/>
    <xf numFmtId="10" fontId="3" fillId="7" borderId="13" xfId="421" applyNumberFormat="1" applyFont="1" applyFill="1" applyBorder="1"/>
    <xf numFmtId="10" fontId="3" fillId="8" borderId="14" xfId="421" applyNumberFormat="1" applyFont="1" applyFill="1" applyBorder="1"/>
    <xf numFmtId="10" fontId="3" fillId="8" borderId="13" xfId="421" applyNumberFormat="1" applyFont="1" applyFill="1" applyBorder="1"/>
    <xf numFmtId="10" fontId="3" fillId="7" borderId="14" xfId="421" applyNumberFormat="1" applyFont="1" applyFill="1" applyBorder="1"/>
    <xf numFmtId="0" fontId="3" fillId="6" borderId="10" xfId="0" applyFont="1" applyFill="1" applyBorder="1"/>
    <xf numFmtId="3" fontId="3" fillId="2" borderId="10" xfId="421" applyNumberFormat="1" applyFont="1" applyFill="1" applyBorder="1"/>
    <xf numFmtId="3" fontId="3" fillId="5" borderId="10" xfId="421" applyNumberFormat="1" applyFont="1" applyFill="1" applyBorder="1"/>
    <xf numFmtId="10" fontId="2" fillId="2" borderId="10" xfId="421" applyNumberFormat="1" applyFont="1" applyFill="1" applyBorder="1"/>
    <xf numFmtId="10" fontId="2" fillId="2" borderId="11" xfId="421" applyNumberFormat="1" applyFont="1" applyFill="1" applyBorder="1"/>
    <xf numFmtId="10" fontId="2" fillId="5" borderId="10" xfId="421" applyNumberFormat="1" applyFont="1" applyFill="1" applyBorder="1"/>
    <xf numFmtId="10" fontId="2" fillId="5" borderId="11" xfId="421" applyNumberFormat="1" applyFont="1" applyFill="1" applyBorder="1"/>
    <xf numFmtId="10" fontId="2" fillId="5" borderId="12" xfId="421" applyNumberFormat="1" applyFont="1" applyFill="1" applyBorder="1"/>
    <xf numFmtId="0" fontId="3" fillId="7" borderId="17" xfId="0" applyFont="1" applyFill="1" applyBorder="1"/>
    <xf numFmtId="10" fontId="3" fillId="7" borderId="17" xfId="421" applyNumberFormat="1" applyFont="1" applyFill="1" applyBorder="1"/>
    <xf numFmtId="10" fontId="3" fillId="7" borderId="18" xfId="421" applyNumberFormat="1" applyFont="1" applyFill="1" applyBorder="1"/>
    <xf numFmtId="10" fontId="3" fillId="8" borderId="17" xfId="421" applyNumberFormat="1" applyFont="1" applyFill="1" applyBorder="1"/>
    <xf numFmtId="10" fontId="3" fillId="8" borderId="18" xfId="421" applyNumberFormat="1" applyFont="1" applyFill="1" applyBorder="1"/>
    <xf numFmtId="10" fontId="3" fillId="7" borderId="9" xfId="421" applyNumberFormat="1" applyFont="1" applyFill="1" applyBorder="1"/>
    <xf numFmtId="0" fontId="3" fillId="10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9" xfId="0" applyFont="1" applyFill="1" applyBorder="1" applyAlignment="1">
      <alignment horizontal="center" vertical="center" wrapText="1"/>
    </xf>
    <xf numFmtId="0" fontId="3" fillId="5" borderId="20" xfId="0" applyFont="1" applyFill="1" applyBorder="1" applyAlignment="1">
      <alignment horizontal="center" vertical="center" wrapText="1"/>
    </xf>
    <xf numFmtId="10" fontId="3" fillId="9" borderId="6" xfId="421" applyNumberFormat="1" applyFont="1" applyFill="1" applyBorder="1"/>
    <xf numFmtId="10" fontId="3" fillId="9" borderId="5" xfId="421" applyNumberFormat="1" applyFont="1" applyFill="1" applyBorder="1"/>
    <xf numFmtId="0" fontId="20" fillId="10" borderId="21" xfId="0" applyFont="1" applyFill="1" applyBorder="1" applyAlignment="1">
      <alignment horizontal="right" vertical="center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3" fillId="5" borderId="5" xfId="0" applyFont="1" applyFill="1" applyBorder="1" applyAlignment="1">
      <alignment horizontal="center" vertical="center" wrapText="1"/>
    </xf>
    <xf numFmtId="0" fontId="3" fillId="7" borderId="25" xfId="0" applyFont="1" applyFill="1" applyBorder="1"/>
    <xf numFmtId="10" fontId="3" fillId="7" borderId="25" xfId="421" applyNumberFormat="1" applyFont="1" applyFill="1" applyBorder="1"/>
    <xf numFmtId="10" fontId="3" fillId="7" borderId="26" xfId="421" applyNumberFormat="1" applyFont="1" applyFill="1" applyBorder="1"/>
    <xf numFmtId="10" fontId="3" fillId="8" borderId="25" xfId="421" applyNumberFormat="1" applyFont="1" applyFill="1" applyBorder="1"/>
    <xf numFmtId="10" fontId="3" fillId="8" borderId="26" xfId="421" applyNumberFormat="1" applyFont="1" applyFill="1" applyBorder="1"/>
    <xf numFmtId="0" fontId="19" fillId="0" borderId="15" xfId="0" applyFont="1" applyBorder="1"/>
    <xf numFmtId="0" fontId="19" fillId="0" borderId="8" xfId="0" applyFont="1" applyBorder="1"/>
    <xf numFmtId="0" fontId="19" fillId="0" borderId="16" xfId="0" applyFont="1" applyBorder="1"/>
    <xf numFmtId="0" fontId="24" fillId="0" borderId="0" xfId="0" applyFont="1"/>
    <xf numFmtId="10" fontId="24" fillId="0" borderId="0" xfId="421" applyNumberFormat="1" applyFont="1" applyFill="1" applyBorder="1"/>
    <xf numFmtId="0" fontId="19" fillId="0" borderId="22" xfId="0" applyFont="1" applyBorder="1"/>
    <xf numFmtId="0" fontId="19" fillId="0" borderId="23" xfId="0" applyFont="1" applyBorder="1"/>
    <xf numFmtId="0" fontId="19" fillId="0" borderId="24" xfId="0" applyFont="1" applyBorder="1"/>
    <xf numFmtId="10" fontId="25" fillId="4" borderId="11" xfId="421" applyNumberFormat="1" applyFont="1" applyFill="1" applyBorder="1"/>
    <xf numFmtId="10" fontId="25" fillId="4" borderId="12" xfId="421" applyNumberFormat="1" applyFont="1" applyFill="1" applyBorder="1"/>
    <xf numFmtId="0" fontId="26" fillId="0" borderId="8" xfId="0" applyFont="1" applyBorder="1"/>
    <xf numFmtId="10" fontId="27" fillId="9" borderId="6" xfId="421" applyNumberFormat="1" applyFont="1" applyFill="1" applyBorder="1"/>
    <xf numFmtId="10" fontId="27" fillId="9" borderId="5" xfId="421" applyNumberFormat="1" applyFont="1" applyFill="1" applyBorder="1"/>
    <xf numFmtId="10" fontId="28" fillId="8" borderId="3" xfId="421" applyNumberFormat="1" applyFont="1" applyFill="1" applyBorder="1"/>
    <xf numFmtId="10" fontId="28" fillId="8" borderId="2" xfId="421" applyNumberFormat="1" applyFont="1" applyFill="1" applyBorder="1"/>
    <xf numFmtId="0" fontId="18" fillId="0" borderId="0" xfId="0" applyFont="1" applyAlignment="1">
      <alignment horizontal="right"/>
    </xf>
    <xf numFmtId="0" fontId="19" fillId="0" borderId="0" xfId="0" applyFont="1" applyAlignment="1">
      <alignment horizontal="right"/>
    </xf>
    <xf numFmtId="0" fontId="19" fillId="11" borderId="0" xfId="0" applyFont="1" applyFill="1" applyAlignment="1">
      <alignment horizontal="center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right" vertical="top"/>
    </xf>
    <xf numFmtId="0" fontId="21" fillId="6" borderId="0" xfId="0" applyFont="1" applyFill="1" applyAlignment="1">
      <alignment horizontal="center"/>
    </xf>
    <xf numFmtId="0" fontId="29" fillId="0" borderId="0" xfId="504" applyFont="1" applyBorder="1" applyAlignment="1">
      <alignment horizontal="right"/>
    </xf>
    <xf numFmtId="0" fontId="5" fillId="0" borderId="0" xfId="0" applyFont="1" applyAlignment="1">
      <alignment horizontal="right" readingOrder="2"/>
    </xf>
  </cellXfs>
  <cellStyles count="505">
    <cellStyle name="% 1" xfId="1" xr:uid="{00000000-0005-0000-0000-000000000000}"/>
    <cellStyle name="% 2" xfId="2" xr:uid="{00000000-0005-0000-0000-000001000000}"/>
    <cellStyle name="% 3" xfId="3" xr:uid="{00000000-0005-0000-0000-000002000000}"/>
    <cellStyle name="=C:\WINNT\SYSTEM32\COMMAND.COM" xfId="4" xr:uid="{00000000-0005-0000-0000-000003000000}"/>
    <cellStyle name="01 בינואר 2000" xfId="5" xr:uid="{00000000-0005-0000-0000-000004000000}"/>
    <cellStyle name="01.01.00" xfId="6" xr:uid="{00000000-0005-0000-0000-000005000000}"/>
    <cellStyle name="01.01.2000" xfId="7" xr:uid="{00000000-0005-0000-0000-000006000000}"/>
    <cellStyle name="01/01/00" xfId="8" xr:uid="{00000000-0005-0000-0000-000007000000}"/>
    <cellStyle name="01/01/2000" xfId="9" xr:uid="{00000000-0005-0000-0000-000008000000}"/>
    <cellStyle name="1" xfId="10" xr:uid="{00000000-0005-0000-0000-000009000000}"/>
    <cellStyle name="2" xfId="11" xr:uid="{00000000-0005-0000-0000-00000A000000}"/>
    <cellStyle name="3" xfId="12" xr:uid="{00000000-0005-0000-0000-00000B000000}"/>
    <cellStyle name="4" xfId="13" xr:uid="{00000000-0005-0000-0000-00000C000000}"/>
    <cellStyle name="5" xfId="14" xr:uid="{00000000-0005-0000-0000-00000D000000}"/>
    <cellStyle name="97" xfId="15" xr:uid="{00000000-0005-0000-0000-00000E000000}"/>
    <cellStyle name="98" xfId="16" xr:uid="{00000000-0005-0000-0000-00000F000000}"/>
    <cellStyle name="99" xfId="17" xr:uid="{00000000-0005-0000-0000-000010000000}"/>
    <cellStyle name="Comma [0] 2" xfId="18" xr:uid="{00000000-0005-0000-0000-000011000000}"/>
    <cellStyle name="Comma [0] 2 2" xfId="19" xr:uid="{00000000-0005-0000-0000-000012000000}"/>
    <cellStyle name="Comma [0] 2 2 2" xfId="20" xr:uid="{00000000-0005-0000-0000-000013000000}"/>
    <cellStyle name="Comma [0] 2 3" xfId="21" xr:uid="{00000000-0005-0000-0000-000014000000}"/>
    <cellStyle name="Comma [0] 2 4" xfId="22" xr:uid="{00000000-0005-0000-0000-000015000000}"/>
    <cellStyle name="Comma [0] 3" xfId="23" xr:uid="{00000000-0005-0000-0000-000016000000}"/>
    <cellStyle name="Comma 2" xfId="24" xr:uid="{00000000-0005-0000-0000-000017000000}"/>
    <cellStyle name="Comma 2 2" xfId="25" xr:uid="{00000000-0005-0000-0000-000018000000}"/>
    <cellStyle name="Comma 2 2 2" xfId="26" xr:uid="{00000000-0005-0000-0000-000019000000}"/>
    <cellStyle name="Comma 2 2 3" xfId="27" xr:uid="{00000000-0005-0000-0000-00001A000000}"/>
    <cellStyle name="Comma 2 2 4" xfId="28" xr:uid="{00000000-0005-0000-0000-00001B000000}"/>
    <cellStyle name="Comma 2 2 5" xfId="29" xr:uid="{00000000-0005-0000-0000-00001C000000}"/>
    <cellStyle name="Comma 2 2 6" xfId="30" xr:uid="{00000000-0005-0000-0000-00001D000000}"/>
    <cellStyle name="Comma 2 2 7" xfId="31" xr:uid="{00000000-0005-0000-0000-00001E000000}"/>
    <cellStyle name="Comma 2 3" xfId="32" xr:uid="{00000000-0005-0000-0000-00001F000000}"/>
    <cellStyle name="Comma 2 4" xfId="33" xr:uid="{00000000-0005-0000-0000-000020000000}"/>
    <cellStyle name="Comma 2 5" xfId="34" xr:uid="{00000000-0005-0000-0000-000021000000}"/>
    <cellStyle name="Comma 2 6" xfId="35" xr:uid="{00000000-0005-0000-0000-000022000000}"/>
    <cellStyle name="Comma 2 7" xfId="36" xr:uid="{00000000-0005-0000-0000-000023000000}"/>
    <cellStyle name="Comma 2 8" xfId="37" xr:uid="{00000000-0005-0000-0000-000024000000}"/>
    <cellStyle name="Comma 2 9" xfId="38" xr:uid="{00000000-0005-0000-0000-000025000000}"/>
    <cellStyle name="Comma 3" xfId="39" xr:uid="{00000000-0005-0000-0000-000026000000}"/>
    <cellStyle name="Comma 3 2" xfId="40" xr:uid="{00000000-0005-0000-0000-000027000000}"/>
    <cellStyle name="Comma 4" xfId="41" xr:uid="{00000000-0005-0000-0000-000028000000}"/>
    <cellStyle name="Comma 5" xfId="42" xr:uid="{00000000-0005-0000-0000-000029000000}"/>
    <cellStyle name="Comma 6" xfId="43" xr:uid="{00000000-0005-0000-0000-00002A000000}"/>
    <cellStyle name="Comma 7" xfId="44" xr:uid="{00000000-0005-0000-0000-00002B000000}"/>
    <cellStyle name="Currency [0] _1" xfId="45" xr:uid="{00000000-0005-0000-0000-00002C000000}"/>
    <cellStyle name="Euro" xfId="46" xr:uid="{00000000-0005-0000-0000-00002D000000}"/>
    <cellStyle name="Hyperlink 2" xfId="47" xr:uid="{00000000-0005-0000-0000-00002E000000}"/>
    <cellStyle name="Hyperlink 2 2" xfId="48" xr:uid="{00000000-0005-0000-0000-00002F000000}"/>
    <cellStyle name="Hyperlink 2 2 2" xfId="49" xr:uid="{00000000-0005-0000-0000-000030000000}"/>
    <cellStyle name="Hyperlink 2 2 2 2" xfId="50" xr:uid="{00000000-0005-0000-0000-000031000000}"/>
    <cellStyle name="Hyperlink 2 3" xfId="51" xr:uid="{00000000-0005-0000-0000-000032000000}"/>
    <cellStyle name="Hyperlink 2 4" xfId="52" xr:uid="{00000000-0005-0000-0000-000033000000}"/>
    <cellStyle name="Hyperlink 2 5" xfId="53" xr:uid="{00000000-0005-0000-0000-000034000000}"/>
    <cellStyle name="Hyperlink 2 6" xfId="54" xr:uid="{00000000-0005-0000-0000-000035000000}"/>
    <cellStyle name="Hyperlink 2 7" xfId="55" xr:uid="{00000000-0005-0000-0000-000036000000}"/>
    <cellStyle name="Hyperlink 2 8" xfId="56" xr:uid="{00000000-0005-0000-0000-000037000000}"/>
    <cellStyle name="Hyperlink 2_Data" xfId="57" xr:uid="{00000000-0005-0000-0000-000038000000}"/>
    <cellStyle name="Normal" xfId="0" builtinId="0"/>
    <cellStyle name="Normal 10" xfId="58" xr:uid="{00000000-0005-0000-0000-00003A000000}"/>
    <cellStyle name="Normal 11" xfId="59" xr:uid="{00000000-0005-0000-0000-00003B000000}"/>
    <cellStyle name="Normal 12" xfId="60" xr:uid="{00000000-0005-0000-0000-00003C000000}"/>
    <cellStyle name="Normal 12 2" xfId="61" xr:uid="{00000000-0005-0000-0000-00003D000000}"/>
    <cellStyle name="Normal 12 3" xfId="62" xr:uid="{00000000-0005-0000-0000-00003E000000}"/>
    <cellStyle name="Normal 12 4" xfId="63" xr:uid="{00000000-0005-0000-0000-00003F000000}"/>
    <cellStyle name="Normal 12 5" xfId="64" xr:uid="{00000000-0005-0000-0000-000040000000}"/>
    <cellStyle name="Normal 12 6" xfId="65" xr:uid="{00000000-0005-0000-0000-000041000000}"/>
    <cellStyle name="Normal 12 7" xfId="66" xr:uid="{00000000-0005-0000-0000-000042000000}"/>
    <cellStyle name="Normal 12 8" xfId="67" xr:uid="{00000000-0005-0000-0000-000043000000}"/>
    <cellStyle name="Normal 13" xfId="68" xr:uid="{00000000-0005-0000-0000-000044000000}"/>
    <cellStyle name="Normal 13 2" xfId="69" xr:uid="{00000000-0005-0000-0000-000045000000}"/>
    <cellStyle name="Normal 13 3" xfId="70" xr:uid="{00000000-0005-0000-0000-000046000000}"/>
    <cellStyle name="Normal 13 4" xfId="71" xr:uid="{00000000-0005-0000-0000-000047000000}"/>
    <cellStyle name="Normal 13 5" xfId="72" xr:uid="{00000000-0005-0000-0000-000048000000}"/>
    <cellStyle name="Normal 13 6" xfId="73" xr:uid="{00000000-0005-0000-0000-000049000000}"/>
    <cellStyle name="Normal 13 7" xfId="74" xr:uid="{00000000-0005-0000-0000-00004A000000}"/>
    <cellStyle name="Normal 13 8" xfId="75" xr:uid="{00000000-0005-0000-0000-00004B000000}"/>
    <cellStyle name="Normal 14" xfId="76" xr:uid="{00000000-0005-0000-0000-00004C000000}"/>
    <cellStyle name="Normal 14 2" xfId="77" xr:uid="{00000000-0005-0000-0000-00004D000000}"/>
    <cellStyle name="Normal 14 3" xfId="78" xr:uid="{00000000-0005-0000-0000-00004E000000}"/>
    <cellStyle name="Normal 14 4" xfId="79" xr:uid="{00000000-0005-0000-0000-00004F000000}"/>
    <cellStyle name="Normal 14 5" xfId="80" xr:uid="{00000000-0005-0000-0000-000050000000}"/>
    <cellStyle name="Normal 14 6" xfId="81" xr:uid="{00000000-0005-0000-0000-000051000000}"/>
    <cellStyle name="Normal 14 7" xfId="82" xr:uid="{00000000-0005-0000-0000-000052000000}"/>
    <cellStyle name="Normal 14 8" xfId="83" xr:uid="{00000000-0005-0000-0000-000053000000}"/>
    <cellStyle name="Normal 15" xfId="84" xr:uid="{00000000-0005-0000-0000-000054000000}"/>
    <cellStyle name="Normal 15 2" xfId="85" xr:uid="{00000000-0005-0000-0000-000055000000}"/>
    <cellStyle name="Normal 15 3" xfId="86" xr:uid="{00000000-0005-0000-0000-000056000000}"/>
    <cellStyle name="Normal 15 4" xfId="87" xr:uid="{00000000-0005-0000-0000-000057000000}"/>
    <cellStyle name="Normal 15 5" xfId="88" xr:uid="{00000000-0005-0000-0000-000058000000}"/>
    <cellStyle name="Normal 15 6" xfId="89" xr:uid="{00000000-0005-0000-0000-000059000000}"/>
    <cellStyle name="Normal 15 7" xfId="90" xr:uid="{00000000-0005-0000-0000-00005A000000}"/>
    <cellStyle name="Normal 15 8" xfId="91" xr:uid="{00000000-0005-0000-0000-00005B000000}"/>
    <cellStyle name="Normal 16" xfId="92" xr:uid="{00000000-0005-0000-0000-00005C000000}"/>
    <cellStyle name="Normal 16 2" xfId="93" xr:uid="{00000000-0005-0000-0000-00005D000000}"/>
    <cellStyle name="Normal 16 3" xfId="94" xr:uid="{00000000-0005-0000-0000-00005E000000}"/>
    <cellStyle name="Normal 16 4" xfId="95" xr:uid="{00000000-0005-0000-0000-00005F000000}"/>
    <cellStyle name="Normal 16 5" xfId="96" xr:uid="{00000000-0005-0000-0000-000060000000}"/>
    <cellStyle name="Normal 16 6" xfId="97" xr:uid="{00000000-0005-0000-0000-000061000000}"/>
    <cellStyle name="Normal 16 7" xfId="98" xr:uid="{00000000-0005-0000-0000-000062000000}"/>
    <cellStyle name="Normal 16 8" xfId="99" xr:uid="{00000000-0005-0000-0000-000063000000}"/>
    <cellStyle name="Normal 17" xfId="100" xr:uid="{00000000-0005-0000-0000-000064000000}"/>
    <cellStyle name="Normal 17 2" xfId="101" xr:uid="{00000000-0005-0000-0000-000065000000}"/>
    <cellStyle name="Normal 17 3" xfId="102" xr:uid="{00000000-0005-0000-0000-000066000000}"/>
    <cellStyle name="Normal 18" xfId="103" xr:uid="{00000000-0005-0000-0000-000067000000}"/>
    <cellStyle name="Normal 18 2" xfId="104" xr:uid="{00000000-0005-0000-0000-000068000000}"/>
    <cellStyle name="Normal 18 3" xfId="105" xr:uid="{00000000-0005-0000-0000-000069000000}"/>
    <cellStyle name="Normal 19" xfId="106" xr:uid="{00000000-0005-0000-0000-00006A000000}"/>
    <cellStyle name="Normal 2" xfId="107" xr:uid="{00000000-0005-0000-0000-00006B000000}"/>
    <cellStyle name="Normal 2 10" xfId="108" xr:uid="{00000000-0005-0000-0000-00006C000000}"/>
    <cellStyle name="Normal 2 11" xfId="109" xr:uid="{00000000-0005-0000-0000-00006D000000}"/>
    <cellStyle name="Normal 2 12" xfId="110" xr:uid="{00000000-0005-0000-0000-00006E000000}"/>
    <cellStyle name="Normal 2 13" xfId="111" xr:uid="{00000000-0005-0000-0000-00006F000000}"/>
    <cellStyle name="Normal 2 2" xfId="112" xr:uid="{00000000-0005-0000-0000-000070000000}"/>
    <cellStyle name="Normal 2 2 2" xfId="113" xr:uid="{00000000-0005-0000-0000-000071000000}"/>
    <cellStyle name="Normal 2 2 2 2" xfId="114" xr:uid="{00000000-0005-0000-0000-000072000000}"/>
    <cellStyle name="Normal 2 2 2 2 2" xfId="115" xr:uid="{00000000-0005-0000-0000-000073000000}"/>
    <cellStyle name="Normal 2 2 2 2 2 2" xfId="116" xr:uid="{00000000-0005-0000-0000-000074000000}"/>
    <cellStyle name="Normal 2 2 2 2_ירידות ערך שנזקפו" xfId="117" xr:uid="{00000000-0005-0000-0000-000075000000}"/>
    <cellStyle name="Normal 2 2 2 3" xfId="118" xr:uid="{00000000-0005-0000-0000-000076000000}"/>
    <cellStyle name="Normal 2 2 2 4" xfId="119" xr:uid="{00000000-0005-0000-0000-000077000000}"/>
    <cellStyle name="Normal 2 2 2 5" xfId="120" xr:uid="{00000000-0005-0000-0000-000078000000}"/>
    <cellStyle name="Normal 2 2 2 6" xfId="121" xr:uid="{00000000-0005-0000-0000-000079000000}"/>
    <cellStyle name="Normal 2 2 2 7" xfId="122" xr:uid="{00000000-0005-0000-0000-00007A000000}"/>
    <cellStyle name="Normal 2 2 2 8" xfId="123" xr:uid="{00000000-0005-0000-0000-00007B000000}"/>
    <cellStyle name="Normal 2 2 2_ירידות ערך שנזקפו" xfId="124" xr:uid="{00000000-0005-0000-0000-00007C000000}"/>
    <cellStyle name="Normal 2 2 3" xfId="125" xr:uid="{00000000-0005-0000-0000-00007D000000}"/>
    <cellStyle name="Normal 2 2 3 2" xfId="126" xr:uid="{00000000-0005-0000-0000-00007E000000}"/>
    <cellStyle name="Normal 2 2 3 2 2" xfId="127" xr:uid="{00000000-0005-0000-0000-00007F000000}"/>
    <cellStyle name="Normal 2 2 4" xfId="128" xr:uid="{00000000-0005-0000-0000-000080000000}"/>
    <cellStyle name="Normal 2 2 5" xfId="129" xr:uid="{00000000-0005-0000-0000-000081000000}"/>
    <cellStyle name="Normal 2 2 6" xfId="130" xr:uid="{00000000-0005-0000-0000-000082000000}"/>
    <cellStyle name="Normal 2 2 7" xfId="131" xr:uid="{00000000-0005-0000-0000-000083000000}"/>
    <cellStyle name="Normal 2 2 8" xfId="132" xr:uid="{00000000-0005-0000-0000-000084000000}"/>
    <cellStyle name="Normal 2 2 9" xfId="133" xr:uid="{00000000-0005-0000-0000-000085000000}"/>
    <cellStyle name="Normal 2 2_ירידות ערך שנזקפו" xfId="134" xr:uid="{00000000-0005-0000-0000-000086000000}"/>
    <cellStyle name="Normal 2 3" xfId="135" xr:uid="{00000000-0005-0000-0000-000087000000}"/>
    <cellStyle name="Normal 2 3 2" xfId="136" xr:uid="{00000000-0005-0000-0000-000088000000}"/>
    <cellStyle name="Normal 2 3 2 2" xfId="137" xr:uid="{00000000-0005-0000-0000-000089000000}"/>
    <cellStyle name="Normal 2 3 3" xfId="138" xr:uid="{00000000-0005-0000-0000-00008A000000}"/>
    <cellStyle name="Normal 2 3 4" xfId="139" xr:uid="{00000000-0005-0000-0000-00008B000000}"/>
    <cellStyle name="Normal 2 3 5" xfId="140" xr:uid="{00000000-0005-0000-0000-00008C000000}"/>
    <cellStyle name="Normal 2 3 6" xfId="141" xr:uid="{00000000-0005-0000-0000-00008D000000}"/>
    <cellStyle name="Normal 2 3 7" xfId="142" xr:uid="{00000000-0005-0000-0000-00008E000000}"/>
    <cellStyle name="Normal 2 3 8" xfId="143" xr:uid="{00000000-0005-0000-0000-00008F000000}"/>
    <cellStyle name="Normal 2 3 9" xfId="144" xr:uid="{00000000-0005-0000-0000-000090000000}"/>
    <cellStyle name="Normal 2 3_ירידות ערך שנזקפו" xfId="145" xr:uid="{00000000-0005-0000-0000-000091000000}"/>
    <cellStyle name="Normal 2 4" xfId="146" xr:uid="{00000000-0005-0000-0000-000092000000}"/>
    <cellStyle name="Normal 2 4 2" xfId="147" xr:uid="{00000000-0005-0000-0000-000093000000}"/>
    <cellStyle name="Normal 2 5" xfId="148" xr:uid="{00000000-0005-0000-0000-000094000000}"/>
    <cellStyle name="Normal 2 6" xfId="149" xr:uid="{00000000-0005-0000-0000-000095000000}"/>
    <cellStyle name="Normal 2 6 2" xfId="150" xr:uid="{00000000-0005-0000-0000-000096000000}"/>
    <cellStyle name="Normal 2 6 2 2" xfId="151" xr:uid="{00000000-0005-0000-0000-000097000000}"/>
    <cellStyle name="Normal 2 7" xfId="152" xr:uid="{00000000-0005-0000-0000-000098000000}"/>
    <cellStyle name="Normal 2 7 2" xfId="153" xr:uid="{00000000-0005-0000-0000-000099000000}"/>
    <cellStyle name="Normal 2 8" xfId="154" xr:uid="{00000000-0005-0000-0000-00009A000000}"/>
    <cellStyle name="Normal 2 9" xfId="155" xr:uid="{00000000-0005-0000-0000-00009B000000}"/>
    <cellStyle name="Normal 2_אלמנטרי" xfId="156" xr:uid="{00000000-0005-0000-0000-00009C000000}"/>
    <cellStyle name="Normal 20" xfId="157" xr:uid="{00000000-0005-0000-0000-00009D000000}"/>
    <cellStyle name="Normal 21" xfId="158" xr:uid="{00000000-0005-0000-0000-00009E000000}"/>
    <cellStyle name="Normal 21 2" xfId="159" xr:uid="{00000000-0005-0000-0000-00009F000000}"/>
    <cellStyle name="Normal 21 3" xfId="160" xr:uid="{00000000-0005-0000-0000-0000A0000000}"/>
    <cellStyle name="Normal 22" xfId="161" xr:uid="{00000000-0005-0000-0000-0000A1000000}"/>
    <cellStyle name="Normal 22 2" xfId="162" xr:uid="{00000000-0005-0000-0000-0000A2000000}"/>
    <cellStyle name="Normal 22 3" xfId="163" xr:uid="{00000000-0005-0000-0000-0000A3000000}"/>
    <cellStyle name="Normal 23" xfId="164" xr:uid="{00000000-0005-0000-0000-0000A4000000}"/>
    <cellStyle name="Normal 23 2" xfId="165" xr:uid="{00000000-0005-0000-0000-0000A5000000}"/>
    <cellStyle name="Normal 23 3" xfId="166" xr:uid="{00000000-0005-0000-0000-0000A6000000}"/>
    <cellStyle name="Normal 24" xfId="167" xr:uid="{00000000-0005-0000-0000-0000A7000000}"/>
    <cellStyle name="Normal 24 2" xfId="168" xr:uid="{00000000-0005-0000-0000-0000A8000000}"/>
    <cellStyle name="Normal 24 3" xfId="169" xr:uid="{00000000-0005-0000-0000-0000A9000000}"/>
    <cellStyle name="Normal 25" xfId="170" xr:uid="{00000000-0005-0000-0000-0000AA000000}"/>
    <cellStyle name="Normal 25 2" xfId="171" xr:uid="{00000000-0005-0000-0000-0000AB000000}"/>
    <cellStyle name="Normal 25 3" xfId="172" xr:uid="{00000000-0005-0000-0000-0000AC000000}"/>
    <cellStyle name="Normal 26" xfId="173" xr:uid="{00000000-0005-0000-0000-0000AD000000}"/>
    <cellStyle name="Normal 26 2" xfId="174" xr:uid="{00000000-0005-0000-0000-0000AE000000}"/>
    <cellStyle name="Normal 26 3" xfId="175" xr:uid="{00000000-0005-0000-0000-0000AF000000}"/>
    <cellStyle name="Normal 27" xfId="176" xr:uid="{00000000-0005-0000-0000-0000B0000000}"/>
    <cellStyle name="Normal 27 2" xfId="177" xr:uid="{00000000-0005-0000-0000-0000B1000000}"/>
    <cellStyle name="Normal 27 3" xfId="178" xr:uid="{00000000-0005-0000-0000-0000B2000000}"/>
    <cellStyle name="Normal 27 4" xfId="179" xr:uid="{00000000-0005-0000-0000-0000B3000000}"/>
    <cellStyle name="Normal 27 5" xfId="180" xr:uid="{00000000-0005-0000-0000-0000B4000000}"/>
    <cellStyle name="Normal 27 6" xfId="181" xr:uid="{00000000-0005-0000-0000-0000B5000000}"/>
    <cellStyle name="Normal 27 7" xfId="182" xr:uid="{00000000-0005-0000-0000-0000B6000000}"/>
    <cellStyle name="Normal 28" xfId="183" xr:uid="{00000000-0005-0000-0000-0000B7000000}"/>
    <cellStyle name="Normal 29" xfId="184" xr:uid="{00000000-0005-0000-0000-0000B8000000}"/>
    <cellStyle name="Normal 3" xfId="185" xr:uid="{00000000-0005-0000-0000-0000B9000000}"/>
    <cellStyle name="Normal 3 2" xfId="186" xr:uid="{00000000-0005-0000-0000-0000BA000000}"/>
    <cellStyle name="Normal 3 2 2" xfId="187" xr:uid="{00000000-0005-0000-0000-0000BB000000}"/>
    <cellStyle name="Normal 3 2 3" xfId="188" xr:uid="{00000000-0005-0000-0000-0000BC000000}"/>
    <cellStyle name="Normal 3 2 4" xfId="189" xr:uid="{00000000-0005-0000-0000-0000BD000000}"/>
    <cellStyle name="Normal 3 2 5" xfId="190" xr:uid="{00000000-0005-0000-0000-0000BE000000}"/>
    <cellStyle name="Normal 3 2 6" xfId="191" xr:uid="{00000000-0005-0000-0000-0000BF000000}"/>
    <cellStyle name="Normal 3 2 7" xfId="192" xr:uid="{00000000-0005-0000-0000-0000C0000000}"/>
    <cellStyle name="Normal 3 2 8" xfId="193" xr:uid="{00000000-0005-0000-0000-0000C1000000}"/>
    <cellStyle name="Normal 3 3" xfId="194" xr:uid="{00000000-0005-0000-0000-0000C2000000}"/>
    <cellStyle name="Normal 3 4" xfId="195" xr:uid="{00000000-0005-0000-0000-0000C3000000}"/>
    <cellStyle name="Normal 3 5" xfId="196" xr:uid="{00000000-0005-0000-0000-0000C4000000}"/>
    <cellStyle name="Normal 3 6" xfId="197" xr:uid="{00000000-0005-0000-0000-0000C5000000}"/>
    <cellStyle name="Normal 3 7" xfId="198" xr:uid="{00000000-0005-0000-0000-0000C6000000}"/>
    <cellStyle name="Normal 3 8" xfId="199" xr:uid="{00000000-0005-0000-0000-0000C7000000}"/>
    <cellStyle name="Normal 3 9" xfId="200" xr:uid="{00000000-0005-0000-0000-0000C8000000}"/>
    <cellStyle name="Normal 3_אלמנטרי" xfId="201" xr:uid="{00000000-0005-0000-0000-0000C9000000}"/>
    <cellStyle name="Normal 30" xfId="202" xr:uid="{00000000-0005-0000-0000-0000CA000000}"/>
    <cellStyle name="Normal 30 2" xfId="203" xr:uid="{00000000-0005-0000-0000-0000CB000000}"/>
    <cellStyle name="Normal 30 3" xfId="204" xr:uid="{00000000-0005-0000-0000-0000CC000000}"/>
    <cellStyle name="Normal 30 4" xfId="205" xr:uid="{00000000-0005-0000-0000-0000CD000000}"/>
    <cellStyle name="Normal 30 5" xfId="206" xr:uid="{00000000-0005-0000-0000-0000CE000000}"/>
    <cellStyle name="Normal 30 6" xfId="207" xr:uid="{00000000-0005-0000-0000-0000CF000000}"/>
    <cellStyle name="Normal 30 7" xfId="208" xr:uid="{00000000-0005-0000-0000-0000D0000000}"/>
    <cellStyle name="Normal 31" xfId="209" xr:uid="{00000000-0005-0000-0000-0000D1000000}"/>
    <cellStyle name="Normal 32" xfId="210" xr:uid="{00000000-0005-0000-0000-0000D2000000}"/>
    <cellStyle name="Normal 32 2" xfId="211" xr:uid="{00000000-0005-0000-0000-0000D3000000}"/>
    <cellStyle name="Normal 32 3" xfId="212" xr:uid="{00000000-0005-0000-0000-0000D4000000}"/>
    <cellStyle name="Normal 32 4" xfId="213" xr:uid="{00000000-0005-0000-0000-0000D5000000}"/>
    <cellStyle name="Normal 32 5" xfId="214" xr:uid="{00000000-0005-0000-0000-0000D6000000}"/>
    <cellStyle name="Normal 32 6" xfId="215" xr:uid="{00000000-0005-0000-0000-0000D7000000}"/>
    <cellStyle name="Normal 32 7" xfId="216" xr:uid="{00000000-0005-0000-0000-0000D8000000}"/>
    <cellStyle name="Normal 33" xfId="217" xr:uid="{00000000-0005-0000-0000-0000D9000000}"/>
    <cellStyle name="Normal 33 2" xfId="218" xr:uid="{00000000-0005-0000-0000-0000DA000000}"/>
    <cellStyle name="Normal 33 3" xfId="219" xr:uid="{00000000-0005-0000-0000-0000DB000000}"/>
    <cellStyle name="Normal 33 4" xfId="220" xr:uid="{00000000-0005-0000-0000-0000DC000000}"/>
    <cellStyle name="Normal 33 5" xfId="221" xr:uid="{00000000-0005-0000-0000-0000DD000000}"/>
    <cellStyle name="Normal 33 6" xfId="222" xr:uid="{00000000-0005-0000-0000-0000DE000000}"/>
    <cellStyle name="Normal 33 7" xfId="223" xr:uid="{00000000-0005-0000-0000-0000DF000000}"/>
    <cellStyle name="Normal 34" xfId="224" xr:uid="{00000000-0005-0000-0000-0000E0000000}"/>
    <cellStyle name="Normal 34 2" xfId="225" xr:uid="{00000000-0005-0000-0000-0000E1000000}"/>
    <cellStyle name="Normal 35" xfId="226" xr:uid="{00000000-0005-0000-0000-0000E2000000}"/>
    <cellStyle name="Normal 36" xfId="227" xr:uid="{00000000-0005-0000-0000-0000E3000000}"/>
    <cellStyle name="Normal 36 2" xfId="228" xr:uid="{00000000-0005-0000-0000-0000E4000000}"/>
    <cellStyle name="Normal 36 3" xfId="229" xr:uid="{00000000-0005-0000-0000-0000E5000000}"/>
    <cellStyle name="Normal 36 4" xfId="230" xr:uid="{00000000-0005-0000-0000-0000E6000000}"/>
    <cellStyle name="Normal 36 5" xfId="231" xr:uid="{00000000-0005-0000-0000-0000E7000000}"/>
    <cellStyle name="Normal 36 6" xfId="232" xr:uid="{00000000-0005-0000-0000-0000E8000000}"/>
    <cellStyle name="Normal 36 7" xfId="233" xr:uid="{00000000-0005-0000-0000-0000E9000000}"/>
    <cellStyle name="Normal 37" xfId="234" xr:uid="{00000000-0005-0000-0000-0000EA000000}"/>
    <cellStyle name="Normal 38" xfId="235" xr:uid="{00000000-0005-0000-0000-0000EB000000}"/>
    <cellStyle name="Normal 39" xfId="236" xr:uid="{00000000-0005-0000-0000-0000EC000000}"/>
    <cellStyle name="Normal 4" xfId="237" xr:uid="{00000000-0005-0000-0000-0000ED000000}"/>
    <cellStyle name="Normal 4 2" xfId="238" xr:uid="{00000000-0005-0000-0000-0000EE000000}"/>
    <cellStyle name="Normal 4 3" xfId="239" xr:uid="{00000000-0005-0000-0000-0000EF000000}"/>
    <cellStyle name="Normal 4 4" xfId="240" xr:uid="{00000000-0005-0000-0000-0000F0000000}"/>
    <cellStyle name="Normal 4 5" xfId="241" xr:uid="{00000000-0005-0000-0000-0000F1000000}"/>
    <cellStyle name="Normal 4 6" xfId="242" xr:uid="{00000000-0005-0000-0000-0000F2000000}"/>
    <cellStyle name="Normal 4 7" xfId="243" xr:uid="{00000000-0005-0000-0000-0000F3000000}"/>
    <cellStyle name="Normal 4 8" xfId="244" xr:uid="{00000000-0005-0000-0000-0000F4000000}"/>
    <cellStyle name="Normal 4_ירידות ערך שנזקפו" xfId="245" xr:uid="{00000000-0005-0000-0000-0000F5000000}"/>
    <cellStyle name="Normal 40" xfId="246" xr:uid="{00000000-0005-0000-0000-0000F6000000}"/>
    <cellStyle name="Normal 41" xfId="247" xr:uid="{00000000-0005-0000-0000-0000F7000000}"/>
    <cellStyle name="Normal 41 2" xfId="248" xr:uid="{00000000-0005-0000-0000-0000F8000000}"/>
    <cellStyle name="Normal 41 3" xfId="249" xr:uid="{00000000-0005-0000-0000-0000F9000000}"/>
    <cellStyle name="Normal 41 4" xfId="250" xr:uid="{00000000-0005-0000-0000-0000FA000000}"/>
    <cellStyle name="Normal 41 5" xfId="251" xr:uid="{00000000-0005-0000-0000-0000FB000000}"/>
    <cellStyle name="Normal 41 6" xfId="252" xr:uid="{00000000-0005-0000-0000-0000FC000000}"/>
    <cellStyle name="Normal 41 7" xfId="253" xr:uid="{00000000-0005-0000-0000-0000FD000000}"/>
    <cellStyle name="Normal 42" xfId="254" xr:uid="{00000000-0005-0000-0000-0000FE000000}"/>
    <cellStyle name="Normal 42 2" xfId="255" xr:uid="{00000000-0005-0000-0000-0000FF000000}"/>
    <cellStyle name="Normal 42 2 2" xfId="256" xr:uid="{00000000-0005-0000-0000-000000010000}"/>
    <cellStyle name="Normal 42 3" xfId="257" xr:uid="{00000000-0005-0000-0000-000001010000}"/>
    <cellStyle name="Normal 42 3 2" xfId="258" xr:uid="{00000000-0005-0000-0000-000002010000}"/>
    <cellStyle name="Normal 42 4" xfId="259" xr:uid="{00000000-0005-0000-0000-000003010000}"/>
    <cellStyle name="Normal 42 4 2" xfId="260" xr:uid="{00000000-0005-0000-0000-000004010000}"/>
    <cellStyle name="Normal 42 5" xfId="261" xr:uid="{00000000-0005-0000-0000-000005010000}"/>
    <cellStyle name="Normal 43" xfId="262" xr:uid="{00000000-0005-0000-0000-000006010000}"/>
    <cellStyle name="Normal 44" xfId="263" xr:uid="{00000000-0005-0000-0000-000007010000}"/>
    <cellStyle name="Normal 45" xfId="264" xr:uid="{00000000-0005-0000-0000-000008010000}"/>
    <cellStyle name="Normal 45 2" xfId="265" xr:uid="{00000000-0005-0000-0000-000009010000}"/>
    <cellStyle name="Normal 45 2 2" xfId="266" xr:uid="{00000000-0005-0000-0000-00000A010000}"/>
    <cellStyle name="Normal 45 3" xfId="267" xr:uid="{00000000-0005-0000-0000-00000B010000}"/>
    <cellStyle name="Normal 45 3 2" xfId="268" xr:uid="{00000000-0005-0000-0000-00000C010000}"/>
    <cellStyle name="Normal 45 4" xfId="269" xr:uid="{00000000-0005-0000-0000-00000D010000}"/>
    <cellStyle name="Normal 45 4 2" xfId="270" xr:uid="{00000000-0005-0000-0000-00000E010000}"/>
    <cellStyle name="Normal 45 5" xfId="271" xr:uid="{00000000-0005-0000-0000-00000F010000}"/>
    <cellStyle name="Normal 46" xfId="272" xr:uid="{00000000-0005-0000-0000-000010010000}"/>
    <cellStyle name="Normal 46 2" xfId="273" xr:uid="{00000000-0005-0000-0000-000011010000}"/>
    <cellStyle name="Normal 46 2 2" xfId="274" xr:uid="{00000000-0005-0000-0000-000012010000}"/>
    <cellStyle name="Normal 46 3" xfId="275" xr:uid="{00000000-0005-0000-0000-000013010000}"/>
    <cellStyle name="Normal 46 3 2" xfId="276" xr:uid="{00000000-0005-0000-0000-000014010000}"/>
    <cellStyle name="Normal 46 4" xfId="277" xr:uid="{00000000-0005-0000-0000-000015010000}"/>
    <cellStyle name="Normal 46 4 2" xfId="278" xr:uid="{00000000-0005-0000-0000-000016010000}"/>
    <cellStyle name="Normal 46 5" xfId="279" xr:uid="{00000000-0005-0000-0000-000017010000}"/>
    <cellStyle name="Normal 47" xfId="280" xr:uid="{00000000-0005-0000-0000-000018010000}"/>
    <cellStyle name="Normal 47 2" xfId="281" xr:uid="{00000000-0005-0000-0000-000019010000}"/>
    <cellStyle name="Normal 47 2 2" xfId="282" xr:uid="{00000000-0005-0000-0000-00001A010000}"/>
    <cellStyle name="Normal 47 3" xfId="283" xr:uid="{00000000-0005-0000-0000-00001B010000}"/>
    <cellStyle name="Normal 47 3 2" xfId="284" xr:uid="{00000000-0005-0000-0000-00001C010000}"/>
    <cellStyle name="Normal 47 4" xfId="285" xr:uid="{00000000-0005-0000-0000-00001D010000}"/>
    <cellStyle name="Normal 47 4 2" xfId="286" xr:uid="{00000000-0005-0000-0000-00001E010000}"/>
    <cellStyle name="Normal 47 5" xfId="287" xr:uid="{00000000-0005-0000-0000-00001F010000}"/>
    <cellStyle name="Normal 48" xfId="288" xr:uid="{00000000-0005-0000-0000-000020010000}"/>
    <cellStyle name="Normal 49" xfId="289" xr:uid="{00000000-0005-0000-0000-000021010000}"/>
    <cellStyle name="Normal 5" xfId="290" xr:uid="{00000000-0005-0000-0000-000022010000}"/>
    <cellStyle name="Normal 5 2" xfId="291" xr:uid="{00000000-0005-0000-0000-000023010000}"/>
    <cellStyle name="Normal 5 3" xfId="292" xr:uid="{00000000-0005-0000-0000-000024010000}"/>
    <cellStyle name="Normal 5 4" xfId="293" xr:uid="{00000000-0005-0000-0000-000025010000}"/>
    <cellStyle name="Normal 5 5" xfId="294" xr:uid="{00000000-0005-0000-0000-000026010000}"/>
    <cellStyle name="Normal 5 6" xfId="295" xr:uid="{00000000-0005-0000-0000-000027010000}"/>
    <cellStyle name="Normal 5 7" xfId="296" xr:uid="{00000000-0005-0000-0000-000028010000}"/>
    <cellStyle name="Normal 5 8" xfId="297" xr:uid="{00000000-0005-0000-0000-000029010000}"/>
    <cellStyle name="Normal 50" xfId="298" xr:uid="{00000000-0005-0000-0000-00002A010000}"/>
    <cellStyle name="Normal 6" xfId="299" xr:uid="{00000000-0005-0000-0000-00002B010000}"/>
    <cellStyle name="Normal 6 10" xfId="300" xr:uid="{00000000-0005-0000-0000-00002C010000}"/>
    <cellStyle name="Normal 6 11" xfId="301" xr:uid="{00000000-0005-0000-0000-00002D010000}"/>
    <cellStyle name="Normal 6 12" xfId="302" xr:uid="{00000000-0005-0000-0000-00002E010000}"/>
    <cellStyle name="Normal 6 13" xfId="303" xr:uid="{00000000-0005-0000-0000-00002F010000}"/>
    <cellStyle name="Normal 6 14" xfId="304" xr:uid="{00000000-0005-0000-0000-000030010000}"/>
    <cellStyle name="Normal 6 2" xfId="305" xr:uid="{00000000-0005-0000-0000-000031010000}"/>
    <cellStyle name="Normal 6 2 2" xfId="306" xr:uid="{00000000-0005-0000-0000-000032010000}"/>
    <cellStyle name="Normal 6 2 3" xfId="307" xr:uid="{00000000-0005-0000-0000-000033010000}"/>
    <cellStyle name="Normal 6 2 4" xfId="308" xr:uid="{00000000-0005-0000-0000-000034010000}"/>
    <cellStyle name="Normal 6 2 5" xfId="309" xr:uid="{00000000-0005-0000-0000-000035010000}"/>
    <cellStyle name="Normal 6 2 6" xfId="310" xr:uid="{00000000-0005-0000-0000-000036010000}"/>
    <cellStyle name="Normal 6 2 7" xfId="311" xr:uid="{00000000-0005-0000-0000-000037010000}"/>
    <cellStyle name="Normal 6 3" xfId="312" xr:uid="{00000000-0005-0000-0000-000038010000}"/>
    <cellStyle name="Normal 6 4" xfId="313" xr:uid="{00000000-0005-0000-0000-000039010000}"/>
    <cellStyle name="Normal 6 5" xfId="314" xr:uid="{00000000-0005-0000-0000-00003A010000}"/>
    <cellStyle name="Normal 6 6" xfId="315" xr:uid="{00000000-0005-0000-0000-00003B010000}"/>
    <cellStyle name="Normal 6 7" xfId="316" xr:uid="{00000000-0005-0000-0000-00003C010000}"/>
    <cellStyle name="Normal 6 8" xfId="317" xr:uid="{00000000-0005-0000-0000-00003D010000}"/>
    <cellStyle name="Normal 6 9" xfId="318" xr:uid="{00000000-0005-0000-0000-00003E010000}"/>
    <cellStyle name="Normal 6_Data" xfId="319" xr:uid="{00000000-0005-0000-0000-00003F010000}"/>
    <cellStyle name="Normal 60" xfId="320" xr:uid="{00000000-0005-0000-0000-000040010000}"/>
    <cellStyle name="Normal 64" xfId="321" xr:uid="{00000000-0005-0000-0000-000041010000}"/>
    <cellStyle name="Normal 64 2" xfId="322" xr:uid="{00000000-0005-0000-0000-000042010000}"/>
    <cellStyle name="Normal 64 2 2" xfId="323" xr:uid="{00000000-0005-0000-0000-000043010000}"/>
    <cellStyle name="Normal 64 3" xfId="324" xr:uid="{00000000-0005-0000-0000-000044010000}"/>
    <cellStyle name="Normal 64 3 2" xfId="325" xr:uid="{00000000-0005-0000-0000-000045010000}"/>
    <cellStyle name="Normal 64 4" xfId="326" xr:uid="{00000000-0005-0000-0000-000046010000}"/>
    <cellStyle name="Normal 64 4 2" xfId="327" xr:uid="{00000000-0005-0000-0000-000047010000}"/>
    <cellStyle name="Normal 64 5" xfId="328" xr:uid="{00000000-0005-0000-0000-000048010000}"/>
    <cellStyle name="Normal 65" xfId="329" xr:uid="{00000000-0005-0000-0000-000049010000}"/>
    <cellStyle name="Normal 65 2" xfId="330" xr:uid="{00000000-0005-0000-0000-00004A010000}"/>
    <cellStyle name="Normal 65 2 2" xfId="331" xr:uid="{00000000-0005-0000-0000-00004B010000}"/>
    <cellStyle name="Normal 65 3" xfId="332" xr:uid="{00000000-0005-0000-0000-00004C010000}"/>
    <cellStyle name="Normal 65 3 2" xfId="333" xr:uid="{00000000-0005-0000-0000-00004D010000}"/>
    <cellStyle name="Normal 65 4" xfId="334" xr:uid="{00000000-0005-0000-0000-00004E010000}"/>
    <cellStyle name="Normal 65 4 2" xfId="335" xr:uid="{00000000-0005-0000-0000-00004F010000}"/>
    <cellStyle name="Normal 65 5" xfId="336" xr:uid="{00000000-0005-0000-0000-000050010000}"/>
    <cellStyle name="Normal 7" xfId="337" xr:uid="{00000000-0005-0000-0000-000051010000}"/>
    <cellStyle name="Normal 7 10" xfId="338" xr:uid="{00000000-0005-0000-0000-000052010000}"/>
    <cellStyle name="Normal 7 11" xfId="339" xr:uid="{00000000-0005-0000-0000-000053010000}"/>
    <cellStyle name="Normal 7 12" xfId="340" xr:uid="{00000000-0005-0000-0000-000054010000}"/>
    <cellStyle name="Normal 7 13" xfId="341" xr:uid="{00000000-0005-0000-0000-000055010000}"/>
    <cellStyle name="Normal 7 14" xfId="342" xr:uid="{00000000-0005-0000-0000-000056010000}"/>
    <cellStyle name="Normal 7 2" xfId="343" xr:uid="{00000000-0005-0000-0000-000057010000}"/>
    <cellStyle name="Normal 7 2 2" xfId="344" xr:uid="{00000000-0005-0000-0000-000058010000}"/>
    <cellStyle name="Normal 7 2 3" xfId="345" xr:uid="{00000000-0005-0000-0000-000059010000}"/>
    <cellStyle name="Normal 7 2 4" xfId="346" xr:uid="{00000000-0005-0000-0000-00005A010000}"/>
    <cellStyle name="Normal 7 2 5" xfId="347" xr:uid="{00000000-0005-0000-0000-00005B010000}"/>
    <cellStyle name="Normal 7 2 6" xfId="348" xr:uid="{00000000-0005-0000-0000-00005C010000}"/>
    <cellStyle name="Normal 7 2 7" xfId="349" xr:uid="{00000000-0005-0000-0000-00005D010000}"/>
    <cellStyle name="Normal 7 3" xfId="350" xr:uid="{00000000-0005-0000-0000-00005E010000}"/>
    <cellStyle name="Normal 7 4" xfId="351" xr:uid="{00000000-0005-0000-0000-00005F010000}"/>
    <cellStyle name="Normal 7 5" xfId="352" xr:uid="{00000000-0005-0000-0000-000060010000}"/>
    <cellStyle name="Normal 7 6" xfId="353" xr:uid="{00000000-0005-0000-0000-000061010000}"/>
    <cellStyle name="Normal 7 7" xfId="354" xr:uid="{00000000-0005-0000-0000-000062010000}"/>
    <cellStyle name="Normal 7 8" xfId="355" xr:uid="{00000000-0005-0000-0000-000063010000}"/>
    <cellStyle name="Normal 7 9" xfId="356" xr:uid="{00000000-0005-0000-0000-000064010000}"/>
    <cellStyle name="Normal 7_Data" xfId="357" xr:uid="{00000000-0005-0000-0000-000065010000}"/>
    <cellStyle name="Normal 71" xfId="358" xr:uid="{00000000-0005-0000-0000-000066010000}"/>
    <cellStyle name="Normal 71 2" xfId="359" xr:uid="{00000000-0005-0000-0000-000067010000}"/>
    <cellStyle name="Normal 71 2 2" xfId="360" xr:uid="{00000000-0005-0000-0000-000068010000}"/>
    <cellStyle name="Normal 71 3" xfId="361" xr:uid="{00000000-0005-0000-0000-000069010000}"/>
    <cellStyle name="Normal 71 3 2" xfId="362" xr:uid="{00000000-0005-0000-0000-00006A010000}"/>
    <cellStyle name="Normal 71 4" xfId="363" xr:uid="{00000000-0005-0000-0000-00006B010000}"/>
    <cellStyle name="Normal 71 4 2" xfId="364" xr:uid="{00000000-0005-0000-0000-00006C010000}"/>
    <cellStyle name="Normal 71 5" xfId="365" xr:uid="{00000000-0005-0000-0000-00006D010000}"/>
    <cellStyle name="Normal 72" xfId="366" xr:uid="{00000000-0005-0000-0000-00006E010000}"/>
    <cellStyle name="Normal 72 2" xfId="367" xr:uid="{00000000-0005-0000-0000-00006F010000}"/>
    <cellStyle name="Normal 72 2 2" xfId="368" xr:uid="{00000000-0005-0000-0000-000070010000}"/>
    <cellStyle name="Normal 72 3" xfId="369" xr:uid="{00000000-0005-0000-0000-000071010000}"/>
    <cellStyle name="Normal 72 3 2" xfId="370" xr:uid="{00000000-0005-0000-0000-000072010000}"/>
    <cellStyle name="Normal 72 4" xfId="371" xr:uid="{00000000-0005-0000-0000-000073010000}"/>
    <cellStyle name="Normal 72 4 2" xfId="372" xr:uid="{00000000-0005-0000-0000-000074010000}"/>
    <cellStyle name="Normal 72 5" xfId="373" xr:uid="{00000000-0005-0000-0000-000075010000}"/>
    <cellStyle name="Normal 73" xfId="374" xr:uid="{00000000-0005-0000-0000-000076010000}"/>
    <cellStyle name="Normal 74" xfId="375" xr:uid="{00000000-0005-0000-0000-000077010000}"/>
    <cellStyle name="Normal 76" xfId="376" xr:uid="{00000000-0005-0000-0000-000078010000}"/>
    <cellStyle name="Normal 77" xfId="377" xr:uid="{00000000-0005-0000-0000-000079010000}"/>
    <cellStyle name="Normal 79" xfId="378" xr:uid="{00000000-0005-0000-0000-00007A010000}"/>
    <cellStyle name="Normal 8" xfId="379" xr:uid="{00000000-0005-0000-0000-00007B010000}"/>
    <cellStyle name="Normal 8 2" xfId="380" xr:uid="{00000000-0005-0000-0000-00007C010000}"/>
    <cellStyle name="Normal 8 3" xfId="381" xr:uid="{00000000-0005-0000-0000-00007D010000}"/>
    <cellStyle name="Normal 8 4" xfId="382" xr:uid="{00000000-0005-0000-0000-00007E010000}"/>
    <cellStyle name="Normal 8 5" xfId="383" xr:uid="{00000000-0005-0000-0000-00007F010000}"/>
    <cellStyle name="Normal 8 6" xfId="384" xr:uid="{00000000-0005-0000-0000-000080010000}"/>
    <cellStyle name="Normal 8 7" xfId="385" xr:uid="{00000000-0005-0000-0000-000081010000}"/>
    <cellStyle name="Normal 8 8" xfId="386" xr:uid="{00000000-0005-0000-0000-000082010000}"/>
    <cellStyle name="Normal 8_ירידות ערך שנזקפו" xfId="387" xr:uid="{00000000-0005-0000-0000-000083010000}"/>
    <cellStyle name="Normal 80" xfId="388" xr:uid="{00000000-0005-0000-0000-000084010000}"/>
    <cellStyle name="Normal 80 2" xfId="389" xr:uid="{00000000-0005-0000-0000-000085010000}"/>
    <cellStyle name="Normal 80 2 2" xfId="390" xr:uid="{00000000-0005-0000-0000-000086010000}"/>
    <cellStyle name="Normal 80 3" xfId="391" xr:uid="{00000000-0005-0000-0000-000087010000}"/>
    <cellStyle name="Normal 80 3 2" xfId="392" xr:uid="{00000000-0005-0000-0000-000088010000}"/>
    <cellStyle name="Normal 80 4" xfId="393" xr:uid="{00000000-0005-0000-0000-000089010000}"/>
    <cellStyle name="Normal 80 4 2" xfId="394" xr:uid="{00000000-0005-0000-0000-00008A010000}"/>
    <cellStyle name="Normal 80 5" xfId="395" xr:uid="{00000000-0005-0000-0000-00008B010000}"/>
    <cellStyle name="Normal 81" xfId="396" xr:uid="{00000000-0005-0000-0000-00008C010000}"/>
    <cellStyle name="Normal 81 2" xfId="397" xr:uid="{00000000-0005-0000-0000-00008D010000}"/>
    <cellStyle name="Normal 81 2 2" xfId="398" xr:uid="{00000000-0005-0000-0000-00008E010000}"/>
    <cellStyle name="Normal 81 3" xfId="399" xr:uid="{00000000-0005-0000-0000-00008F010000}"/>
    <cellStyle name="Normal 81 3 2" xfId="400" xr:uid="{00000000-0005-0000-0000-000090010000}"/>
    <cellStyle name="Normal 81 4" xfId="401" xr:uid="{00000000-0005-0000-0000-000091010000}"/>
    <cellStyle name="Normal 81 4 2" xfId="402" xr:uid="{00000000-0005-0000-0000-000092010000}"/>
    <cellStyle name="Normal 81 5" xfId="403" xr:uid="{00000000-0005-0000-0000-000093010000}"/>
    <cellStyle name="Normal 82" xfId="404" xr:uid="{00000000-0005-0000-0000-000094010000}"/>
    <cellStyle name="Normal 82 2" xfId="405" xr:uid="{00000000-0005-0000-0000-000095010000}"/>
    <cellStyle name="Normal 82 2 2" xfId="406" xr:uid="{00000000-0005-0000-0000-000096010000}"/>
    <cellStyle name="Normal 82 3" xfId="407" xr:uid="{00000000-0005-0000-0000-000097010000}"/>
    <cellStyle name="Normal 82 3 2" xfId="408" xr:uid="{00000000-0005-0000-0000-000098010000}"/>
    <cellStyle name="Normal 82 4" xfId="409" xr:uid="{00000000-0005-0000-0000-000099010000}"/>
    <cellStyle name="Normal 82 4 2" xfId="410" xr:uid="{00000000-0005-0000-0000-00009A010000}"/>
    <cellStyle name="Normal 82 5" xfId="411" xr:uid="{00000000-0005-0000-0000-00009B010000}"/>
    <cellStyle name="Normal 9" xfId="412" xr:uid="{00000000-0005-0000-0000-00009C010000}"/>
    <cellStyle name="Normal 9 2" xfId="413" xr:uid="{00000000-0005-0000-0000-00009D010000}"/>
    <cellStyle name="Normal 9 3" xfId="414" xr:uid="{00000000-0005-0000-0000-00009E010000}"/>
    <cellStyle name="Normal 9 4" xfId="415" xr:uid="{00000000-0005-0000-0000-00009F010000}"/>
    <cellStyle name="Normal 9 5" xfId="416" xr:uid="{00000000-0005-0000-0000-0000A0010000}"/>
    <cellStyle name="Normal 9 6" xfId="417" xr:uid="{00000000-0005-0000-0000-0000A1010000}"/>
    <cellStyle name="Normal 9 7" xfId="418" xr:uid="{00000000-0005-0000-0000-0000A2010000}"/>
    <cellStyle name="Normal 9 8" xfId="419" xr:uid="{00000000-0005-0000-0000-0000A3010000}"/>
    <cellStyle name="Normal 9_ירידות ערך שנזקפו" xfId="420" xr:uid="{00000000-0005-0000-0000-0000A4010000}"/>
    <cellStyle name="Percent" xfId="421" builtinId="5"/>
    <cellStyle name="Percent 2" xfId="422" xr:uid="{00000000-0005-0000-0000-0000A6010000}"/>
    <cellStyle name="Percent 2 2" xfId="423" xr:uid="{00000000-0005-0000-0000-0000A7010000}"/>
    <cellStyle name="Percent 2 2 10" xfId="424" xr:uid="{00000000-0005-0000-0000-0000A8010000}"/>
    <cellStyle name="Percent 2 2 11" xfId="425" xr:uid="{00000000-0005-0000-0000-0000A9010000}"/>
    <cellStyle name="Percent 2 2 11 2" xfId="426" xr:uid="{00000000-0005-0000-0000-0000AA010000}"/>
    <cellStyle name="Percent 2 2 11 3" xfId="427" xr:uid="{00000000-0005-0000-0000-0000AB010000}"/>
    <cellStyle name="Percent 2 2 12" xfId="428" xr:uid="{00000000-0005-0000-0000-0000AC010000}"/>
    <cellStyle name="Percent 2 2 2" xfId="429" xr:uid="{00000000-0005-0000-0000-0000AD010000}"/>
    <cellStyle name="Percent 2 2 2 2" xfId="430" xr:uid="{00000000-0005-0000-0000-0000AE010000}"/>
    <cellStyle name="Percent 2 2 2 2 2" xfId="431" xr:uid="{00000000-0005-0000-0000-0000AF010000}"/>
    <cellStyle name="Percent 2 2 2 2 2 2" xfId="432" xr:uid="{00000000-0005-0000-0000-0000B0010000}"/>
    <cellStyle name="Percent 2 2 2 2 2 2 2" xfId="433" xr:uid="{00000000-0005-0000-0000-0000B1010000}"/>
    <cellStyle name="Percent 2 2 2 2 3" xfId="434" xr:uid="{00000000-0005-0000-0000-0000B2010000}"/>
    <cellStyle name="Percent 2 2 2 2 4" xfId="435" xr:uid="{00000000-0005-0000-0000-0000B3010000}"/>
    <cellStyle name="Percent 2 2 2 2 5" xfId="436" xr:uid="{00000000-0005-0000-0000-0000B4010000}"/>
    <cellStyle name="Percent 2 2 2 2 6" xfId="437" xr:uid="{00000000-0005-0000-0000-0000B5010000}"/>
    <cellStyle name="Percent 2 2 2 2 7" xfId="438" xr:uid="{00000000-0005-0000-0000-0000B6010000}"/>
    <cellStyle name="Percent 2 2 2 2 8" xfId="439" xr:uid="{00000000-0005-0000-0000-0000B7010000}"/>
    <cellStyle name="Percent 2 2 2 3" xfId="440" xr:uid="{00000000-0005-0000-0000-0000B8010000}"/>
    <cellStyle name="Percent 2 2 2 3 2" xfId="441" xr:uid="{00000000-0005-0000-0000-0000B9010000}"/>
    <cellStyle name="Percent 2 2 2 3 2 2" xfId="442" xr:uid="{00000000-0005-0000-0000-0000BA010000}"/>
    <cellStyle name="Percent 2 2 2 4" xfId="443" xr:uid="{00000000-0005-0000-0000-0000BB010000}"/>
    <cellStyle name="Percent 2 2 2 5" xfId="444" xr:uid="{00000000-0005-0000-0000-0000BC010000}"/>
    <cellStyle name="Percent 2 2 2 6" xfId="445" xr:uid="{00000000-0005-0000-0000-0000BD010000}"/>
    <cellStyle name="Percent 2 2 2 7" xfId="446" xr:uid="{00000000-0005-0000-0000-0000BE010000}"/>
    <cellStyle name="Percent 2 2 2 8" xfId="447" xr:uid="{00000000-0005-0000-0000-0000BF010000}"/>
    <cellStyle name="Percent 2 2 3" xfId="448" xr:uid="{00000000-0005-0000-0000-0000C0010000}"/>
    <cellStyle name="Percent 2 2 4" xfId="449" xr:uid="{00000000-0005-0000-0000-0000C1010000}"/>
    <cellStyle name="Percent 2 2 4 2" xfId="450" xr:uid="{00000000-0005-0000-0000-0000C2010000}"/>
    <cellStyle name="Percent 2 2 4 2 2" xfId="451" xr:uid="{00000000-0005-0000-0000-0000C3010000}"/>
    <cellStyle name="Percent 2 2 5" xfId="452" xr:uid="{00000000-0005-0000-0000-0000C4010000}"/>
    <cellStyle name="Percent 2 2 6" xfId="453" xr:uid="{00000000-0005-0000-0000-0000C5010000}"/>
    <cellStyle name="Percent 2 2 7" xfId="454" xr:uid="{00000000-0005-0000-0000-0000C6010000}"/>
    <cellStyle name="Percent 2 2 8" xfId="455" xr:uid="{00000000-0005-0000-0000-0000C7010000}"/>
    <cellStyle name="Percent 2 2 9" xfId="456" xr:uid="{00000000-0005-0000-0000-0000C8010000}"/>
    <cellStyle name="Percent 2 3" xfId="457" xr:uid="{00000000-0005-0000-0000-0000C9010000}"/>
    <cellStyle name="Percent 2 4" xfId="458" xr:uid="{00000000-0005-0000-0000-0000CA010000}"/>
    <cellStyle name="Percent 2 5" xfId="459" xr:uid="{00000000-0005-0000-0000-0000CB010000}"/>
    <cellStyle name="Percent 2 6" xfId="460" xr:uid="{00000000-0005-0000-0000-0000CC010000}"/>
    <cellStyle name="Percent 3" xfId="461" xr:uid="{00000000-0005-0000-0000-0000CD010000}"/>
    <cellStyle name="Percent 3 10" xfId="462" xr:uid="{00000000-0005-0000-0000-0000CE010000}"/>
    <cellStyle name="Percent 3 11" xfId="463" xr:uid="{00000000-0005-0000-0000-0000CF010000}"/>
    <cellStyle name="Percent 3 2" xfId="464" xr:uid="{00000000-0005-0000-0000-0000D0010000}"/>
    <cellStyle name="Percent 3 3" xfId="465" xr:uid="{00000000-0005-0000-0000-0000D1010000}"/>
    <cellStyle name="Percent 3 4" xfId="466" xr:uid="{00000000-0005-0000-0000-0000D2010000}"/>
    <cellStyle name="Percent 3 5" xfId="467" xr:uid="{00000000-0005-0000-0000-0000D3010000}"/>
    <cellStyle name="Percent 3 6" xfId="468" xr:uid="{00000000-0005-0000-0000-0000D4010000}"/>
    <cellStyle name="Percent 3 7" xfId="469" xr:uid="{00000000-0005-0000-0000-0000D5010000}"/>
    <cellStyle name="Percent 3 8" xfId="470" xr:uid="{00000000-0005-0000-0000-0000D6010000}"/>
    <cellStyle name="Percent 3 9" xfId="471" xr:uid="{00000000-0005-0000-0000-0000D7010000}"/>
    <cellStyle name="Percent 4" xfId="472" xr:uid="{00000000-0005-0000-0000-0000D8010000}"/>
    <cellStyle name="Percent 4 2" xfId="473" xr:uid="{00000000-0005-0000-0000-0000D9010000}"/>
    <cellStyle name="Percent 5" xfId="474" xr:uid="{00000000-0005-0000-0000-0000DA010000}"/>
    <cellStyle name="Percent 5 2" xfId="475" xr:uid="{00000000-0005-0000-0000-0000DB010000}"/>
    <cellStyle name="Percent 5 3" xfId="476" xr:uid="{00000000-0005-0000-0000-0000DC010000}"/>
    <cellStyle name="Percent 5 4" xfId="477" xr:uid="{00000000-0005-0000-0000-0000DD010000}"/>
    <cellStyle name="Percent 5 5" xfId="478" xr:uid="{00000000-0005-0000-0000-0000DE010000}"/>
    <cellStyle name="Percent 5 6" xfId="479" xr:uid="{00000000-0005-0000-0000-0000DF010000}"/>
    <cellStyle name="Percent 5 7" xfId="480" xr:uid="{00000000-0005-0000-0000-0000E0010000}"/>
    <cellStyle name="Percent 5 8" xfId="481" xr:uid="{00000000-0005-0000-0000-0000E1010000}"/>
    <cellStyle name="Percent 6" xfId="482" xr:uid="{00000000-0005-0000-0000-0000E2010000}"/>
    <cellStyle name="Percent 6 2" xfId="483" xr:uid="{00000000-0005-0000-0000-0000E3010000}"/>
    <cellStyle name="Percent 6 3" xfId="484" xr:uid="{00000000-0005-0000-0000-0000E4010000}"/>
    <cellStyle name="Percent 6 4" xfId="485" xr:uid="{00000000-0005-0000-0000-0000E5010000}"/>
    <cellStyle name="Percent 6 5" xfId="486" xr:uid="{00000000-0005-0000-0000-0000E6010000}"/>
    <cellStyle name="Percent 6 6" xfId="487" xr:uid="{00000000-0005-0000-0000-0000E7010000}"/>
    <cellStyle name="Percent 6 7" xfId="488" xr:uid="{00000000-0005-0000-0000-0000E8010000}"/>
    <cellStyle name="Percent 6 8" xfId="489" xr:uid="{00000000-0005-0000-0000-0000E9010000}"/>
    <cellStyle name="Spelling 1033,0_DORN0897 (2)_3" xfId="490" xr:uid="{00000000-0005-0000-0000-0000EA010000}"/>
    <cellStyle name="Yellow" xfId="491" xr:uid="{00000000-0005-0000-0000-0000EB010000}"/>
    <cellStyle name="בולט" xfId="492" xr:uid="{00000000-0005-0000-0000-0000EC010000}"/>
    <cellStyle name="הדגשה" xfId="493" xr:uid="{00000000-0005-0000-0000-0000ED010000}"/>
    <cellStyle name="הדגשה 1" xfId="494" xr:uid="{00000000-0005-0000-0000-0000EE010000}"/>
    <cellStyle name="טקסט" xfId="495" xr:uid="{00000000-0005-0000-0000-0000EF010000}"/>
    <cellStyle name="ינואר 2000" xfId="496" xr:uid="{00000000-0005-0000-0000-0000F0010000}"/>
    <cellStyle name="כותרת 1" xfId="504" builtinId="16"/>
    <cellStyle name="כותרת סעיף" xfId="497" xr:uid="{00000000-0005-0000-0000-0000F1010000}"/>
    <cellStyle name="כותרת ראשית" xfId="498" xr:uid="{00000000-0005-0000-0000-0000F2010000}"/>
    <cellStyle name="לינק" xfId="499" xr:uid="{00000000-0005-0000-0000-0000F3010000}"/>
    <cellStyle name="סיכום" xfId="500" xr:uid="{00000000-0005-0000-0000-0000F4010000}"/>
    <cellStyle name="שקוע" xfId="501" xr:uid="{00000000-0005-0000-0000-0000F5010000}"/>
    <cellStyle name="תאריך מלא" xfId="502" xr:uid="{00000000-0005-0000-0000-0000F6010000}"/>
    <cellStyle name="תוכן - מיכון דוחות" xfId="503" xr:uid="{00000000-0005-0000-0000-0000F7010000}"/>
  </cellStyles>
  <dxfs count="2">
    <dxf>
      <border outline="0">
        <bottom style="thin">
          <color indexed="64"/>
        </bottom>
      </border>
    </dxf>
    <dxf>
      <border outline="0"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colors>
    <mruColors>
      <color rgb="FF92D050"/>
      <color rgb="FFFFFFFF"/>
      <color rgb="FF00B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3711</xdr:colOff>
      <xdr:row>1</xdr:row>
      <xdr:rowOff>57150</xdr:rowOff>
    </xdr:from>
    <xdr:to>
      <xdr:col>14</xdr:col>
      <xdr:colOff>322706</xdr:colOff>
      <xdr:row>2</xdr:row>
      <xdr:rowOff>132225</xdr:rowOff>
    </xdr:to>
    <xdr:pic>
      <xdr:nvPicPr>
        <xdr:cNvPr id="3" name="תמונה 2" descr="לוגו מסמך נגיש">
          <a:extLst>
            <a:ext uri="{FF2B5EF4-FFF2-40B4-BE49-F238E27FC236}">
              <a16:creationId xmlns:a16="http://schemas.microsoft.com/office/drawing/2014/main" id="{2FD43F08-06AA-4BE3-B82D-42EC3C9231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2147544" y="295275"/>
          <a:ext cx="318995" cy="3132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DD62DD-A7D6-42C4-9C34-1B57D8B6836B}" name="טבלה2" displayName="טבלה2" ref="B5:Z37" totalsRowShown="0" tableBorderDxfId="1">
  <autoFilter ref="B5:Z37" xr:uid="{84DD62DD-A7D6-42C4-9C34-1B57D8B6836B}"/>
  <tableColumns count="25">
    <tableColumn id="1" xr3:uid="{8294806C-0D5E-4029-BCB7-5907335B5FBC}" name="אפיקי השקעה:"/>
    <tableColumn id="2" xr3:uid="{997B89D9-52B3-42A2-B9B7-3584981D42A3}" name="התרומה לתשואה ינואר 2020"/>
    <tableColumn id="3" xr3:uid="{302EDB19-270A-4D68-B76F-79F6BD492A6B}" name="שיעור מסך הנכסים ינואר 2020"/>
    <tableColumn id="4" xr3:uid="{97DF7FB3-CD22-4060-B3BF-B1C3042323F9}" name="התרומה לתשואה פברואר 2020"/>
    <tableColumn id="5" xr3:uid="{745B0EA3-F94C-472D-A775-0145BCB57757}" name="שיעור מסך הנכסים פברואר 2020"/>
    <tableColumn id="6" xr3:uid="{F6C195BF-D8C0-46EA-B1C9-EB8D6B3EE2EF}" name="התרומה לתשואה מרץ 2020"/>
    <tableColumn id="7" xr3:uid="{C534951B-8EAF-42A6-8A75-0D84B68318E2}" name="שיעור מסך הנכסים מרץ 2020"/>
    <tableColumn id="8" xr3:uid="{0280DD4D-5823-4647-BDCC-DC1F1045F307}" name="התרומה לתשואה אפריל 2020"/>
    <tableColumn id="9" xr3:uid="{F64E202A-068B-4643-ABC6-EDA095100AEE}" name="שיעור מסך הנכסים אפריל 2020"/>
    <tableColumn id="10" xr3:uid="{8591CBD6-CEEA-46A5-A0E6-E60767E22520}" name="התרומה לתשואה מאי 2020"/>
    <tableColumn id="11" xr3:uid="{4C29F48C-203D-4BF9-AD7B-9DFF63D48FED}" name="שיעור מסך הנכסים מאי 2020"/>
    <tableColumn id="12" xr3:uid="{29FCD9A9-052B-43B0-8142-3BC1781BE4A0}" name="התרומה לתשואה יוני 2020"/>
    <tableColumn id="13" xr3:uid="{77A2238C-5E28-498A-B4CF-CAB61F45BB33}" name="שיעור מסך הנכסים יוני 2020"/>
    <tableColumn id="14" xr3:uid="{507B56D1-F754-4B41-8AD9-B348BEBE3430}" name="התרומה לתשואה יולי 2020"/>
    <tableColumn id="15" xr3:uid="{42343EB0-2D7B-497F-A648-4853D7F7F6A3}" name="שיעור מסך הנכסים יולי 2020"/>
    <tableColumn id="16" xr3:uid="{562C3C38-3FC3-49FD-88D7-48122D1A3299}" name="התרומה לתשואה אוגוסט 2020"/>
    <tableColumn id="17" xr3:uid="{5A3D0F9A-53C4-43A0-AAC5-F0D1FC3123A1}" name="שיעור מסך הנכסים אוגוסט 2020"/>
    <tableColumn id="18" xr3:uid="{54287322-4917-42B3-986E-6159CEFBE301}" name="התרומה לתשואה ספטמבר 2020"/>
    <tableColumn id="19" xr3:uid="{18A34C49-3A2B-4DDD-BC8D-42780843C9A9}" name="שיעור מסך הנכסים ספטמבר 2020"/>
    <tableColumn id="20" xr3:uid="{FA1B18CB-08EC-4DA4-9D72-AF9FAEF1C2D8}" name="התרומה לתשואה אוקטובר 2020"/>
    <tableColumn id="21" xr3:uid="{99A390A6-3B49-485E-A63B-029DA19B4EAB}" name="שיעור מסך הנכסים אוקטובר 2020"/>
    <tableColumn id="22" xr3:uid="{45C218E4-512F-47A5-AD46-9C268D88E494}" name="התרומה לתשואה נובמבר 2020"/>
    <tableColumn id="23" xr3:uid="{305D6D32-9D15-49B9-B8DD-D69603ACD6DA}" name="שיעור מסך הנכסים נובמבר 2020"/>
    <tableColumn id="24" xr3:uid="{E9169CFB-ED60-473D-B089-B9D45174B794}" name="התרומה לתשואה דצמבר 2020"/>
    <tableColumn id="25" xr3:uid="{9950D0DC-6D4A-4674-8D60-32D1128D8331}" name="שיעור מסך הנכסים דצמבר 202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אפיקי השקעה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272BE99-D254-4C37-B117-18A3507E3C8B}" name="טבלה3" displayName="טבלה3" ref="B39:J71" totalsRowShown="0" tableBorderDxfId="0">
  <autoFilter ref="B39:J71" xr:uid="{A272BE99-D254-4C37-B117-18A3507E3C8B}"/>
  <tableColumns count="9">
    <tableColumn id="1" xr3:uid="{53A6E3B9-67D4-4FD2-BD3A-C834064278FD}" name="נתונים מצטברים"/>
    <tableColumn id="2" xr3:uid="{1ACA6917-077D-4FC1-ABE3-031566142F9B}" name="התרומה לתשואה ינואר-מרץ 2020"/>
    <tableColumn id="3" xr3:uid="{19C1C509-F351-4368-B300-CB66DFE9442D}" name="שיעור מסך הנכסים ינואר-מרץ 2020"/>
    <tableColumn id="4" xr3:uid="{1F2D83F8-5424-48D6-8730-FC42928AA7AB}" name="התרומה לתשואה ינואר-יוני 2020"/>
    <tableColumn id="5" xr3:uid="{A06F280E-B01A-492E-9381-DDBE0E11DB5F}" name="שיעור מסך הנכסים ינואר-יוני 2020"/>
    <tableColumn id="6" xr3:uid="{A02C8E5F-B30C-4309-9418-F2A925A18197}" name="התרומה לתשואה ינואר-ספטמבר 2020"/>
    <tableColumn id="7" xr3:uid="{428FF517-D5E2-441F-8C47-E488E694DA26}" name="שיעור מסך הנכסים ינואר-ספטמבר 2020"/>
    <tableColumn id="8" xr3:uid="{CA27A762-743A-42A6-ADE1-B0CCAC6171F1}" name="התרומה לתשואה ינואר-דצמבר 2020"/>
    <tableColumn id="9" xr3:uid="{61C20738-21AD-4EFF-9956-A1A029C6FD58}" name="שיעור מסך הנכסים ינואר-דצמבר 202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נתונים מצטברים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51"/>
  <sheetViews>
    <sheetView rightToLeft="1" tabSelected="1" topLeftCell="B1" workbookViewId="0">
      <selection activeCell="G39" sqref="G39"/>
    </sheetView>
  </sheetViews>
  <sheetFormatPr defaultColWidth="9.125" defaultRowHeight="15" x14ac:dyDescent="0.25"/>
  <cols>
    <col min="1" max="1" width="2.125" style="1" hidden="1" customWidth="1"/>
    <col min="2" max="2" width="39.375" style="1" customWidth="1"/>
    <col min="3" max="26" width="9.125" style="1" customWidth="1"/>
    <col min="27" max="16384" width="9.125" style="1"/>
  </cols>
  <sheetData>
    <row r="1" spans="1:26" ht="18.75" x14ac:dyDescent="0.3">
      <c r="A1" s="4" t="s">
        <v>71</v>
      </c>
      <c r="B1" s="77" t="s">
        <v>0</v>
      </c>
      <c r="C1" s="77"/>
      <c r="D1" s="77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77"/>
    </row>
    <row r="2" spans="1:26" ht="18.75" x14ac:dyDescent="0.3">
      <c r="A2" s="4" t="s">
        <v>71</v>
      </c>
      <c r="B2" s="78" t="s">
        <v>66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  <c r="O2" s="78"/>
      <c r="P2" s="78"/>
      <c r="Q2" s="78"/>
      <c r="R2" s="78"/>
      <c r="S2" s="78"/>
      <c r="T2" s="78"/>
      <c r="U2" s="78"/>
      <c r="V2" s="78"/>
      <c r="W2" s="78"/>
      <c r="X2" s="78"/>
      <c r="Y2" s="78"/>
      <c r="Z2" s="78"/>
    </row>
    <row r="3" spans="1:26" ht="18.75" x14ac:dyDescent="0.3">
      <c r="A3" s="4" t="s">
        <v>71</v>
      </c>
      <c r="B3" s="3" t="s">
        <v>67</v>
      </c>
      <c r="C3" s="72" t="s">
        <v>25</v>
      </c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</row>
    <row r="4" spans="1:26" x14ac:dyDescent="0.25">
      <c r="A4" s="4" t="s">
        <v>71</v>
      </c>
      <c r="B4" s="2">
        <v>2020</v>
      </c>
      <c r="C4" s="10" t="s">
        <v>70</v>
      </c>
      <c r="D4" s="9">
        <v>5</v>
      </c>
      <c r="E4" s="72" t="e">
        <f>C4+1</f>
        <v>#VALUE!</v>
      </c>
      <c r="F4" s="72"/>
      <c r="G4" s="72" t="e">
        <f>E4+1</f>
        <v>#VALUE!</v>
      </c>
      <c r="H4" s="72"/>
      <c r="I4" s="72" t="e">
        <f>G4+1</f>
        <v>#VALUE!</v>
      </c>
      <c r="J4" s="72"/>
      <c r="K4" s="72" t="e">
        <f>I4+1</f>
        <v>#VALUE!</v>
      </c>
      <c r="L4" s="72"/>
      <c r="M4" s="72" t="e">
        <f>K4+1</f>
        <v>#VALUE!</v>
      </c>
      <c r="N4" s="72"/>
      <c r="O4" s="72" t="e">
        <f>M4+1</f>
        <v>#VALUE!</v>
      </c>
      <c r="P4" s="72"/>
      <c r="Q4" s="72" t="e">
        <f>O4+1</f>
        <v>#VALUE!</v>
      </c>
      <c r="R4" s="72"/>
      <c r="S4" s="72" t="e">
        <f>Q4+1</f>
        <v>#VALUE!</v>
      </c>
      <c r="T4" s="72"/>
      <c r="U4" s="72" t="e">
        <f>S4+1</f>
        <v>#VALUE!</v>
      </c>
      <c r="V4" s="72"/>
      <c r="W4" s="72" t="e">
        <f>U4+1</f>
        <v>#VALUE!</v>
      </c>
      <c r="X4" s="72"/>
      <c r="Y4" s="72" t="e">
        <f>W4+1</f>
        <v>#VALUE!</v>
      </c>
      <c r="Z4" s="72"/>
    </row>
    <row r="5" spans="1:26" ht="60" x14ac:dyDescent="0.25">
      <c r="A5" s="4" t="s">
        <v>71</v>
      </c>
      <c r="B5" s="37" t="s">
        <v>28</v>
      </c>
      <c r="C5" s="38" t="s">
        <v>31</v>
      </c>
      <c r="D5" s="39" t="s">
        <v>32</v>
      </c>
      <c r="E5" s="40" t="s">
        <v>33</v>
      </c>
      <c r="F5" s="41" t="s">
        <v>34</v>
      </c>
      <c r="G5" s="38" t="s">
        <v>35</v>
      </c>
      <c r="H5" s="39" t="s">
        <v>36</v>
      </c>
      <c r="I5" s="40" t="s">
        <v>37</v>
      </c>
      <c r="J5" s="41" t="s">
        <v>38</v>
      </c>
      <c r="K5" s="38" t="s">
        <v>39</v>
      </c>
      <c r="L5" s="39" t="s">
        <v>40</v>
      </c>
      <c r="M5" s="40" t="s">
        <v>41</v>
      </c>
      <c r="N5" s="41" t="s">
        <v>42</v>
      </c>
      <c r="O5" s="38" t="s">
        <v>43</v>
      </c>
      <c r="P5" s="39" t="s">
        <v>44</v>
      </c>
      <c r="Q5" s="40" t="s">
        <v>45</v>
      </c>
      <c r="R5" s="41" t="s">
        <v>46</v>
      </c>
      <c r="S5" s="38" t="s">
        <v>47</v>
      </c>
      <c r="T5" s="39" t="s">
        <v>48</v>
      </c>
      <c r="U5" s="40" t="s">
        <v>49</v>
      </c>
      <c r="V5" s="41" t="s">
        <v>50</v>
      </c>
      <c r="W5" s="38" t="s">
        <v>51</v>
      </c>
      <c r="X5" s="39" t="s">
        <v>52</v>
      </c>
      <c r="Y5" s="40" t="s">
        <v>53</v>
      </c>
      <c r="Z5" s="42" t="s">
        <v>54</v>
      </c>
    </row>
    <row r="6" spans="1:26" x14ac:dyDescent="0.25">
      <c r="A6" s="4" t="s">
        <v>71</v>
      </c>
      <c r="B6" s="11" t="s">
        <v>1</v>
      </c>
      <c r="C6" s="12">
        <v>0</v>
      </c>
      <c r="D6" s="13">
        <v>3.4463795324637399E-2</v>
      </c>
      <c r="E6" s="14">
        <v>0</v>
      </c>
      <c r="F6" s="15">
        <v>1.3745634888392E-2</v>
      </c>
      <c r="G6" s="12">
        <v>0</v>
      </c>
      <c r="H6" s="13">
        <v>2.4663584489609501E-2</v>
      </c>
      <c r="I6" s="14">
        <v>-1E-4</v>
      </c>
      <c r="J6" s="15">
        <v>2.3879772431429799E-2</v>
      </c>
      <c r="K6" s="12">
        <v>-1E-4</v>
      </c>
      <c r="L6" s="13">
        <v>1.3822675451839701E-2</v>
      </c>
      <c r="M6" s="14">
        <v>0</v>
      </c>
      <c r="N6" s="15">
        <v>2.1662573347159798E-2</v>
      </c>
      <c r="O6" s="12">
        <v>-1E-4</v>
      </c>
      <c r="P6" s="13">
        <v>3.3646454713298801E-2</v>
      </c>
      <c r="Q6" s="14">
        <v>-2.0000000000000001E-4</v>
      </c>
      <c r="R6" s="15">
        <v>5.9635928304815303E-2</v>
      </c>
      <c r="S6" s="12">
        <v>4.0000000000000002E-4</v>
      </c>
      <c r="T6" s="13">
        <v>1.3479565848154001E-2</v>
      </c>
      <c r="U6" s="14">
        <v>0</v>
      </c>
      <c r="V6" s="15">
        <v>0.13675239724167601</v>
      </c>
      <c r="W6" s="12">
        <v>-8.0000000000000004E-4</v>
      </c>
      <c r="X6" s="13">
        <v>3.98380490966826E-2</v>
      </c>
      <c r="Y6" s="14">
        <v>-5.9999999999999995E-4</v>
      </c>
      <c r="Z6" s="16">
        <v>4.8761319908662802E-2</v>
      </c>
    </row>
    <row r="7" spans="1:26" x14ac:dyDescent="0.25">
      <c r="A7" s="4" t="s">
        <v>71</v>
      </c>
      <c r="B7" s="17" t="s">
        <v>2</v>
      </c>
      <c r="C7" s="12">
        <v>4.7000000000000002E-3</v>
      </c>
      <c r="D7" s="13">
        <v>0.67000882270491002</v>
      </c>
      <c r="E7" s="14">
        <v>8.9999999999999993E-3</v>
      </c>
      <c r="F7" s="15">
        <v>0.685259000615702</v>
      </c>
      <c r="G7" s="12">
        <v>-3.27E-2</v>
      </c>
      <c r="H7" s="13">
        <v>0.66898302253909703</v>
      </c>
      <c r="I7" s="14">
        <v>1.34E-2</v>
      </c>
      <c r="J7" s="15">
        <v>0.67430446441848002</v>
      </c>
      <c r="K7" s="12">
        <v>1.11E-2</v>
      </c>
      <c r="L7" s="13">
        <v>0.69124762025792297</v>
      </c>
      <c r="M7" s="14">
        <v>-1E-4</v>
      </c>
      <c r="N7" s="15">
        <v>0.68905848180977003</v>
      </c>
      <c r="O7" s="12">
        <v>-2.3999999999999998E-3</v>
      </c>
      <c r="P7" s="13">
        <v>0.68242830524998999</v>
      </c>
      <c r="Q7" s="14">
        <v>4.8999999999999998E-3</v>
      </c>
      <c r="R7" s="15">
        <v>0.66753546140112996</v>
      </c>
      <c r="S7" s="12">
        <v>-4.3E-3</v>
      </c>
      <c r="T7" s="13">
        <v>0.70374717102136597</v>
      </c>
      <c r="U7" s="14">
        <v>-1.2999999999999999E-3</v>
      </c>
      <c r="V7" s="15">
        <v>0.58482821950778396</v>
      </c>
      <c r="W7" s="12">
        <v>6.4999999999999997E-3</v>
      </c>
      <c r="X7" s="13">
        <v>0.67630278893568896</v>
      </c>
      <c r="Y7" s="14">
        <v>5.8999999999999999E-3</v>
      </c>
      <c r="Z7" s="16">
        <v>0.66549101633378105</v>
      </c>
    </row>
    <row r="8" spans="1:26" x14ac:dyDescent="0.25">
      <c r="A8" s="4" t="s">
        <v>71</v>
      </c>
      <c r="B8" s="17" t="s">
        <v>3</v>
      </c>
      <c r="C8" s="12">
        <v>0</v>
      </c>
      <c r="D8" s="13">
        <v>0</v>
      </c>
      <c r="E8" s="14">
        <v>0</v>
      </c>
      <c r="F8" s="15">
        <v>0</v>
      </c>
      <c r="G8" s="12">
        <v>0</v>
      </c>
      <c r="H8" s="13">
        <v>0</v>
      </c>
      <c r="I8" s="14">
        <v>0</v>
      </c>
      <c r="J8" s="15">
        <v>0</v>
      </c>
      <c r="K8" s="12">
        <v>0</v>
      </c>
      <c r="L8" s="13">
        <v>0</v>
      </c>
      <c r="M8" s="14">
        <v>0</v>
      </c>
      <c r="N8" s="15">
        <v>0</v>
      </c>
      <c r="O8" s="12">
        <v>0</v>
      </c>
      <c r="P8" s="13">
        <v>0</v>
      </c>
      <c r="Q8" s="14">
        <v>0</v>
      </c>
      <c r="R8" s="15">
        <v>0</v>
      </c>
      <c r="S8" s="12">
        <v>0</v>
      </c>
      <c r="T8" s="13">
        <v>0</v>
      </c>
      <c r="U8" s="14">
        <v>0</v>
      </c>
      <c r="V8" s="15">
        <v>0</v>
      </c>
      <c r="W8" s="12">
        <v>0</v>
      </c>
      <c r="X8" s="13">
        <v>0</v>
      </c>
      <c r="Y8" s="14">
        <v>0</v>
      </c>
      <c r="Z8" s="16">
        <v>0</v>
      </c>
    </row>
    <row r="9" spans="1:26" x14ac:dyDescent="0.25">
      <c r="A9" s="4" t="s">
        <v>71</v>
      </c>
      <c r="B9" s="17" t="s">
        <v>4</v>
      </c>
      <c r="C9" s="12">
        <v>0</v>
      </c>
      <c r="D9" s="13">
        <v>0</v>
      </c>
      <c r="E9" s="14">
        <v>0</v>
      </c>
      <c r="F9" s="15">
        <v>0</v>
      </c>
      <c r="G9" s="12">
        <v>0</v>
      </c>
      <c r="H9" s="13">
        <v>0</v>
      </c>
      <c r="I9" s="14">
        <v>0</v>
      </c>
      <c r="J9" s="15">
        <v>0</v>
      </c>
      <c r="K9" s="12">
        <v>0</v>
      </c>
      <c r="L9" s="13">
        <v>0</v>
      </c>
      <c r="M9" s="14">
        <v>0</v>
      </c>
      <c r="N9" s="15">
        <v>0</v>
      </c>
      <c r="O9" s="12">
        <v>0</v>
      </c>
      <c r="P9" s="13">
        <v>0</v>
      </c>
      <c r="Q9" s="14">
        <v>0</v>
      </c>
      <c r="R9" s="15">
        <v>0</v>
      </c>
      <c r="S9" s="12">
        <v>0</v>
      </c>
      <c r="T9" s="13">
        <v>0</v>
      </c>
      <c r="U9" s="14">
        <v>0</v>
      </c>
      <c r="V9" s="15">
        <v>0</v>
      </c>
      <c r="W9" s="12">
        <v>0</v>
      </c>
      <c r="X9" s="13">
        <v>0</v>
      </c>
      <c r="Y9" s="14">
        <v>0</v>
      </c>
      <c r="Z9" s="16">
        <v>0</v>
      </c>
    </row>
    <row r="10" spans="1:26" x14ac:dyDescent="0.25">
      <c r="A10" s="4" t="s">
        <v>71</v>
      </c>
      <c r="B10" s="17" t="s">
        <v>5</v>
      </c>
      <c r="C10" s="12">
        <v>-1E-4</v>
      </c>
      <c r="D10" s="13">
        <v>5.7760060632294802E-2</v>
      </c>
      <c r="E10" s="14">
        <v>-1E-4</v>
      </c>
      <c r="F10" s="15">
        <v>6.0901144060751401E-2</v>
      </c>
      <c r="G10" s="12">
        <v>-4.3E-3</v>
      </c>
      <c r="H10" s="13">
        <v>6.0636027555880601E-2</v>
      </c>
      <c r="I10" s="14">
        <v>2.3999999999999998E-3</v>
      </c>
      <c r="J10" s="15">
        <v>6.1347538766054699E-2</v>
      </c>
      <c r="K10" s="12">
        <v>5.0000000000000001E-4</v>
      </c>
      <c r="L10" s="13">
        <v>6.0716924182077303E-2</v>
      </c>
      <c r="M10" s="14">
        <v>-2.2000000000000001E-3</v>
      </c>
      <c r="N10" s="15">
        <v>6.0203219418072502E-2</v>
      </c>
      <c r="O10" s="12">
        <v>1.1999999999999999E-3</v>
      </c>
      <c r="P10" s="13">
        <v>6.2355067206400702E-2</v>
      </c>
      <c r="Q10" s="14">
        <v>1.6000000000000001E-3</v>
      </c>
      <c r="R10" s="15">
        <v>6.2509239492655397E-2</v>
      </c>
      <c r="S10" s="12">
        <v>-6.9999999999999999E-4</v>
      </c>
      <c r="T10" s="13">
        <v>6.4689488814620097E-2</v>
      </c>
      <c r="U10" s="14">
        <v>2.0000000000000001E-4</v>
      </c>
      <c r="V10" s="15">
        <v>6.3546017066650598E-2</v>
      </c>
      <c r="W10" s="12">
        <v>1.2999999999999999E-3</v>
      </c>
      <c r="X10" s="13">
        <v>6.4910257201448704E-2</v>
      </c>
      <c r="Y10" s="14">
        <v>6.9999999999999999E-4</v>
      </c>
      <c r="Z10" s="16">
        <v>6.5431123792403303E-2</v>
      </c>
    </row>
    <row r="11" spans="1:26" x14ac:dyDescent="0.25">
      <c r="A11" s="4" t="s">
        <v>71</v>
      </c>
      <c r="B11" s="17" t="s">
        <v>6</v>
      </c>
      <c r="C11" s="12">
        <v>1E-4</v>
      </c>
      <c r="D11" s="13">
        <v>1.9825522333174101E-2</v>
      </c>
      <c r="E11" s="14">
        <v>2.0000000000000001E-4</v>
      </c>
      <c r="F11" s="15">
        <v>1.9996367004428899E-2</v>
      </c>
      <c r="G11" s="12">
        <v>-1.6000000000000001E-3</v>
      </c>
      <c r="H11" s="13">
        <v>1.93786156863534E-2</v>
      </c>
      <c r="I11" s="14">
        <v>1E-3</v>
      </c>
      <c r="J11" s="15">
        <v>1.96752700835502E-2</v>
      </c>
      <c r="K11" s="12">
        <v>4.0000000000000002E-4</v>
      </c>
      <c r="L11" s="13">
        <v>1.9810781036281599E-2</v>
      </c>
      <c r="M11" s="14">
        <v>-2.0000000000000001E-4</v>
      </c>
      <c r="N11" s="15">
        <v>2.3093389566530498E-2</v>
      </c>
      <c r="O11" s="12">
        <v>1E-4</v>
      </c>
      <c r="P11" s="13">
        <v>2.23697643497964E-2</v>
      </c>
      <c r="Q11" s="14">
        <v>2.0000000000000001E-4</v>
      </c>
      <c r="R11" s="15">
        <v>2.2723795751486101E-2</v>
      </c>
      <c r="S11" s="12">
        <v>-2.0000000000000001E-4</v>
      </c>
      <c r="T11" s="13">
        <v>2.1693415082850099E-2</v>
      </c>
      <c r="U11" s="14">
        <v>-2.0000000000000001E-4</v>
      </c>
      <c r="V11" s="15">
        <v>2.13760807108467E-2</v>
      </c>
      <c r="W11" s="12">
        <v>4.0000000000000002E-4</v>
      </c>
      <c r="X11" s="13">
        <v>2.1473537282438501E-2</v>
      </c>
      <c r="Y11" s="14">
        <v>1E-4</v>
      </c>
      <c r="Z11" s="16">
        <v>2.0747028336609099E-2</v>
      </c>
    </row>
    <row r="12" spans="1:26" x14ac:dyDescent="0.25">
      <c r="A12" s="4" t="s">
        <v>71</v>
      </c>
      <c r="B12" s="17" t="s">
        <v>7</v>
      </c>
      <c r="C12" s="12">
        <v>8.0000000000000004E-4</v>
      </c>
      <c r="D12" s="13">
        <v>5.1309838220550998E-2</v>
      </c>
      <c r="E12" s="14">
        <v>-2.8999999999999998E-3</v>
      </c>
      <c r="F12" s="15">
        <v>5.0431411988087899E-2</v>
      </c>
      <c r="G12" s="12">
        <v>-9.7999999999999997E-3</v>
      </c>
      <c r="H12" s="13">
        <v>4.9675643912335997E-2</v>
      </c>
      <c r="I12" s="14">
        <v>4.3E-3</v>
      </c>
      <c r="J12" s="15">
        <v>5.3392089847965299E-2</v>
      </c>
      <c r="K12" s="12">
        <v>0</v>
      </c>
      <c r="L12" s="13">
        <v>4.8624858540210099E-2</v>
      </c>
      <c r="M12" s="14">
        <v>-2.0999999999999999E-3</v>
      </c>
      <c r="N12" s="15">
        <v>4.6479010881674603E-2</v>
      </c>
      <c r="O12" s="12">
        <v>1.8E-3</v>
      </c>
      <c r="P12" s="13">
        <v>4.35469773802988E-2</v>
      </c>
      <c r="Q12" s="14">
        <v>1.8E-3</v>
      </c>
      <c r="R12" s="15">
        <v>3.9582410881996599E-2</v>
      </c>
      <c r="S12" s="12">
        <v>-1.8E-3</v>
      </c>
      <c r="T12" s="13">
        <v>4.5147075860006797E-2</v>
      </c>
      <c r="U12" s="14">
        <v>8.0000000000000004E-4</v>
      </c>
      <c r="V12" s="15">
        <v>4.59910671437826E-2</v>
      </c>
      <c r="W12" s="12">
        <v>3.5999999999999999E-3</v>
      </c>
      <c r="X12" s="13">
        <v>4.7294043490089401E-2</v>
      </c>
      <c r="Y12" s="14">
        <v>1.6999999999999999E-3</v>
      </c>
      <c r="Z12" s="16">
        <v>4.8461878784376897E-2</v>
      </c>
    </row>
    <row r="13" spans="1:26" x14ac:dyDescent="0.25">
      <c r="A13" s="4" t="s">
        <v>71</v>
      </c>
      <c r="B13" s="17" t="s">
        <v>30</v>
      </c>
      <c r="C13" s="12">
        <v>-2.0000000000000001E-4</v>
      </c>
      <c r="D13" s="13">
        <v>6.1434360299945999E-2</v>
      </c>
      <c r="E13" s="14">
        <v>-3.0999999999999999E-3</v>
      </c>
      <c r="F13" s="15">
        <v>6.4259071886403396E-2</v>
      </c>
      <c r="G13" s="12">
        <v>-8.3000000000000001E-3</v>
      </c>
      <c r="H13" s="13">
        <v>6.3165154376451899E-2</v>
      </c>
      <c r="I13" s="14">
        <v>5.3E-3</v>
      </c>
      <c r="J13" s="15">
        <v>5.6270791791812498E-2</v>
      </c>
      <c r="K13" s="12">
        <v>2.7000000000000001E-3</v>
      </c>
      <c r="L13" s="13">
        <v>5.6490855170352898E-2</v>
      </c>
      <c r="M13" s="14">
        <v>1.1000000000000001E-3</v>
      </c>
      <c r="N13" s="15">
        <v>5.0319811259440503E-2</v>
      </c>
      <c r="O13" s="12">
        <v>2.5999999999999999E-3</v>
      </c>
      <c r="P13" s="13">
        <v>4.5051045118972399E-2</v>
      </c>
      <c r="Q13" s="14">
        <v>1.5E-3</v>
      </c>
      <c r="R13" s="15">
        <v>3.6691805788522602E-2</v>
      </c>
      <c r="S13" s="12">
        <v>-2.9999999999999997E-4</v>
      </c>
      <c r="T13" s="13">
        <v>3.6436724247273899E-2</v>
      </c>
      <c r="U13" s="14">
        <v>-5.0000000000000001E-4</v>
      </c>
      <c r="V13" s="15">
        <v>3.2857692059173597E-2</v>
      </c>
      <c r="W13" s="12">
        <v>3.5000000000000001E-3</v>
      </c>
      <c r="X13" s="13">
        <v>3.4644135682009802E-2</v>
      </c>
      <c r="Y13" s="14">
        <v>8.9999999999999998E-4</v>
      </c>
      <c r="Z13" s="16">
        <v>3.3197323634503402E-2</v>
      </c>
    </row>
    <row r="14" spans="1:26" x14ac:dyDescent="0.25">
      <c r="A14" s="4" t="s">
        <v>71</v>
      </c>
      <c r="B14" s="17" t="s">
        <v>8</v>
      </c>
      <c r="C14" s="12">
        <v>0</v>
      </c>
      <c r="D14" s="13">
        <v>5.9015346727294199E-3</v>
      </c>
      <c r="E14" s="14">
        <v>-4.0000000000000002E-4</v>
      </c>
      <c r="F14" s="15">
        <v>5.5161940639672398E-3</v>
      </c>
      <c r="G14" s="12">
        <v>-8.0000000000000004E-4</v>
      </c>
      <c r="H14" s="13">
        <v>4.9962926233813104E-3</v>
      </c>
      <c r="I14" s="14">
        <v>4.0000000000000002E-4</v>
      </c>
      <c r="J14" s="15">
        <v>5.6270750751797396E-3</v>
      </c>
      <c r="K14" s="12">
        <v>2.0000000000000001E-4</v>
      </c>
      <c r="L14" s="13">
        <v>5.72453470218608E-3</v>
      </c>
      <c r="M14" s="14">
        <v>2.9999999999999997E-4</v>
      </c>
      <c r="N14" s="15">
        <v>6.1549208296758301E-3</v>
      </c>
      <c r="O14" s="12">
        <v>4.0000000000000002E-4</v>
      </c>
      <c r="P14" s="13">
        <v>7.6657030898933699E-3</v>
      </c>
      <c r="Q14" s="14">
        <v>5.0000000000000001E-4</v>
      </c>
      <c r="R14" s="15">
        <v>9.5149861062260397E-3</v>
      </c>
      <c r="S14" s="12">
        <v>0</v>
      </c>
      <c r="T14" s="13">
        <v>9.0979970588668194E-3</v>
      </c>
      <c r="U14" s="14">
        <v>0</v>
      </c>
      <c r="V14" s="15">
        <v>9.1110747324241095E-3</v>
      </c>
      <c r="W14" s="12">
        <v>6.9999999999999999E-4</v>
      </c>
      <c r="X14" s="13">
        <v>9.6238269518865403E-3</v>
      </c>
      <c r="Y14" s="14">
        <v>2.0000000000000001E-4</v>
      </c>
      <c r="Z14" s="16">
        <v>1.2079664954872E-2</v>
      </c>
    </row>
    <row r="15" spans="1:26" x14ac:dyDescent="0.25">
      <c r="A15" s="4" t="s">
        <v>71</v>
      </c>
      <c r="B15" s="17" t="s">
        <v>9</v>
      </c>
      <c r="C15" s="12">
        <v>0</v>
      </c>
      <c r="D15" s="13">
        <v>6.0427119198937097E-2</v>
      </c>
      <c r="E15" s="14">
        <v>1E-4</v>
      </c>
      <c r="F15" s="15">
        <v>6.1432659828403798E-2</v>
      </c>
      <c r="G15" s="12">
        <v>2.8999999999999998E-3</v>
      </c>
      <c r="H15" s="13">
        <v>6.9247149750993803E-2</v>
      </c>
      <c r="I15" s="14">
        <v>-1.1999999999999999E-3</v>
      </c>
      <c r="J15" s="15">
        <v>6.6298361801046299E-2</v>
      </c>
      <c r="K15" s="12">
        <v>5.0000000000000001E-4</v>
      </c>
      <c r="L15" s="13">
        <v>6.6393377738264994E-2</v>
      </c>
      <c r="M15" s="14">
        <v>-8.0000000000000004E-4</v>
      </c>
      <c r="N15" s="15">
        <v>6.6536712656418501E-2</v>
      </c>
      <c r="O15" s="12">
        <v>-5.9999999999999995E-4</v>
      </c>
      <c r="P15" s="13">
        <v>6.6230627558410804E-2</v>
      </c>
      <c r="Q15" s="14">
        <v>-2.9999999999999997E-4</v>
      </c>
      <c r="R15" s="15">
        <v>6.5162738869589398E-2</v>
      </c>
      <c r="S15" s="12">
        <v>1.8E-3</v>
      </c>
      <c r="T15" s="13">
        <v>6.89494540449518E-2</v>
      </c>
      <c r="U15" s="14">
        <v>-2.9999999999999997E-4</v>
      </c>
      <c r="V15" s="15">
        <v>6.8988887636257906E-2</v>
      </c>
      <c r="W15" s="12">
        <v>2.9999999999999997E-4</v>
      </c>
      <c r="X15" s="13">
        <v>6.9900055942879402E-2</v>
      </c>
      <c r="Y15" s="14">
        <v>1E-4</v>
      </c>
      <c r="Z15" s="16">
        <v>7.0858378960322793E-2</v>
      </c>
    </row>
    <row r="16" spans="1:26" x14ac:dyDescent="0.25">
      <c r="A16" s="4" t="s">
        <v>71</v>
      </c>
      <c r="B16" s="17" t="s">
        <v>10</v>
      </c>
      <c r="C16" s="12">
        <v>0</v>
      </c>
      <c r="D16" s="13">
        <v>6.7095018044877598E-6</v>
      </c>
      <c r="E16" s="14">
        <v>0</v>
      </c>
      <c r="F16" s="15">
        <v>6.4327954714849296E-6</v>
      </c>
      <c r="G16" s="12">
        <v>1E-4</v>
      </c>
      <c r="H16" s="13">
        <v>0</v>
      </c>
      <c r="I16" s="14">
        <v>0</v>
      </c>
      <c r="J16" s="15">
        <v>0</v>
      </c>
      <c r="K16" s="12">
        <v>0</v>
      </c>
      <c r="L16" s="13">
        <v>0</v>
      </c>
      <c r="M16" s="14">
        <v>0</v>
      </c>
      <c r="N16" s="15">
        <v>0</v>
      </c>
      <c r="O16" s="12">
        <v>0</v>
      </c>
      <c r="P16" s="13">
        <v>0</v>
      </c>
      <c r="Q16" s="14">
        <v>0</v>
      </c>
      <c r="R16" s="15">
        <v>0</v>
      </c>
      <c r="S16" s="12">
        <v>0</v>
      </c>
      <c r="T16" s="13">
        <v>0</v>
      </c>
      <c r="U16" s="14">
        <v>0</v>
      </c>
      <c r="V16" s="15">
        <v>0</v>
      </c>
      <c r="W16" s="12">
        <v>0</v>
      </c>
      <c r="X16" s="13">
        <v>0</v>
      </c>
      <c r="Y16" s="14">
        <v>0</v>
      </c>
      <c r="Z16" s="16">
        <v>0</v>
      </c>
    </row>
    <row r="17" spans="1:26" x14ac:dyDescent="0.25">
      <c r="A17" s="4" t="s">
        <v>71</v>
      </c>
      <c r="B17" s="17" t="s">
        <v>11</v>
      </c>
      <c r="C17" s="12">
        <v>0</v>
      </c>
      <c r="D17" s="13">
        <v>0</v>
      </c>
      <c r="E17" s="14">
        <v>0</v>
      </c>
      <c r="F17" s="15">
        <v>0</v>
      </c>
      <c r="G17" s="12">
        <v>0</v>
      </c>
      <c r="H17" s="13">
        <v>0</v>
      </c>
      <c r="I17" s="14">
        <v>0</v>
      </c>
      <c r="J17" s="15">
        <v>0</v>
      </c>
      <c r="K17" s="12">
        <v>0</v>
      </c>
      <c r="L17" s="13">
        <v>0</v>
      </c>
      <c r="M17" s="14">
        <v>0</v>
      </c>
      <c r="N17" s="15">
        <v>0</v>
      </c>
      <c r="O17" s="12">
        <v>0</v>
      </c>
      <c r="P17" s="13">
        <v>0</v>
      </c>
      <c r="Q17" s="14">
        <v>0</v>
      </c>
      <c r="R17" s="15">
        <v>0</v>
      </c>
      <c r="S17" s="12">
        <v>0</v>
      </c>
      <c r="T17" s="13">
        <v>0</v>
      </c>
      <c r="U17" s="14">
        <v>0</v>
      </c>
      <c r="V17" s="15">
        <v>0</v>
      </c>
      <c r="W17" s="12">
        <v>0</v>
      </c>
      <c r="X17" s="13">
        <v>0</v>
      </c>
      <c r="Y17" s="14">
        <v>0</v>
      </c>
      <c r="Z17" s="16">
        <v>0</v>
      </c>
    </row>
    <row r="18" spans="1:26" x14ac:dyDescent="0.25">
      <c r="A18" s="4" t="s">
        <v>71</v>
      </c>
      <c r="B18" s="17" t="s">
        <v>12</v>
      </c>
      <c r="C18" s="12">
        <v>0</v>
      </c>
      <c r="D18" s="13">
        <v>0</v>
      </c>
      <c r="E18" s="14">
        <v>0</v>
      </c>
      <c r="F18" s="15">
        <v>0</v>
      </c>
      <c r="G18" s="12">
        <v>2.0000000000000001E-4</v>
      </c>
      <c r="H18" s="13">
        <v>2.7649739833117502E-4</v>
      </c>
      <c r="I18" s="14">
        <v>8.9999999999999998E-4</v>
      </c>
      <c r="J18" s="15">
        <v>6.1979103115799704E-4</v>
      </c>
      <c r="K18" s="12">
        <v>-1E-4</v>
      </c>
      <c r="L18" s="13">
        <v>-3.1914076321263798E-4</v>
      </c>
      <c r="M18" s="14">
        <v>-6.9999999999999999E-4</v>
      </c>
      <c r="N18" s="15">
        <v>-5.3012944668551405E-4</v>
      </c>
      <c r="O18" s="12">
        <v>2.9999999999999997E-4</v>
      </c>
      <c r="P18" s="13">
        <v>2.35930155371006E-5</v>
      </c>
      <c r="Q18" s="14">
        <v>1E-4</v>
      </c>
      <c r="R18" s="15">
        <v>-1.55703845668201E-4</v>
      </c>
      <c r="S18" s="12">
        <v>-5.0000000000000001E-4</v>
      </c>
      <c r="T18" s="13">
        <v>0</v>
      </c>
      <c r="U18" s="14">
        <v>0</v>
      </c>
      <c r="V18" s="15">
        <v>0</v>
      </c>
      <c r="W18" s="12">
        <v>0</v>
      </c>
      <c r="X18" s="13">
        <v>0</v>
      </c>
      <c r="Y18" s="14">
        <v>0</v>
      </c>
      <c r="Z18" s="16">
        <v>0</v>
      </c>
    </row>
    <row r="19" spans="1:26" x14ac:dyDescent="0.25">
      <c r="A19" s="4" t="s">
        <v>71</v>
      </c>
      <c r="B19" s="17" t="s">
        <v>13</v>
      </c>
      <c r="C19" s="12">
        <v>0</v>
      </c>
      <c r="D19" s="13">
        <v>0</v>
      </c>
      <c r="E19" s="14">
        <v>0</v>
      </c>
      <c r="F19" s="15">
        <v>0</v>
      </c>
      <c r="G19" s="12">
        <v>0</v>
      </c>
      <c r="H19" s="13">
        <v>0</v>
      </c>
      <c r="I19" s="14">
        <v>0</v>
      </c>
      <c r="J19" s="15">
        <v>0</v>
      </c>
      <c r="K19" s="12">
        <v>0</v>
      </c>
      <c r="L19" s="13">
        <v>0</v>
      </c>
      <c r="M19" s="14">
        <v>0</v>
      </c>
      <c r="N19" s="15">
        <v>0</v>
      </c>
      <c r="O19" s="12">
        <v>0</v>
      </c>
      <c r="P19" s="13">
        <v>0</v>
      </c>
      <c r="Q19" s="14">
        <v>0</v>
      </c>
      <c r="R19" s="15">
        <v>0</v>
      </c>
      <c r="S19" s="12">
        <v>0</v>
      </c>
      <c r="T19" s="13">
        <v>0</v>
      </c>
      <c r="U19" s="14">
        <v>0</v>
      </c>
      <c r="V19" s="15">
        <v>0</v>
      </c>
      <c r="W19" s="12">
        <v>0</v>
      </c>
      <c r="X19" s="13">
        <v>0</v>
      </c>
      <c r="Y19" s="14">
        <v>0</v>
      </c>
      <c r="Z19" s="16">
        <v>0</v>
      </c>
    </row>
    <row r="20" spans="1:26" x14ac:dyDescent="0.25">
      <c r="A20" s="4" t="s">
        <v>71</v>
      </c>
      <c r="B20" s="17" t="s">
        <v>14</v>
      </c>
      <c r="C20" s="12">
        <v>2.0000000000000001E-4</v>
      </c>
      <c r="D20" s="13">
        <v>3.7232616565394103E-2</v>
      </c>
      <c r="E20" s="14">
        <v>1E-4</v>
      </c>
      <c r="F20" s="15">
        <v>3.6832252299609902E-2</v>
      </c>
      <c r="G20" s="12">
        <v>-6.9999999999999999E-4</v>
      </c>
      <c r="H20" s="13">
        <v>3.7826709536021103E-2</v>
      </c>
      <c r="I20" s="14">
        <v>8.9999999999999998E-4</v>
      </c>
      <c r="J20" s="15">
        <v>3.7456328453253397E-2</v>
      </c>
      <c r="K20" s="12">
        <v>-2.9999999999999997E-4</v>
      </c>
      <c r="L20" s="13">
        <v>3.6399076102445402E-2</v>
      </c>
      <c r="M20" s="14">
        <v>0</v>
      </c>
      <c r="N20" s="15">
        <v>3.59343969251502E-2</v>
      </c>
      <c r="O20" s="12">
        <v>1E-4</v>
      </c>
      <c r="P20" s="13">
        <v>3.5696893022292397E-2</v>
      </c>
      <c r="Q20" s="14">
        <v>2.9999999999999997E-4</v>
      </c>
      <c r="R20" s="15">
        <v>3.4855627281336801E-2</v>
      </c>
      <c r="S20" s="12">
        <v>0</v>
      </c>
      <c r="T20" s="13">
        <v>3.4743433569941799E-2</v>
      </c>
      <c r="U20" s="14">
        <v>1E-4</v>
      </c>
      <c r="V20" s="15">
        <v>3.4562849399485202E-2</v>
      </c>
      <c r="W20" s="12">
        <v>2.9999999999999997E-4</v>
      </c>
      <c r="X20" s="13">
        <v>3.4075950849571303E-2</v>
      </c>
      <c r="Y20" s="14">
        <v>0</v>
      </c>
      <c r="Z20" s="16">
        <v>3.3165000133726502E-2</v>
      </c>
    </row>
    <row r="21" spans="1:26" x14ac:dyDescent="0.25">
      <c r="A21" s="4" t="s">
        <v>71</v>
      </c>
      <c r="B21" s="17" t="s">
        <v>15</v>
      </c>
      <c r="C21" s="12">
        <v>-1.9999999999999901E-4</v>
      </c>
      <c r="D21" s="13">
        <v>1.0146046261027199E-3</v>
      </c>
      <c r="E21" s="14">
        <v>-1E-4</v>
      </c>
      <c r="F21" s="15">
        <v>1.0050716597054001E-3</v>
      </c>
      <c r="G21" s="12">
        <v>-9.9999999999994001E-5</v>
      </c>
      <c r="H21" s="13">
        <v>4.9867509285474903E-4</v>
      </c>
      <c r="I21" s="14">
        <v>-9.9999999999999802E-5</v>
      </c>
      <c r="J21" s="15">
        <v>4.9179403896978404E-4</v>
      </c>
      <c r="K21" s="12">
        <v>-1.00000000000002E-4</v>
      </c>
      <c r="L21" s="13">
        <v>4.5958440399096901E-4</v>
      </c>
      <c r="M21" s="14">
        <v>4.0007060164715099E-19</v>
      </c>
      <c r="N21" s="15">
        <v>4.5418108182171797E-4</v>
      </c>
      <c r="O21" s="12">
        <v>9.9999999999999707E-5</v>
      </c>
      <c r="P21" s="13">
        <v>3.5133879985897298E-4</v>
      </c>
      <c r="Q21" s="14">
        <v>0</v>
      </c>
      <c r="R21" s="15">
        <v>3.2743395530670198E-4</v>
      </c>
      <c r="S21" s="12">
        <v>-9.9999999999999395E-5</v>
      </c>
      <c r="T21" s="13">
        <v>3.2677283700091798E-4</v>
      </c>
      <c r="U21" s="14">
        <v>1E-4</v>
      </c>
      <c r="V21" s="15">
        <v>2.8603540963131001E-4</v>
      </c>
      <c r="W21" s="12">
        <v>-1.9999999999999901E-4</v>
      </c>
      <c r="X21" s="13">
        <v>2.54921497160288E-4</v>
      </c>
      <c r="Y21" s="14">
        <v>0</v>
      </c>
      <c r="Z21" s="16">
        <v>2.4963518816393398E-4</v>
      </c>
    </row>
    <row r="22" spans="1:26" x14ac:dyDescent="0.25">
      <c r="A22" s="4" t="s">
        <v>71</v>
      </c>
      <c r="B22" s="17" t="s">
        <v>16</v>
      </c>
      <c r="C22" s="12">
        <v>0</v>
      </c>
      <c r="D22" s="13">
        <v>0</v>
      </c>
      <c r="E22" s="14">
        <v>0</v>
      </c>
      <c r="F22" s="15">
        <v>0</v>
      </c>
      <c r="G22" s="12">
        <v>0</v>
      </c>
      <c r="H22" s="13">
        <v>0</v>
      </c>
      <c r="I22" s="14">
        <v>0</v>
      </c>
      <c r="J22" s="15">
        <v>0</v>
      </c>
      <c r="K22" s="12">
        <v>0</v>
      </c>
      <c r="L22" s="13">
        <v>0</v>
      </c>
      <c r="M22" s="14">
        <v>0</v>
      </c>
      <c r="N22" s="15">
        <v>0</v>
      </c>
      <c r="O22" s="12">
        <v>0</v>
      </c>
      <c r="P22" s="13">
        <v>0</v>
      </c>
      <c r="Q22" s="14">
        <v>0</v>
      </c>
      <c r="R22" s="15">
        <v>0</v>
      </c>
      <c r="S22" s="12">
        <v>0</v>
      </c>
      <c r="T22" s="13">
        <v>0</v>
      </c>
      <c r="U22" s="14">
        <v>0</v>
      </c>
      <c r="V22" s="15">
        <v>0</v>
      </c>
      <c r="W22" s="12">
        <v>0</v>
      </c>
      <c r="X22" s="13">
        <v>0</v>
      </c>
      <c r="Y22" s="14">
        <v>0</v>
      </c>
      <c r="Z22" s="16">
        <v>0</v>
      </c>
    </row>
    <row r="23" spans="1:26" x14ac:dyDescent="0.25">
      <c r="A23" s="4" t="s">
        <v>71</v>
      </c>
      <c r="B23" s="17" t="s">
        <v>17</v>
      </c>
      <c r="C23" s="12">
        <v>0</v>
      </c>
      <c r="D23" s="13">
        <v>6.1501591951924504E-4</v>
      </c>
      <c r="E23" s="14">
        <v>0</v>
      </c>
      <c r="F23" s="15">
        <v>6.1475890907617401E-4</v>
      </c>
      <c r="G23" s="12">
        <v>0</v>
      </c>
      <c r="H23" s="13">
        <v>6.5262703868913601E-4</v>
      </c>
      <c r="I23" s="14">
        <v>0</v>
      </c>
      <c r="J23" s="15">
        <v>6.3672226110009602E-4</v>
      </c>
      <c r="K23" s="12">
        <v>0</v>
      </c>
      <c r="L23" s="13">
        <v>6.2885317764031204E-4</v>
      </c>
      <c r="M23" s="14">
        <v>0</v>
      </c>
      <c r="N23" s="15">
        <v>6.3343167097116996E-4</v>
      </c>
      <c r="O23" s="12">
        <v>0</v>
      </c>
      <c r="P23" s="13">
        <v>6.3423049525075095E-4</v>
      </c>
      <c r="Q23" s="14">
        <v>5.0306980803327402E-19</v>
      </c>
      <c r="R23" s="15">
        <v>1.61627601260293E-3</v>
      </c>
      <c r="S23" s="12">
        <v>0</v>
      </c>
      <c r="T23" s="13">
        <v>1.6889016149679E-3</v>
      </c>
      <c r="U23" s="14">
        <v>0</v>
      </c>
      <c r="V23" s="15">
        <v>1.6996790922878401E-3</v>
      </c>
      <c r="W23" s="12">
        <v>0</v>
      </c>
      <c r="X23" s="13">
        <v>1.68243307014465E-3</v>
      </c>
      <c r="Y23" s="14">
        <v>-9.9999999999999896E-5</v>
      </c>
      <c r="Z23" s="16">
        <v>1.55762997257814E-3</v>
      </c>
    </row>
    <row r="24" spans="1:26" x14ac:dyDescent="0.25">
      <c r="A24" s="4" t="s">
        <v>71</v>
      </c>
      <c r="B24" s="17" t="s">
        <v>18</v>
      </c>
      <c r="C24" s="12">
        <v>0</v>
      </c>
      <c r="D24" s="13">
        <v>0</v>
      </c>
      <c r="E24" s="14">
        <v>0</v>
      </c>
      <c r="F24" s="15">
        <v>0</v>
      </c>
      <c r="G24" s="12">
        <v>0</v>
      </c>
      <c r="H24" s="13">
        <v>0</v>
      </c>
      <c r="I24" s="14">
        <v>0</v>
      </c>
      <c r="J24" s="15">
        <v>0</v>
      </c>
      <c r="K24" s="12">
        <v>0</v>
      </c>
      <c r="L24" s="13">
        <v>0</v>
      </c>
      <c r="M24" s="14">
        <v>0</v>
      </c>
      <c r="N24" s="15">
        <v>0</v>
      </c>
      <c r="O24" s="12">
        <v>0</v>
      </c>
      <c r="P24" s="13">
        <v>0</v>
      </c>
      <c r="Q24" s="14">
        <v>0</v>
      </c>
      <c r="R24" s="15">
        <v>0</v>
      </c>
      <c r="S24" s="12">
        <v>0</v>
      </c>
      <c r="T24" s="13">
        <v>0</v>
      </c>
      <c r="U24" s="14">
        <v>0</v>
      </c>
      <c r="V24" s="15">
        <v>0</v>
      </c>
      <c r="W24" s="12">
        <v>0</v>
      </c>
      <c r="X24" s="13">
        <v>0</v>
      </c>
      <c r="Y24" s="14">
        <v>0</v>
      </c>
      <c r="Z24" s="16">
        <v>0</v>
      </c>
    </row>
    <row r="25" spans="1:26" x14ac:dyDescent="0.25">
      <c r="A25" s="4" t="s">
        <v>71</v>
      </c>
      <c r="B25" s="18" t="s">
        <v>68</v>
      </c>
      <c r="C25" s="19">
        <v>5.3E-3</v>
      </c>
      <c r="D25" s="20">
        <v>1</v>
      </c>
      <c r="E25" s="21">
        <v>2.8E-3</v>
      </c>
      <c r="F25" s="20">
        <v>1</v>
      </c>
      <c r="G25" s="21">
        <v>-5.5100000000000003E-2</v>
      </c>
      <c r="H25" s="20">
        <v>1</v>
      </c>
      <c r="I25" s="19">
        <v>2.7199999999999998E-2</v>
      </c>
      <c r="J25" s="22">
        <v>1</v>
      </c>
      <c r="K25" s="19">
        <v>1.4800000000000001E-2</v>
      </c>
      <c r="L25" s="22">
        <v>1</v>
      </c>
      <c r="M25" s="19">
        <v>-4.7000000000000002E-3</v>
      </c>
      <c r="N25" s="22">
        <v>1</v>
      </c>
      <c r="O25" s="19">
        <v>3.5000000000000001E-3</v>
      </c>
      <c r="P25" s="22">
        <v>1</v>
      </c>
      <c r="Q25" s="19">
        <v>1.04E-2</v>
      </c>
      <c r="R25" s="22">
        <v>1</v>
      </c>
      <c r="S25" s="19">
        <v>-5.7000000000000002E-3</v>
      </c>
      <c r="T25" s="22">
        <v>1</v>
      </c>
      <c r="U25" s="19">
        <v>-1.1000000000000001E-3</v>
      </c>
      <c r="V25" s="22">
        <v>1</v>
      </c>
      <c r="W25" s="19">
        <v>1.5599999999999999E-2</v>
      </c>
      <c r="X25" s="22">
        <v>1</v>
      </c>
      <c r="Y25" s="19">
        <v>8.8999999999999999E-3</v>
      </c>
      <c r="Z25" s="6">
        <v>1</v>
      </c>
    </row>
    <row r="26" spans="1:26" x14ac:dyDescent="0.25">
      <c r="A26" s="4" t="s">
        <v>71</v>
      </c>
      <c r="B26" s="23" t="s">
        <v>24</v>
      </c>
      <c r="C26" s="24">
        <v>61051</v>
      </c>
      <c r="D26" s="64" t="s">
        <v>71</v>
      </c>
      <c r="E26" s="25">
        <v>33040</v>
      </c>
      <c r="F26" s="64" t="s">
        <v>71</v>
      </c>
      <c r="G26" s="24">
        <v>-638086.07729764597</v>
      </c>
      <c r="H26" s="64" t="s">
        <v>71</v>
      </c>
      <c r="I26" s="25">
        <v>298260.09372739698</v>
      </c>
      <c r="J26" s="64" t="s">
        <v>71</v>
      </c>
      <c r="K26" s="24">
        <v>165691.98481864599</v>
      </c>
      <c r="L26" s="64" t="s">
        <v>71</v>
      </c>
      <c r="M26" s="25">
        <v>-52716.199406776199</v>
      </c>
      <c r="N26" s="64" t="s">
        <v>71</v>
      </c>
      <c r="O26" s="24">
        <v>39412.004989272202</v>
      </c>
      <c r="P26" s="64" t="s">
        <v>71</v>
      </c>
      <c r="Q26" s="25">
        <v>117777.978523935</v>
      </c>
      <c r="R26" s="64" t="s">
        <v>71</v>
      </c>
      <c r="S26" s="24">
        <v>-64530.639435569101</v>
      </c>
      <c r="T26" s="64" t="s">
        <v>71</v>
      </c>
      <c r="U26" s="25">
        <v>-12310.9085126303</v>
      </c>
      <c r="V26" s="64" t="s">
        <v>71</v>
      </c>
      <c r="W26" s="24">
        <v>174408.77623327001</v>
      </c>
      <c r="X26" s="64" t="s">
        <v>71</v>
      </c>
      <c r="Y26" s="25">
        <v>102208.793743613</v>
      </c>
      <c r="Z26" s="65" t="s">
        <v>71</v>
      </c>
    </row>
    <row r="27" spans="1:26" x14ac:dyDescent="0.25">
      <c r="A27" s="4" t="s">
        <v>71</v>
      </c>
      <c r="B27" s="56" t="s">
        <v>71</v>
      </c>
      <c r="C27" s="57" t="s">
        <v>71</v>
      </c>
      <c r="D27" s="57" t="s">
        <v>71</v>
      </c>
      <c r="E27" s="57" t="s">
        <v>71</v>
      </c>
      <c r="F27" s="57" t="s">
        <v>71</v>
      </c>
      <c r="G27" s="57" t="s">
        <v>71</v>
      </c>
      <c r="H27" s="57" t="s">
        <v>71</v>
      </c>
      <c r="I27" s="57" t="s">
        <v>71</v>
      </c>
      <c r="J27" s="57" t="s">
        <v>71</v>
      </c>
      <c r="K27" s="57" t="s">
        <v>71</v>
      </c>
      <c r="L27" s="57" t="s">
        <v>71</v>
      </c>
      <c r="M27" s="57" t="s">
        <v>71</v>
      </c>
      <c r="N27" s="57" t="s">
        <v>71</v>
      </c>
      <c r="O27" s="57" t="s">
        <v>71</v>
      </c>
      <c r="P27" s="57" t="s">
        <v>71</v>
      </c>
      <c r="Q27" s="57" t="s">
        <v>71</v>
      </c>
      <c r="R27" s="57" t="s">
        <v>71</v>
      </c>
      <c r="S27" s="57" t="s">
        <v>71</v>
      </c>
      <c r="T27" s="57" t="s">
        <v>71</v>
      </c>
      <c r="U27" s="57" t="s">
        <v>71</v>
      </c>
      <c r="V27" s="57" t="s">
        <v>71</v>
      </c>
      <c r="W27" s="57" t="s">
        <v>71</v>
      </c>
      <c r="X27" s="57" t="s">
        <v>71</v>
      </c>
      <c r="Y27" s="57" t="s">
        <v>71</v>
      </c>
      <c r="Z27" s="58" t="s">
        <v>71</v>
      </c>
    </row>
    <row r="28" spans="1:26" x14ac:dyDescent="0.25">
      <c r="A28" s="4" t="s">
        <v>71</v>
      </c>
      <c r="B28" s="11" t="s">
        <v>19</v>
      </c>
      <c r="C28" s="26">
        <v>5.4999999999999997E-3</v>
      </c>
      <c r="D28" s="27">
        <v>0.95509999999999995</v>
      </c>
      <c r="E28" s="28">
        <v>4.3E-3</v>
      </c>
      <c r="F28" s="29">
        <v>0.94948119391590302</v>
      </c>
      <c r="G28" s="26">
        <v>-5.3400000000000003E-2</v>
      </c>
      <c r="H28" s="27">
        <v>0.93262857869668503</v>
      </c>
      <c r="I28" s="28">
        <v>2.4E-2</v>
      </c>
      <c r="J28" s="29">
        <v>0.91155088848310895</v>
      </c>
      <c r="K28" s="26">
        <v>1.0999999999999999E-2</v>
      </c>
      <c r="L28" s="27">
        <v>0.89130548294821199</v>
      </c>
      <c r="M28" s="28">
        <v>-6.4999999999999997E-3</v>
      </c>
      <c r="N28" s="29">
        <v>0.88628548692206099</v>
      </c>
      <c r="O28" s="26">
        <v>0</v>
      </c>
      <c r="P28" s="27">
        <v>0.88775068796398404</v>
      </c>
      <c r="Q28" s="28">
        <v>1.06E-2</v>
      </c>
      <c r="R28" s="29">
        <v>0.90323153025117098</v>
      </c>
      <c r="S28" s="26">
        <v>-7.6E-3</v>
      </c>
      <c r="T28" s="27">
        <v>0.91502694102859505</v>
      </c>
      <c r="U28" s="28">
        <v>0</v>
      </c>
      <c r="V28" s="29">
        <v>0.920269618123851</v>
      </c>
      <c r="W28" s="26">
        <v>1.32E-2</v>
      </c>
      <c r="X28" s="27">
        <v>0.93468465478990803</v>
      </c>
      <c r="Y28" s="28">
        <v>8.0000000000000002E-3</v>
      </c>
      <c r="Z28" s="30">
        <v>0.93284997069753595</v>
      </c>
    </row>
    <row r="29" spans="1:26" x14ac:dyDescent="0.25">
      <c r="A29" s="4" t="s">
        <v>71</v>
      </c>
      <c r="B29" s="17" t="s">
        <v>20</v>
      </c>
      <c r="C29" s="12">
        <v>-2.0000000000000001E-4</v>
      </c>
      <c r="D29" s="13">
        <v>4.4900000000000002E-2</v>
      </c>
      <c r="E29" s="14">
        <v>-1.5E-3</v>
      </c>
      <c r="F29" s="15">
        <v>5.0518806084096902E-2</v>
      </c>
      <c r="G29" s="12">
        <v>-1.6999999999999999E-3</v>
      </c>
      <c r="H29" s="13">
        <v>6.7371421303314902E-2</v>
      </c>
      <c r="I29" s="14">
        <v>3.2000000000000002E-3</v>
      </c>
      <c r="J29" s="15">
        <v>8.8449111516891193E-2</v>
      </c>
      <c r="K29" s="12">
        <v>3.8E-3</v>
      </c>
      <c r="L29" s="13">
        <v>0.10869451705178799</v>
      </c>
      <c r="M29" s="14">
        <v>1.8E-3</v>
      </c>
      <c r="N29" s="15">
        <v>0.11371451307793901</v>
      </c>
      <c r="O29" s="12">
        <v>3.5000000000000001E-3</v>
      </c>
      <c r="P29" s="13">
        <v>0.112249312036016</v>
      </c>
      <c r="Q29" s="14">
        <v>-2.0000000000000001E-4</v>
      </c>
      <c r="R29" s="15">
        <v>9.6768469748828995E-2</v>
      </c>
      <c r="S29" s="12">
        <v>1.9E-3</v>
      </c>
      <c r="T29" s="13">
        <v>8.4973058971405099E-2</v>
      </c>
      <c r="U29" s="14">
        <v>-1.1000000000000001E-3</v>
      </c>
      <c r="V29" s="15">
        <v>7.9730381876148601E-2</v>
      </c>
      <c r="W29" s="12">
        <v>2.3999999999999998E-3</v>
      </c>
      <c r="X29" s="13">
        <v>6.5315345210091594E-2</v>
      </c>
      <c r="Y29" s="14">
        <v>8.9999999999999998E-4</v>
      </c>
      <c r="Z29" s="16">
        <v>6.7150029302464206E-2</v>
      </c>
    </row>
    <row r="30" spans="1:26" x14ac:dyDescent="0.25">
      <c r="A30" s="4" t="s">
        <v>71</v>
      </c>
      <c r="B30" s="18" t="s">
        <v>68</v>
      </c>
      <c r="C30" s="19">
        <v>5.3E-3</v>
      </c>
      <c r="D30" s="22">
        <v>1</v>
      </c>
      <c r="E30" s="21">
        <v>2.8E-3</v>
      </c>
      <c r="F30" s="20">
        <v>1</v>
      </c>
      <c r="G30" s="21">
        <v>-5.5100000000000003E-2</v>
      </c>
      <c r="H30" s="20">
        <v>1</v>
      </c>
      <c r="I30" s="19">
        <v>2.7199999999999998E-2</v>
      </c>
      <c r="J30" s="22">
        <v>1</v>
      </c>
      <c r="K30" s="19">
        <v>1.4800000000000001E-2</v>
      </c>
      <c r="L30" s="22">
        <v>1</v>
      </c>
      <c r="M30" s="19">
        <v>-4.7000000000000002E-3</v>
      </c>
      <c r="N30" s="22">
        <v>1</v>
      </c>
      <c r="O30" s="19">
        <v>3.5000000000000001E-3</v>
      </c>
      <c r="P30" s="22">
        <v>1</v>
      </c>
      <c r="Q30" s="19">
        <v>1.04E-2</v>
      </c>
      <c r="R30" s="22">
        <v>1</v>
      </c>
      <c r="S30" s="19">
        <v>-5.7000000000000002E-3</v>
      </c>
      <c r="T30" s="22">
        <v>1</v>
      </c>
      <c r="U30" s="19">
        <v>-1.1000000000000001E-3</v>
      </c>
      <c r="V30" s="22">
        <v>1</v>
      </c>
      <c r="W30" s="19">
        <v>1.5599999999999999E-2</v>
      </c>
      <c r="X30" s="22">
        <v>1</v>
      </c>
      <c r="Y30" s="19">
        <v>8.8999999999999999E-3</v>
      </c>
      <c r="Z30" s="6">
        <v>1</v>
      </c>
    </row>
    <row r="31" spans="1:26" x14ac:dyDescent="0.25">
      <c r="A31" s="4" t="s">
        <v>71</v>
      </c>
      <c r="B31" s="56" t="s">
        <v>71</v>
      </c>
      <c r="C31" s="57" t="s">
        <v>71</v>
      </c>
      <c r="D31" s="57" t="s">
        <v>71</v>
      </c>
      <c r="E31" s="57" t="s">
        <v>71</v>
      </c>
      <c r="F31" s="57" t="s">
        <v>71</v>
      </c>
      <c r="G31" s="57" t="s">
        <v>71</v>
      </c>
      <c r="H31" s="57" t="s">
        <v>71</v>
      </c>
      <c r="I31" s="57" t="s">
        <v>71</v>
      </c>
      <c r="J31" s="57" t="s">
        <v>71</v>
      </c>
      <c r="K31" s="57" t="s">
        <v>71</v>
      </c>
      <c r="L31" s="57" t="s">
        <v>71</v>
      </c>
      <c r="M31" s="57" t="s">
        <v>71</v>
      </c>
      <c r="N31" s="57" t="s">
        <v>71</v>
      </c>
      <c r="O31" s="57" t="s">
        <v>71</v>
      </c>
      <c r="P31" s="57" t="s">
        <v>71</v>
      </c>
      <c r="Q31" s="57" t="s">
        <v>71</v>
      </c>
      <c r="R31" s="57" t="s">
        <v>71</v>
      </c>
      <c r="S31" s="57" t="s">
        <v>71</v>
      </c>
      <c r="T31" s="57" t="s">
        <v>71</v>
      </c>
      <c r="U31" s="57" t="s">
        <v>71</v>
      </c>
      <c r="V31" s="57" t="s">
        <v>71</v>
      </c>
      <c r="W31" s="57" t="s">
        <v>71</v>
      </c>
      <c r="X31" s="57" t="s">
        <v>71</v>
      </c>
      <c r="Y31" s="57" t="s">
        <v>71</v>
      </c>
      <c r="Z31" s="58" t="s">
        <v>71</v>
      </c>
    </row>
    <row r="32" spans="1:26" x14ac:dyDescent="0.25">
      <c r="A32" s="4" t="s">
        <v>71</v>
      </c>
      <c r="B32" s="11" t="s">
        <v>21</v>
      </c>
      <c r="C32" s="26">
        <v>1.2999999999999999E-3</v>
      </c>
      <c r="D32" s="27">
        <v>0.48570000000000002</v>
      </c>
      <c r="E32" s="28">
        <v>-5.4999999999999997E-3</v>
      </c>
      <c r="F32" s="29">
        <v>0.47787346440543499</v>
      </c>
      <c r="G32" s="26">
        <v>-3.04E-2</v>
      </c>
      <c r="H32" s="27">
        <v>0.47426277018530699</v>
      </c>
      <c r="I32" s="28">
        <v>1.47E-2</v>
      </c>
      <c r="J32" s="29">
        <v>0.477514712700772</v>
      </c>
      <c r="K32" s="26">
        <v>8.2000000000000007E-3</v>
      </c>
      <c r="L32" s="27">
        <v>0.47979270926345202</v>
      </c>
      <c r="M32" s="28">
        <v>-3.8E-3</v>
      </c>
      <c r="N32" s="29">
        <v>0.47623780535424598</v>
      </c>
      <c r="O32" s="26">
        <v>7.3000000000000001E-3</v>
      </c>
      <c r="P32" s="27">
        <v>0.48226651571946599</v>
      </c>
      <c r="Q32" s="28">
        <v>4.0000000000000001E-3</v>
      </c>
      <c r="R32" s="29">
        <v>0.487392874387365</v>
      </c>
      <c r="S32" s="26">
        <v>-3.3E-3</v>
      </c>
      <c r="T32" s="27">
        <v>0.48095384837843802</v>
      </c>
      <c r="U32" s="28">
        <v>-2.0000000000000001E-4</v>
      </c>
      <c r="V32" s="29">
        <v>0.48228871237666698</v>
      </c>
      <c r="W32" s="26">
        <v>9.7000000000000003E-3</v>
      </c>
      <c r="X32" s="27">
        <v>0.48327205939055901</v>
      </c>
      <c r="Y32" s="28">
        <v>4.0000000000000001E-3</v>
      </c>
      <c r="Z32" s="30">
        <v>0.48103919699165099</v>
      </c>
    </row>
    <row r="33" spans="1:26" x14ac:dyDescent="0.25">
      <c r="A33" s="4" t="s">
        <v>71</v>
      </c>
      <c r="B33" s="17" t="s">
        <v>22</v>
      </c>
      <c r="C33" s="12">
        <v>4.0000000000000001E-3</v>
      </c>
      <c r="D33" s="13">
        <v>0.51429999999999998</v>
      </c>
      <c r="E33" s="14">
        <v>8.3000000000000001E-3</v>
      </c>
      <c r="F33" s="15">
        <v>0.52212653559456501</v>
      </c>
      <c r="G33" s="12">
        <v>-2.47E-2</v>
      </c>
      <c r="H33" s="13">
        <v>0.52573722981469295</v>
      </c>
      <c r="I33" s="14">
        <v>1.2500000000000001E-2</v>
      </c>
      <c r="J33" s="15">
        <v>0.52248528729922805</v>
      </c>
      <c r="K33" s="12">
        <v>6.6E-3</v>
      </c>
      <c r="L33" s="13">
        <v>0.52020729073654803</v>
      </c>
      <c r="M33" s="14">
        <v>-8.9999999999999998E-4</v>
      </c>
      <c r="N33" s="15">
        <v>0.52376219464575402</v>
      </c>
      <c r="O33" s="12">
        <v>-3.8E-3</v>
      </c>
      <c r="P33" s="13">
        <v>0.51773348428053401</v>
      </c>
      <c r="Q33" s="14">
        <v>6.4000000000000003E-3</v>
      </c>
      <c r="R33" s="15">
        <v>0.512607125612635</v>
      </c>
      <c r="S33" s="12">
        <v>-2.3999999999999998E-3</v>
      </c>
      <c r="T33" s="13">
        <v>0.51904615162156198</v>
      </c>
      <c r="U33" s="14">
        <v>-8.9999999999999998E-4</v>
      </c>
      <c r="V33" s="15">
        <v>0.51771128762333296</v>
      </c>
      <c r="W33" s="12">
        <v>5.8999999999999999E-3</v>
      </c>
      <c r="X33" s="13">
        <v>0.51672794060944105</v>
      </c>
      <c r="Y33" s="14">
        <v>4.8999999999999998E-3</v>
      </c>
      <c r="Z33" s="16">
        <v>0.51896080300834901</v>
      </c>
    </row>
    <row r="34" spans="1:26" x14ac:dyDescent="0.25">
      <c r="A34" s="4" t="s">
        <v>71</v>
      </c>
      <c r="B34" s="31" t="s">
        <v>68</v>
      </c>
      <c r="C34" s="32">
        <v>5.3E-3</v>
      </c>
      <c r="D34" s="33">
        <v>1</v>
      </c>
      <c r="E34" s="34">
        <v>2.8E-3</v>
      </c>
      <c r="F34" s="35">
        <v>1</v>
      </c>
      <c r="G34" s="34">
        <v>-5.5100000000000003E-2</v>
      </c>
      <c r="H34" s="35">
        <v>1</v>
      </c>
      <c r="I34" s="32">
        <v>2.7199999999999998E-2</v>
      </c>
      <c r="J34" s="33">
        <v>1</v>
      </c>
      <c r="K34" s="32">
        <v>1.4800000000000001E-2</v>
      </c>
      <c r="L34" s="33">
        <v>1</v>
      </c>
      <c r="M34" s="32">
        <v>-4.7000000000000002E-3</v>
      </c>
      <c r="N34" s="33">
        <v>1</v>
      </c>
      <c r="O34" s="32">
        <v>3.5000000000000001E-3</v>
      </c>
      <c r="P34" s="33">
        <v>1</v>
      </c>
      <c r="Q34" s="32">
        <v>1.04E-2</v>
      </c>
      <c r="R34" s="33">
        <v>1</v>
      </c>
      <c r="S34" s="32">
        <v>-5.7000000000000002E-3</v>
      </c>
      <c r="T34" s="33">
        <v>1</v>
      </c>
      <c r="U34" s="32">
        <v>-1.1000000000000001E-3</v>
      </c>
      <c r="V34" s="33">
        <v>1</v>
      </c>
      <c r="W34" s="32">
        <v>1.5599999999999999E-2</v>
      </c>
      <c r="X34" s="33">
        <v>1</v>
      </c>
      <c r="Y34" s="32">
        <v>8.8999999999999999E-3</v>
      </c>
      <c r="Z34" s="36">
        <v>1</v>
      </c>
    </row>
    <row r="35" spans="1:26" x14ac:dyDescent="0.25">
      <c r="A35" s="4" t="s">
        <v>71</v>
      </c>
      <c r="B35" s="59" t="s">
        <v>71</v>
      </c>
      <c r="C35" s="60" t="s">
        <v>71</v>
      </c>
      <c r="D35" s="60" t="s">
        <v>71</v>
      </c>
      <c r="E35" s="60" t="s">
        <v>71</v>
      </c>
      <c r="F35" s="60" t="s">
        <v>71</v>
      </c>
      <c r="G35" s="60" t="s">
        <v>71</v>
      </c>
      <c r="H35" s="60" t="s">
        <v>71</v>
      </c>
      <c r="I35" s="60" t="s">
        <v>71</v>
      </c>
      <c r="J35" s="60" t="s">
        <v>71</v>
      </c>
      <c r="K35" s="60" t="s">
        <v>71</v>
      </c>
      <c r="L35" s="60" t="s">
        <v>71</v>
      </c>
      <c r="M35" s="60" t="s">
        <v>71</v>
      </c>
      <c r="N35" s="60" t="s">
        <v>71</v>
      </c>
      <c r="O35" s="60" t="s">
        <v>71</v>
      </c>
      <c r="P35" s="60" t="s">
        <v>71</v>
      </c>
      <c r="Q35" s="60" t="s">
        <v>71</v>
      </c>
      <c r="R35" s="60" t="s">
        <v>71</v>
      </c>
      <c r="S35" s="60" t="s">
        <v>71</v>
      </c>
      <c r="T35" s="60" t="s">
        <v>71</v>
      </c>
      <c r="U35" s="60" t="s">
        <v>71</v>
      </c>
      <c r="V35" s="60" t="s">
        <v>71</v>
      </c>
      <c r="W35" s="60" t="s">
        <v>71</v>
      </c>
      <c r="X35" s="60" t="s">
        <v>71</v>
      </c>
      <c r="Y35" s="60" t="s">
        <v>71</v>
      </c>
      <c r="Z35" s="60" t="s">
        <v>71</v>
      </c>
    </row>
    <row r="36" spans="1:26" x14ac:dyDescent="0.25">
      <c r="A36" s="4" t="s">
        <v>71</v>
      </c>
      <c r="B36" s="7" t="s">
        <v>63</v>
      </c>
      <c r="C36" s="70" t="s">
        <v>71</v>
      </c>
      <c r="D36" s="69" t="s">
        <v>71</v>
      </c>
      <c r="E36" s="70" t="s">
        <v>71</v>
      </c>
      <c r="F36" s="69" t="s">
        <v>71</v>
      </c>
      <c r="G36" s="8">
        <v>2.5999999999999999E-3</v>
      </c>
      <c r="H36" s="69" t="s">
        <v>71</v>
      </c>
      <c r="I36" s="70" t="s">
        <v>71</v>
      </c>
      <c r="J36" s="69" t="s">
        <v>71</v>
      </c>
      <c r="K36" s="70" t="s">
        <v>71</v>
      </c>
      <c r="L36" s="69" t="s">
        <v>71</v>
      </c>
      <c r="M36" s="8">
        <v>2.8E-3</v>
      </c>
      <c r="N36" s="69" t="s">
        <v>71</v>
      </c>
      <c r="O36" s="70" t="s">
        <v>71</v>
      </c>
      <c r="P36" s="69" t="s">
        <v>71</v>
      </c>
      <c r="Q36" s="70" t="s">
        <v>71</v>
      </c>
      <c r="R36" s="69" t="s">
        <v>71</v>
      </c>
      <c r="S36" s="8">
        <v>2.8999999999999998E-3</v>
      </c>
      <c r="T36" s="69" t="s">
        <v>71</v>
      </c>
      <c r="U36" s="70" t="s">
        <v>71</v>
      </c>
      <c r="V36" s="69" t="s">
        <v>71</v>
      </c>
      <c r="W36" s="70" t="s">
        <v>71</v>
      </c>
      <c r="X36" s="69" t="s">
        <v>71</v>
      </c>
      <c r="Y36" s="8">
        <v>2.8999999999999998E-3</v>
      </c>
      <c r="Z36" s="69" t="s">
        <v>71</v>
      </c>
    </row>
    <row r="37" spans="1:26" x14ac:dyDescent="0.25">
      <c r="A37" s="4" t="s">
        <v>71</v>
      </c>
      <c r="B37" s="43" t="s">
        <v>64</v>
      </c>
      <c r="C37" s="68" t="s">
        <v>71</v>
      </c>
      <c r="D37" s="67" t="s">
        <v>71</v>
      </c>
      <c r="E37" s="68" t="s">
        <v>71</v>
      </c>
      <c r="F37" s="67" t="s">
        <v>71</v>
      </c>
      <c r="G37" s="44">
        <v>-5.2499999999999998E-2</v>
      </c>
      <c r="H37" s="67" t="s">
        <v>71</v>
      </c>
      <c r="I37" s="68" t="s">
        <v>71</v>
      </c>
      <c r="J37" s="67" t="s">
        <v>71</v>
      </c>
      <c r="K37" s="68" t="s">
        <v>71</v>
      </c>
      <c r="L37" s="67" t="s">
        <v>71</v>
      </c>
      <c r="M37" s="44">
        <v>-1.9E-3</v>
      </c>
      <c r="N37" s="67" t="s">
        <v>71</v>
      </c>
      <c r="O37" s="68" t="s">
        <v>71</v>
      </c>
      <c r="P37" s="67" t="s">
        <v>71</v>
      </c>
      <c r="Q37" s="68" t="s">
        <v>71</v>
      </c>
      <c r="R37" s="67" t="s">
        <v>71</v>
      </c>
      <c r="S37" s="44">
        <v>-2.8E-3</v>
      </c>
      <c r="T37" s="67" t="s">
        <v>71</v>
      </c>
      <c r="U37" s="68" t="s">
        <v>71</v>
      </c>
      <c r="V37" s="67" t="s">
        <v>71</v>
      </c>
      <c r="W37" s="68" t="s">
        <v>71</v>
      </c>
      <c r="X37" s="67" t="s">
        <v>71</v>
      </c>
      <c r="Y37" s="44">
        <v>1.18E-2</v>
      </c>
      <c r="Z37" s="67" t="s">
        <v>71</v>
      </c>
    </row>
    <row r="38" spans="1:26" x14ac:dyDescent="0.25">
      <c r="A38" s="74" t="s">
        <v>72</v>
      </c>
      <c r="B38" s="74"/>
      <c r="C38" s="74"/>
      <c r="D38" s="74"/>
      <c r="E38" s="74"/>
      <c r="F38" s="74"/>
      <c r="G38" s="74"/>
      <c r="H38" s="74"/>
      <c r="I38" s="74"/>
      <c r="J38" s="74"/>
      <c r="K38" s="74"/>
      <c r="L38" s="74"/>
      <c r="M38" s="74"/>
      <c r="N38" s="74"/>
      <c r="O38" s="74"/>
      <c r="P38" s="74"/>
      <c r="Q38" s="74"/>
      <c r="R38" s="74"/>
      <c r="S38" s="74"/>
      <c r="T38" s="74"/>
      <c r="U38" s="74"/>
      <c r="V38" s="74"/>
      <c r="W38" s="74"/>
      <c r="X38" s="74"/>
      <c r="Y38" s="74"/>
      <c r="Z38" s="74"/>
    </row>
    <row r="39" spans="1:26" ht="84.6" customHeight="1" x14ac:dyDescent="0.25">
      <c r="A39" s="4" t="s">
        <v>71</v>
      </c>
      <c r="B39" s="45" t="s">
        <v>23</v>
      </c>
      <c r="C39" s="46" t="s">
        <v>55</v>
      </c>
      <c r="D39" s="47" t="s">
        <v>56</v>
      </c>
      <c r="E39" s="48" t="s">
        <v>57</v>
      </c>
      <c r="F39" s="49" t="s">
        <v>58</v>
      </c>
      <c r="G39" s="46" t="s">
        <v>59</v>
      </c>
      <c r="H39" s="47" t="s">
        <v>60</v>
      </c>
      <c r="I39" s="48" t="s">
        <v>61</v>
      </c>
      <c r="J39" s="50" t="s">
        <v>62</v>
      </c>
      <c r="K39" s="73" t="s">
        <v>71</v>
      </c>
      <c r="L39" s="73"/>
      <c r="M39" s="73"/>
      <c r="N39" s="73"/>
      <c r="O39" s="73"/>
      <c r="P39" s="73"/>
      <c r="Q39" s="73"/>
      <c r="R39" s="73"/>
      <c r="S39" s="73"/>
      <c r="T39" s="73"/>
      <c r="U39" s="73"/>
      <c r="V39" s="73"/>
      <c r="W39" s="73"/>
      <c r="X39" s="73"/>
      <c r="Y39" s="73"/>
      <c r="Z39" s="73"/>
    </row>
    <row r="40" spans="1:26" x14ac:dyDescent="0.25">
      <c r="A40" s="4" t="s">
        <v>71</v>
      </c>
      <c r="B40" s="11" t="s">
        <v>1</v>
      </c>
      <c r="C40" s="12">
        <v>0</v>
      </c>
      <c r="D40" s="13">
        <v>2.4663584489609501E-2</v>
      </c>
      <c r="E40" s="14">
        <v>-2.9999999999999997E-4</v>
      </c>
      <c r="F40" s="15">
        <v>2.1662573347159798E-2</v>
      </c>
      <c r="G40" s="12">
        <v>-2.0000000000000001E-4</v>
      </c>
      <c r="H40" s="13">
        <v>1.3479565848154001E-2</v>
      </c>
      <c r="I40" s="14">
        <v>-1.1000000000000001E-3</v>
      </c>
      <c r="J40" s="16">
        <v>4.8760153388472602E-2</v>
      </c>
      <c r="K40" s="73"/>
      <c r="L40" s="73"/>
      <c r="M40" s="73"/>
      <c r="N40" s="73"/>
      <c r="O40" s="73"/>
      <c r="P40" s="73"/>
      <c r="Q40" s="73"/>
      <c r="R40" s="73"/>
      <c r="S40" s="73"/>
      <c r="T40" s="73"/>
      <c r="U40" s="73"/>
      <c r="V40" s="73"/>
      <c r="W40" s="73"/>
      <c r="X40" s="73"/>
      <c r="Y40" s="73"/>
      <c r="Z40" s="73"/>
    </row>
    <row r="41" spans="1:26" x14ac:dyDescent="0.25">
      <c r="A41" s="4" t="s">
        <v>71</v>
      </c>
      <c r="B41" s="17" t="s">
        <v>2</v>
      </c>
      <c r="C41" s="12">
        <v>-1.9400000000000001E-2</v>
      </c>
      <c r="D41" s="13">
        <v>0.66898302253909703</v>
      </c>
      <c r="E41" s="14">
        <v>4.5999999999999999E-3</v>
      </c>
      <c r="F41" s="15">
        <v>0.68905848180977103</v>
      </c>
      <c r="G41" s="12">
        <v>2.7000000000000001E-3</v>
      </c>
      <c r="H41" s="13">
        <v>0.70374717102136597</v>
      </c>
      <c r="I41" s="14">
        <v>1.37E-2</v>
      </c>
      <c r="J41" s="16">
        <v>0.66547509574942598</v>
      </c>
      <c r="K41" s="73"/>
      <c r="L41" s="73"/>
      <c r="M41" s="73"/>
      <c r="N41" s="73"/>
      <c r="O41" s="73"/>
      <c r="P41" s="73"/>
      <c r="Q41" s="73"/>
      <c r="R41" s="73"/>
      <c r="S41" s="73"/>
      <c r="T41" s="73"/>
      <c r="U41" s="73"/>
      <c r="V41" s="73"/>
      <c r="W41" s="73"/>
      <c r="X41" s="73"/>
      <c r="Y41" s="73"/>
      <c r="Z41" s="73"/>
    </row>
    <row r="42" spans="1:26" x14ac:dyDescent="0.25">
      <c r="A42" s="4" t="s">
        <v>71</v>
      </c>
      <c r="B42" s="17" t="s">
        <v>3</v>
      </c>
      <c r="C42" s="12">
        <v>0</v>
      </c>
      <c r="D42" s="13">
        <v>0</v>
      </c>
      <c r="E42" s="14">
        <v>0</v>
      </c>
      <c r="F42" s="15">
        <v>0</v>
      </c>
      <c r="G42" s="12">
        <v>0</v>
      </c>
      <c r="H42" s="13">
        <v>0</v>
      </c>
      <c r="I42" s="14">
        <v>0</v>
      </c>
      <c r="J42" s="16">
        <v>0</v>
      </c>
      <c r="K42" s="73"/>
      <c r="L42" s="73"/>
      <c r="M42" s="73"/>
      <c r="N42" s="73"/>
      <c r="O42" s="73"/>
      <c r="P42" s="73"/>
      <c r="Q42" s="73"/>
      <c r="R42" s="73"/>
      <c r="S42" s="73"/>
      <c r="T42" s="73"/>
      <c r="U42" s="73"/>
      <c r="V42" s="73"/>
      <c r="W42" s="73"/>
      <c r="X42" s="73"/>
      <c r="Y42" s="73"/>
      <c r="Z42" s="73"/>
    </row>
    <row r="43" spans="1:26" x14ac:dyDescent="0.25">
      <c r="A43" s="4" t="s">
        <v>71</v>
      </c>
      <c r="B43" s="17" t="s">
        <v>4</v>
      </c>
      <c r="C43" s="12">
        <v>0</v>
      </c>
      <c r="D43" s="13">
        <v>0</v>
      </c>
      <c r="E43" s="14">
        <v>0</v>
      </c>
      <c r="F43" s="15">
        <v>0</v>
      </c>
      <c r="G43" s="12">
        <v>0</v>
      </c>
      <c r="H43" s="13">
        <v>0</v>
      </c>
      <c r="I43" s="14">
        <v>0</v>
      </c>
      <c r="J43" s="16">
        <v>0</v>
      </c>
      <c r="K43" s="73"/>
      <c r="L43" s="73"/>
      <c r="M43" s="73"/>
      <c r="N43" s="73"/>
      <c r="O43" s="73"/>
      <c r="P43" s="73"/>
      <c r="Q43" s="73"/>
      <c r="R43" s="73"/>
      <c r="S43" s="73"/>
      <c r="T43" s="73"/>
      <c r="U43" s="73"/>
      <c r="V43" s="73"/>
      <c r="W43" s="73"/>
      <c r="X43" s="73"/>
      <c r="Y43" s="73"/>
      <c r="Z43" s="73"/>
    </row>
    <row r="44" spans="1:26" x14ac:dyDescent="0.25">
      <c r="A44" s="4" t="s">
        <v>71</v>
      </c>
      <c r="B44" s="17" t="s">
        <v>5</v>
      </c>
      <c r="C44" s="12">
        <v>-4.5999999999999999E-3</v>
      </c>
      <c r="D44" s="13">
        <v>6.0636027555880601E-2</v>
      </c>
      <c r="E44" s="14">
        <v>-4.1000000000000003E-3</v>
      </c>
      <c r="F44" s="15">
        <v>6.0203219418072502E-2</v>
      </c>
      <c r="G44" s="12">
        <v>-2E-3</v>
      </c>
      <c r="H44" s="13">
        <v>6.4689488814620097E-2</v>
      </c>
      <c r="I44" s="14">
        <v>1E-4</v>
      </c>
      <c r="J44" s="16">
        <v>6.5453481543694805E-2</v>
      </c>
      <c r="K44" s="73"/>
      <c r="L44" s="73"/>
      <c r="M44" s="73"/>
      <c r="N44" s="73"/>
      <c r="O44" s="73"/>
      <c r="P44" s="73"/>
      <c r="Q44" s="73"/>
      <c r="R44" s="73"/>
      <c r="S44" s="73"/>
      <c r="T44" s="73"/>
      <c r="U44" s="73"/>
      <c r="V44" s="73"/>
      <c r="W44" s="73"/>
      <c r="X44" s="73"/>
      <c r="Y44" s="73"/>
      <c r="Z44" s="73"/>
    </row>
    <row r="45" spans="1:26" x14ac:dyDescent="0.25">
      <c r="A45" s="4" t="s">
        <v>71</v>
      </c>
      <c r="B45" s="17" t="s">
        <v>6</v>
      </c>
      <c r="C45" s="12">
        <v>-1.4E-3</v>
      </c>
      <c r="D45" s="13">
        <v>1.93786156863534E-2</v>
      </c>
      <c r="E45" s="14">
        <v>-4.0000000000000002E-4</v>
      </c>
      <c r="F45" s="15">
        <v>2.3093389566530498E-2</v>
      </c>
      <c r="G45" s="12">
        <v>-2.0000000000000001E-4</v>
      </c>
      <c r="H45" s="13">
        <v>2.1693415082849998E-2</v>
      </c>
      <c r="I45" s="14">
        <v>1E-4</v>
      </c>
      <c r="J45" s="16">
        <v>2.0746532004116799E-2</v>
      </c>
      <c r="K45" s="73"/>
      <c r="L45" s="73"/>
      <c r="M45" s="73"/>
      <c r="N45" s="73"/>
      <c r="O45" s="73"/>
      <c r="P45" s="73"/>
      <c r="Q45" s="73"/>
      <c r="R45" s="73"/>
      <c r="S45" s="73"/>
      <c r="T45" s="73"/>
      <c r="U45" s="73"/>
      <c r="V45" s="73"/>
      <c r="W45" s="73"/>
      <c r="X45" s="73"/>
      <c r="Y45" s="73"/>
      <c r="Z45" s="73"/>
    </row>
    <row r="46" spans="1:26" x14ac:dyDescent="0.25">
      <c r="A46" s="4" t="s">
        <v>71</v>
      </c>
      <c r="B46" s="17" t="s">
        <v>7</v>
      </c>
      <c r="C46" s="12">
        <v>-1.1900000000000001E-2</v>
      </c>
      <c r="D46" s="13">
        <v>4.9675643912335997E-2</v>
      </c>
      <c r="E46" s="14">
        <v>-9.7000000000000003E-3</v>
      </c>
      <c r="F46" s="15">
        <v>4.64790108816747E-2</v>
      </c>
      <c r="G46" s="12">
        <v>-7.9000000000000008E-3</v>
      </c>
      <c r="H46" s="13">
        <v>4.5147075860006797E-2</v>
      </c>
      <c r="I46" s="14">
        <v>-1.8E-3</v>
      </c>
      <c r="J46" s="16">
        <v>4.8460719427736103E-2</v>
      </c>
      <c r="K46" s="73"/>
      <c r="L46" s="73"/>
      <c r="M46" s="73"/>
      <c r="N46" s="73"/>
      <c r="O46" s="73"/>
      <c r="P46" s="73"/>
      <c r="Q46" s="73"/>
      <c r="R46" s="73"/>
      <c r="S46" s="73"/>
      <c r="T46" s="73"/>
      <c r="U46" s="73"/>
      <c r="V46" s="73"/>
      <c r="W46" s="73"/>
      <c r="X46" s="73"/>
      <c r="Y46" s="73"/>
      <c r="Z46" s="73"/>
    </row>
    <row r="47" spans="1:26" x14ac:dyDescent="0.25">
      <c r="A47" s="4" t="s">
        <v>71</v>
      </c>
      <c r="B47" s="17" t="s">
        <v>30</v>
      </c>
      <c r="C47" s="12">
        <v>-1.1599999999999999E-2</v>
      </c>
      <c r="D47" s="13">
        <v>6.3165154376451899E-2</v>
      </c>
      <c r="E47" s="14">
        <v>-2.7000000000000001E-3</v>
      </c>
      <c r="F47" s="15">
        <v>5.0319811259440503E-2</v>
      </c>
      <c r="G47" s="12">
        <v>1.1000000000000001E-3</v>
      </c>
      <c r="H47" s="13">
        <v>3.6436724247273802E-2</v>
      </c>
      <c r="I47" s="14">
        <v>4.7999999999999996E-3</v>
      </c>
      <c r="J47" s="16">
        <v>3.31965294527964E-2</v>
      </c>
      <c r="K47" s="73"/>
      <c r="L47" s="73"/>
      <c r="M47" s="73"/>
      <c r="N47" s="73"/>
      <c r="O47" s="73"/>
      <c r="P47" s="73"/>
      <c r="Q47" s="73"/>
      <c r="R47" s="73"/>
      <c r="S47" s="73"/>
      <c r="T47" s="73"/>
      <c r="U47" s="73"/>
      <c r="V47" s="73"/>
      <c r="W47" s="73"/>
      <c r="X47" s="73"/>
      <c r="Y47" s="73"/>
      <c r="Z47" s="73"/>
    </row>
    <row r="48" spans="1:26" x14ac:dyDescent="0.25">
      <c r="A48" s="4" t="s">
        <v>71</v>
      </c>
      <c r="B48" s="17" t="s">
        <v>8</v>
      </c>
      <c r="C48" s="12">
        <v>-1.1999999999999999E-3</v>
      </c>
      <c r="D48" s="13">
        <v>4.9962926233813104E-3</v>
      </c>
      <c r="E48" s="14">
        <v>-4.0000000000000002E-4</v>
      </c>
      <c r="F48" s="15">
        <v>6.1549208296758301E-3</v>
      </c>
      <c r="G48" s="12">
        <v>5.0000000000000001E-4</v>
      </c>
      <c r="H48" s="13">
        <v>9.0979970588668108E-3</v>
      </c>
      <c r="I48" s="14">
        <v>1.4E-3</v>
      </c>
      <c r="J48" s="16">
        <v>1.2079375972270901E-2</v>
      </c>
      <c r="K48" s="73"/>
      <c r="L48" s="73"/>
      <c r="M48" s="73"/>
      <c r="N48" s="73"/>
      <c r="O48" s="73"/>
      <c r="P48" s="73"/>
      <c r="Q48" s="73"/>
      <c r="R48" s="73"/>
      <c r="S48" s="73"/>
      <c r="T48" s="73"/>
      <c r="U48" s="73"/>
      <c r="V48" s="73"/>
      <c r="W48" s="73"/>
      <c r="X48" s="73"/>
      <c r="Y48" s="73"/>
      <c r="Z48" s="73"/>
    </row>
    <row r="49" spans="1:26" x14ac:dyDescent="0.25">
      <c r="A49" s="4" t="s">
        <v>71</v>
      </c>
      <c r="B49" s="17" t="s">
        <v>9</v>
      </c>
      <c r="C49" s="12">
        <v>3.0000000000000001E-3</v>
      </c>
      <c r="D49" s="13">
        <v>6.9247149750993803E-2</v>
      </c>
      <c r="E49" s="14">
        <v>1.4E-3</v>
      </c>
      <c r="F49" s="15">
        <v>6.6536712656418598E-2</v>
      </c>
      <c r="G49" s="12">
        <v>2.3999999999999998E-3</v>
      </c>
      <c r="H49" s="13">
        <v>6.8949454044951702E-2</v>
      </c>
      <c r="I49" s="14">
        <v>2.5000000000000001E-3</v>
      </c>
      <c r="J49" s="16">
        <v>7.0856683810768803E-2</v>
      </c>
      <c r="K49" s="73"/>
      <c r="L49" s="73"/>
      <c r="M49" s="73"/>
      <c r="N49" s="73"/>
      <c r="O49" s="73"/>
      <c r="P49" s="73"/>
      <c r="Q49" s="73"/>
      <c r="R49" s="73"/>
      <c r="S49" s="73"/>
      <c r="T49" s="73"/>
      <c r="U49" s="73"/>
      <c r="V49" s="73"/>
      <c r="W49" s="73"/>
      <c r="X49" s="73"/>
      <c r="Y49" s="73"/>
      <c r="Z49" s="73"/>
    </row>
    <row r="50" spans="1:26" x14ac:dyDescent="0.25">
      <c r="A50" s="4" t="s">
        <v>71</v>
      </c>
      <c r="B50" s="17" t="s">
        <v>10</v>
      </c>
      <c r="C50" s="12">
        <v>0</v>
      </c>
      <c r="D50" s="13">
        <v>0</v>
      </c>
      <c r="E50" s="14">
        <v>-1E-4</v>
      </c>
      <c r="F50" s="15">
        <v>0</v>
      </c>
      <c r="G50" s="12">
        <v>-1E-4</v>
      </c>
      <c r="H50" s="13">
        <v>0</v>
      </c>
      <c r="I50" s="14">
        <v>-1E-4</v>
      </c>
      <c r="J50" s="16">
        <v>0</v>
      </c>
      <c r="K50" s="73"/>
      <c r="L50" s="73"/>
      <c r="M50" s="73"/>
      <c r="N50" s="73"/>
      <c r="O50" s="73"/>
      <c r="P50" s="73"/>
      <c r="Q50" s="73"/>
      <c r="R50" s="73"/>
      <c r="S50" s="73"/>
      <c r="T50" s="73"/>
      <c r="U50" s="73"/>
      <c r="V50" s="73"/>
      <c r="W50" s="73"/>
      <c r="X50" s="73"/>
      <c r="Y50" s="73"/>
      <c r="Z50" s="73"/>
    </row>
    <row r="51" spans="1:26" x14ac:dyDescent="0.25">
      <c r="A51" s="4" t="s">
        <v>71</v>
      </c>
      <c r="B51" s="17" t="s">
        <v>11</v>
      </c>
      <c r="C51" s="12">
        <v>0</v>
      </c>
      <c r="D51" s="13">
        <v>0</v>
      </c>
      <c r="E51" s="14">
        <v>0</v>
      </c>
      <c r="F51" s="15">
        <v>0</v>
      </c>
      <c r="G51" s="12">
        <v>0</v>
      </c>
      <c r="H51" s="13">
        <v>0</v>
      </c>
      <c r="I51" s="14">
        <v>0</v>
      </c>
      <c r="J51" s="16">
        <v>0</v>
      </c>
      <c r="K51" s="73"/>
      <c r="L51" s="73"/>
      <c r="M51" s="73"/>
      <c r="N51" s="73"/>
      <c r="O51" s="73"/>
      <c r="P51" s="73"/>
      <c r="Q51" s="73"/>
      <c r="R51" s="73"/>
      <c r="S51" s="73"/>
      <c r="T51" s="73"/>
      <c r="U51" s="73"/>
      <c r="V51" s="73"/>
      <c r="W51" s="73"/>
      <c r="X51" s="73"/>
      <c r="Y51" s="73"/>
      <c r="Z51" s="73"/>
    </row>
    <row r="52" spans="1:26" x14ac:dyDescent="0.25">
      <c r="A52" s="4" t="s">
        <v>71</v>
      </c>
      <c r="B52" s="17" t="s">
        <v>12</v>
      </c>
      <c r="C52" s="12">
        <v>2.0000000000000001E-4</v>
      </c>
      <c r="D52" s="13">
        <v>2.7649739833117502E-4</v>
      </c>
      <c r="E52" s="14">
        <v>2.0000000000000001E-4</v>
      </c>
      <c r="F52" s="15">
        <v>-5.3012944668551405E-4</v>
      </c>
      <c r="G52" s="12">
        <v>1E-4</v>
      </c>
      <c r="H52" s="13">
        <v>0</v>
      </c>
      <c r="I52" s="14">
        <v>2.0000000000000001E-4</v>
      </c>
      <c r="J52" s="16">
        <v>0</v>
      </c>
      <c r="K52" s="73"/>
      <c r="L52" s="73"/>
      <c r="M52" s="73"/>
      <c r="N52" s="73"/>
      <c r="O52" s="73"/>
      <c r="P52" s="73"/>
      <c r="Q52" s="73"/>
      <c r="R52" s="73"/>
      <c r="S52" s="73"/>
      <c r="T52" s="73"/>
      <c r="U52" s="73"/>
      <c r="V52" s="73"/>
      <c r="W52" s="73"/>
      <c r="X52" s="73"/>
      <c r="Y52" s="73"/>
      <c r="Z52" s="73"/>
    </row>
    <row r="53" spans="1:26" x14ac:dyDescent="0.25">
      <c r="A53" s="4" t="s">
        <v>71</v>
      </c>
      <c r="B53" s="17" t="s">
        <v>13</v>
      </c>
      <c r="C53" s="12">
        <v>0</v>
      </c>
      <c r="D53" s="13">
        <v>0</v>
      </c>
      <c r="E53" s="14">
        <v>0</v>
      </c>
      <c r="F53" s="15">
        <v>0</v>
      </c>
      <c r="G53" s="12">
        <v>0</v>
      </c>
      <c r="H53" s="13">
        <v>0</v>
      </c>
      <c r="I53" s="14">
        <v>0</v>
      </c>
      <c r="J53" s="16">
        <v>0</v>
      </c>
      <c r="K53" s="73"/>
      <c r="L53" s="73"/>
      <c r="M53" s="73"/>
      <c r="N53" s="73"/>
      <c r="O53" s="73"/>
      <c r="P53" s="73"/>
      <c r="Q53" s="73"/>
      <c r="R53" s="73"/>
      <c r="S53" s="73"/>
      <c r="T53" s="73"/>
      <c r="U53" s="73"/>
      <c r="V53" s="73"/>
      <c r="W53" s="73"/>
      <c r="X53" s="73"/>
      <c r="Y53" s="73"/>
      <c r="Z53" s="73"/>
    </row>
    <row r="54" spans="1:26" x14ac:dyDescent="0.25">
      <c r="A54" s="4" t="s">
        <v>71</v>
      </c>
      <c r="B54" s="17" t="s">
        <v>14</v>
      </c>
      <c r="C54" s="12">
        <v>-5.0000000000000001E-4</v>
      </c>
      <c r="D54" s="13">
        <v>3.7826709536021103E-2</v>
      </c>
      <c r="E54" s="14">
        <v>0</v>
      </c>
      <c r="F54" s="15">
        <v>3.5934396925150297E-2</v>
      </c>
      <c r="G54" s="12">
        <v>4.0000000000000002E-4</v>
      </c>
      <c r="H54" s="13">
        <v>3.4743433569941702E-2</v>
      </c>
      <c r="I54" s="14">
        <v>8.0000000000000004E-4</v>
      </c>
      <c r="J54" s="16">
        <v>3.3164206725296803E-2</v>
      </c>
      <c r="K54" s="73"/>
      <c r="L54" s="73"/>
      <c r="M54" s="73"/>
      <c r="N54" s="73"/>
      <c r="O54" s="73"/>
      <c r="P54" s="73"/>
      <c r="Q54" s="73"/>
      <c r="R54" s="73"/>
      <c r="S54" s="73"/>
      <c r="T54" s="73"/>
      <c r="U54" s="73"/>
      <c r="V54" s="73"/>
      <c r="W54" s="73"/>
      <c r="X54" s="73"/>
      <c r="Y54" s="73"/>
      <c r="Z54" s="73"/>
    </row>
    <row r="55" spans="1:26" x14ac:dyDescent="0.25">
      <c r="A55" s="4" t="s">
        <v>71</v>
      </c>
      <c r="B55" s="17" t="s">
        <v>15</v>
      </c>
      <c r="C55" s="12">
        <v>2.75821032680312E-18</v>
      </c>
      <c r="D55" s="13">
        <v>4.9867509285474903E-4</v>
      </c>
      <c r="E55" s="14">
        <v>-9.99999999999993E-5</v>
      </c>
      <c r="F55" s="15">
        <v>4.5418108182115001E-4</v>
      </c>
      <c r="G55" s="12">
        <v>-1E-4</v>
      </c>
      <c r="H55" s="13">
        <v>3.2677283700134402E-4</v>
      </c>
      <c r="I55" s="14">
        <v>-1E-4</v>
      </c>
      <c r="J55" s="16">
        <v>2.4962921612528397E-4</v>
      </c>
      <c r="K55" s="73"/>
      <c r="L55" s="73"/>
      <c r="M55" s="73"/>
      <c r="N55" s="73"/>
      <c r="O55" s="73"/>
      <c r="P55" s="73"/>
      <c r="Q55" s="73"/>
      <c r="R55" s="73"/>
      <c r="S55" s="73"/>
      <c r="T55" s="73"/>
      <c r="U55" s="73"/>
      <c r="V55" s="73"/>
      <c r="W55" s="73"/>
      <c r="X55" s="73"/>
      <c r="Y55" s="73"/>
      <c r="Z55" s="73"/>
    </row>
    <row r="56" spans="1:26" x14ac:dyDescent="0.25">
      <c r="A56" s="4" t="s">
        <v>71</v>
      </c>
      <c r="B56" s="17" t="s">
        <v>16</v>
      </c>
      <c r="C56" s="12">
        <v>0</v>
      </c>
      <c r="D56" s="13">
        <v>0</v>
      </c>
      <c r="E56" s="14">
        <v>0</v>
      </c>
      <c r="F56" s="15">
        <v>0</v>
      </c>
      <c r="G56" s="12">
        <v>0</v>
      </c>
      <c r="H56" s="13">
        <v>0</v>
      </c>
      <c r="I56" s="14">
        <v>0</v>
      </c>
      <c r="J56" s="16">
        <v>0</v>
      </c>
      <c r="K56" s="73"/>
      <c r="L56" s="73"/>
      <c r="M56" s="73"/>
      <c r="N56" s="73"/>
      <c r="O56" s="73"/>
      <c r="P56" s="73"/>
      <c r="Q56" s="73"/>
      <c r="R56" s="73"/>
      <c r="S56" s="73"/>
      <c r="T56" s="73"/>
      <c r="U56" s="73"/>
      <c r="V56" s="73"/>
      <c r="W56" s="73"/>
      <c r="X56" s="73"/>
      <c r="Y56" s="73"/>
      <c r="Z56" s="73"/>
    </row>
    <row r="57" spans="1:26" x14ac:dyDescent="0.25">
      <c r="A57" s="4" t="s">
        <v>71</v>
      </c>
      <c r="B57" s="17" t="s">
        <v>17</v>
      </c>
      <c r="C57" s="12">
        <v>0</v>
      </c>
      <c r="D57" s="13">
        <v>6.5262703868913601E-4</v>
      </c>
      <c r="E57" s="14">
        <v>0</v>
      </c>
      <c r="F57" s="15">
        <v>6.3343167097116996E-4</v>
      </c>
      <c r="G57" s="12">
        <v>-9.9999999999999707E-5</v>
      </c>
      <c r="H57" s="13">
        <v>1.6889016149680401E-3</v>
      </c>
      <c r="I57" s="14">
        <v>-2.0000000000000101E-4</v>
      </c>
      <c r="J57" s="16">
        <v>1.5575927092957699E-3</v>
      </c>
      <c r="K57" s="73"/>
      <c r="L57" s="73"/>
      <c r="M57" s="73"/>
      <c r="N57" s="73"/>
      <c r="O57" s="73"/>
      <c r="P57" s="73"/>
      <c r="Q57" s="73"/>
      <c r="R57" s="73"/>
      <c r="S57" s="73"/>
      <c r="T57" s="73"/>
      <c r="U57" s="73"/>
      <c r="V57" s="73"/>
      <c r="W57" s="73"/>
      <c r="X57" s="73"/>
      <c r="Y57" s="73"/>
      <c r="Z57" s="73"/>
    </row>
    <row r="58" spans="1:26" x14ac:dyDescent="0.25">
      <c r="A58" s="4" t="s">
        <v>71</v>
      </c>
      <c r="B58" s="17" t="s">
        <v>18</v>
      </c>
      <c r="C58" s="12">
        <v>0</v>
      </c>
      <c r="D58" s="13">
        <v>0</v>
      </c>
      <c r="E58" s="14">
        <v>0</v>
      </c>
      <c r="F58" s="15">
        <v>0</v>
      </c>
      <c r="G58" s="12">
        <v>0</v>
      </c>
      <c r="H58" s="13">
        <v>0</v>
      </c>
      <c r="I58" s="14">
        <v>0</v>
      </c>
      <c r="J58" s="16">
        <v>0</v>
      </c>
      <c r="K58" s="73"/>
      <c r="L58" s="73"/>
      <c r="M58" s="73"/>
      <c r="N58" s="73"/>
      <c r="O58" s="73"/>
      <c r="P58" s="73"/>
      <c r="Q58" s="73"/>
      <c r="R58" s="73"/>
      <c r="S58" s="73"/>
      <c r="T58" s="73"/>
      <c r="U58" s="73"/>
      <c r="V58" s="73"/>
      <c r="W58" s="73"/>
      <c r="X58" s="73"/>
      <c r="Y58" s="73"/>
      <c r="Z58" s="73"/>
    </row>
    <row r="59" spans="1:26" x14ac:dyDescent="0.25">
      <c r="A59" s="4" t="s">
        <v>71</v>
      </c>
      <c r="B59" s="18" t="s">
        <v>69</v>
      </c>
      <c r="C59" s="19">
        <v>-4.7399999999999998E-2</v>
      </c>
      <c r="D59" s="22">
        <v>1</v>
      </c>
      <c r="E59" s="21">
        <v>-1.1599999999999999E-2</v>
      </c>
      <c r="F59" s="20">
        <v>1</v>
      </c>
      <c r="G59" s="21">
        <v>-3.3999999999999998E-3</v>
      </c>
      <c r="H59" s="20">
        <v>1</v>
      </c>
      <c r="I59" s="19">
        <v>2.0299999999999992E-2</v>
      </c>
      <c r="J59" s="6">
        <v>1</v>
      </c>
      <c r="K59" s="73"/>
      <c r="L59" s="73"/>
      <c r="M59" s="73"/>
      <c r="N59" s="73"/>
      <c r="O59" s="73"/>
      <c r="P59" s="73"/>
      <c r="Q59" s="73"/>
      <c r="R59" s="73"/>
      <c r="S59" s="73"/>
      <c r="T59" s="73"/>
      <c r="U59" s="73"/>
      <c r="V59" s="73"/>
      <c r="W59" s="73"/>
      <c r="X59" s="73"/>
      <c r="Y59" s="73"/>
      <c r="Z59" s="73"/>
    </row>
    <row r="60" spans="1:26" x14ac:dyDescent="0.25">
      <c r="A60" s="4" t="s">
        <v>71</v>
      </c>
      <c r="B60" s="23" t="s">
        <v>24</v>
      </c>
      <c r="C60" s="24">
        <v>-543994.90787943499</v>
      </c>
      <c r="D60" s="64" t="s">
        <v>71</v>
      </c>
      <c r="E60" s="25">
        <v>-132758.774817578</v>
      </c>
      <c r="F60" s="64" t="s">
        <v>71</v>
      </c>
      <c r="G60" s="24">
        <v>-40093.909591062104</v>
      </c>
      <c r="H60" s="64" t="s">
        <v>71</v>
      </c>
      <c r="I60" s="25">
        <v>224207</v>
      </c>
      <c r="J60" s="65" t="s">
        <v>71</v>
      </c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</row>
    <row r="61" spans="1:26" x14ac:dyDescent="0.25">
      <c r="A61" s="4" t="s">
        <v>71</v>
      </c>
      <c r="B61" s="56" t="s">
        <v>71</v>
      </c>
      <c r="C61" s="57" t="s">
        <v>71</v>
      </c>
      <c r="D61" s="66" t="s">
        <v>71</v>
      </c>
      <c r="E61" s="57" t="s">
        <v>71</v>
      </c>
      <c r="F61" s="57" t="s">
        <v>71</v>
      </c>
      <c r="G61" s="57" t="s">
        <v>71</v>
      </c>
      <c r="H61" s="57" t="s">
        <v>71</v>
      </c>
      <c r="I61" s="57" t="s">
        <v>71</v>
      </c>
      <c r="J61" s="58" t="s">
        <v>71</v>
      </c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</row>
    <row r="62" spans="1:26" x14ac:dyDescent="0.25">
      <c r="A62" s="4" t="s">
        <v>71</v>
      </c>
      <c r="B62" s="11" t="s">
        <v>19</v>
      </c>
      <c r="C62" s="26">
        <v>-4.41E-2</v>
      </c>
      <c r="D62" s="27">
        <v>0.93262857869668503</v>
      </c>
      <c r="E62" s="28">
        <v>-1.7000000000000001E-2</v>
      </c>
      <c r="F62" s="29">
        <v>0.88628548692206199</v>
      </c>
      <c r="G62" s="26">
        <v>-1.41E-2</v>
      </c>
      <c r="H62" s="27">
        <v>0.91502694102859505</v>
      </c>
      <c r="I62" s="28">
        <v>7.3000000000000001E-3</v>
      </c>
      <c r="J62" s="30">
        <v>0.93285157713200295</v>
      </c>
      <c r="K62" s="73"/>
      <c r="L62" s="73"/>
      <c r="M62" s="73"/>
      <c r="N62" s="73"/>
      <c r="O62" s="73"/>
      <c r="P62" s="73"/>
      <c r="Q62" s="73"/>
      <c r="R62" s="73"/>
      <c r="S62" s="73"/>
      <c r="T62" s="73"/>
      <c r="U62" s="73"/>
      <c r="V62" s="73"/>
      <c r="W62" s="73"/>
      <c r="X62" s="73"/>
      <c r="Y62" s="73"/>
      <c r="Z62" s="73"/>
    </row>
    <row r="63" spans="1:26" x14ac:dyDescent="0.25">
      <c r="A63" s="4" t="s">
        <v>71</v>
      </c>
      <c r="B63" s="17" t="s">
        <v>20</v>
      </c>
      <c r="C63" s="12">
        <v>-3.3E-3</v>
      </c>
      <c r="D63" s="13">
        <v>6.7371421303314805E-2</v>
      </c>
      <c r="E63" s="14">
        <v>5.4000000000000003E-3</v>
      </c>
      <c r="F63" s="15">
        <v>0.11371451307793801</v>
      </c>
      <c r="G63" s="12">
        <v>1.0699999999999999E-2</v>
      </c>
      <c r="H63" s="13">
        <v>8.4973058971404794E-2</v>
      </c>
      <c r="I63" s="14">
        <v>1.2999999999999999E-2</v>
      </c>
      <c r="J63" s="16">
        <v>6.7148422867997007E-2</v>
      </c>
      <c r="K63" s="73"/>
      <c r="L63" s="73"/>
      <c r="M63" s="73"/>
      <c r="N63" s="73"/>
      <c r="O63" s="73"/>
      <c r="P63" s="73"/>
      <c r="Q63" s="73"/>
      <c r="R63" s="73"/>
      <c r="S63" s="73"/>
      <c r="T63" s="73"/>
      <c r="U63" s="73"/>
      <c r="V63" s="73"/>
      <c r="W63" s="73"/>
      <c r="X63" s="73"/>
      <c r="Y63" s="73"/>
      <c r="Z63" s="73"/>
    </row>
    <row r="64" spans="1:26" x14ac:dyDescent="0.25">
      <c r="A64" s="4" t="s">
        <v>71</v>
      </c>
      <c r="B64" s="18" t="s">
        <v>69</v>
      </c>
      <c r="C64" s="19">
        <v>-4.7399999999999998E-2</v>
      </c>
      <c r="D64" s="22">
        <v>1</v>
      </c>
      <c r="E64" s="21">
        <v>-1.1599999999999999E-2</v>
      </c>
      <c r="F64" s="20">
        <v>1</v>
      </c>
      <c r="G64" s="21">
        <v>-3.3999999999999998E-3</v>
      </c>
      <c r="H64" s="20">
        <v>1</v>
      </c>
      <c r="I64" s="19">
        <v>2.0299999999999999E-2</v>
      </c>
      <c r="J64" s="6">
        <v>1</v>
      </c>
      <c r="K64" s="73"/>
      <c r="L64" s="73"/>
      <c r="M64" s="73"/>
      <c r="N64" s="73"/>
      <c r="O64" s="73"/>
      <c r="P64" s="73"/>
      <c r="Q64" s="73"/>
      <c r="R64" s="73"/>
      <c r="S64" s="73"/>
      <c r="T64" s="73"/>
      <c r="U64" s="73"/>
      <c r="V64" s="73"/>
      <c r="W64" s="73"/>
      <c r="X64" s="73"/>
      <c r="Y64" s="73"/>
      <c r="Z64" s="73"/>
    </row>
    <row r="65" spans="1:26" x14ac:dyDescent="0.25">
      <c r="A65" s="4" t="s">
        <v>71</v>
      </c>
      <c r="B65" s="61" t="s">
        <v>71</v>
      </c>
      <c r="C65" s="62" t="s">
        <v>71</v>
      </c>
      <c r="D65" s="62" t="s">
        <v>71</v>
      </c>
      <c r="E65" s="62" t="s">
        <v>71</v>
      </c>
      <c r="F65" s="62" t="s">
        <v>71</v>
      </c>
      <c r="G65" s="62" t="s">
        <v>71</v>
      </c>
      <c r="H65" s="62" t="s">
        <v>71</v>
      </c>
      <c r="I65" s="62" t="s">
        <v>71</v>
      </c>
      <c r="J65" s="63" t="s">
        <v>71</v>
      </c>
      <c r="K65" s="73"/>
      <c r="L65" s="73"/>
      <c r="M65" s="73"/>
      <c r="N65" s="73"/>
      <c r="O65" s="73"/>
      <c r="P65" s="73"/>
      <c r="Q65" s="73"/>
      <c r="R65" s="73"/>
      <c r="S65" s="73"/>
      <c r="T65" s="73"/>
      <c r="U65" s="73"/>
      <c r="V65" s="73"/>
      <c r="W65" s="73"/>
      <c r="X65" s="73"/>
      <c r="Y65" s="73"/>
      <c r="Z65" s="73"/>
    </row>
    <row r="66" spans="1:26" x14ac:dyDescent="0.25">
      <c r="A66" s="4" t="s">
        <v>71</v>
      </c>
      <c r="B66" s="11" t="s">
        <v>21</v>
      </c>
      <c r="C66" s="26">
        <v>-3.4700000000000002E-2</v>
      </c>
      <c r="D66" s="27">
        <v>0.47426277018530699</v>
      </c>
      <c r="E66" s="28">
        <v>-1.66E-2</v>
      </c>
      <c r="F66" s="29">
        <v>0.47623780535424698</v>
      </c>
      <c r="G66" s="26">
        <v>-8.6E-3</v>
      </c>
      <c r="H66" s="27">
        <v>0.48095384837843702</v>
      </c>
      <c r="I66" s="28">
        <v>4.8999999999999998E-3</v>
      </c>
      <c r="J66" s="30">
        <v>0.48105161212429598</v>
      </c>
      <c r="K66" s="73"/>
      <c r="L66" s="73"/>
      <c r="M66" s="73"/>
      <c r="N66" s="73"/>
      <c r="O66" s="73"/>
      <c r="P66" s="73"/>
      <c r="Q66" s="73"/>
      <c r="R66" s="73"/>
      <c r="S66" s="73"/>
      <c r="T66" s="73"/>
      <c r="U66" s="73"/>
      <c r="V66" s="73"/>
      <c r="W66" s="73"/>
      <c r="X66" s="73"/>
      <c r="Y66" s="73"/>
      <c r="Z66" s="73"/>
    </row>
    <row r="67" spans="1:26" ht="13.15" customHeight="1" x14ac:dyDescent="0.25">
      <c r="A67" s="4" t="s">
        <v>71</v>
      </c>
      <c r="B67" s="17" t="s">
        <v>22</v>
      </c>
      <c r="C67" s="12">
        <v>-1.2699999999999999E-2</v>
      </c>
      <c r="D67" s="13">
        <v>0.52573722981469295</v>
      </c>
      <c r="E67" s="14">
        <v>5.0000000000000001E-3</v>
      </c>
      <c r="F67" s="15">
        <v>0.52376219464575302</v>
      </c>
      <c r="G67" s="12">
        <v>5.1999999999999998E-3</v>
      </c>
      <c r="H67" s="13">
        <v>0.51904615162156298</v>
      </c>
      <c r="I67" s="14">
        <v>1.54E-2</v>
      </c>
      <c r="J67" s="16">
        <v>0.51894838787570496</v>
      </c>
      <c r="K67" s="73"/>
      <c r="L67" s="73"/>
      <c r="M67" s="73"/>
      <c r="N67" s="73"/>
      <c r="O67" s="73"/>
      <c r="P67" s="73"/>
      <c r="Q67" s="73"/>
      <c r="R67" s="73"/>
      <c r="S67" s="73"/>
      <c r="T67" s="73"/>
      <c r="U67" s="73"/>
      <c r="V67" s="73"/>
      <c r="W67" s="73"/>
      <c r="X67" s="73"/>
      <c r="Y67" s="73"/>
      <c r="Z67" s="73"/>
    </row>
    <row r="68" spans="1:26" x14ac:dyDescent="0.25">
      <c r="A68" s="4" t="s">
        <v>71</v>
      </c>
      <c r="B68" s="51" t="s">
        <v>69</v>
      </c>
      <c r="C68" s="52">
        <v>-4.7399999999999998E-2</v>
      </c>
      <c r="D68" s="53">
        <v>1</v>
      </c>
      <c r="E68" s="54">
        <v>-1.1599999999999999E-2</v>
      </c>
      <c r="F68" s="55">
        <v>1</v>
      </c>
      <c r="G68" s="54">
        <v>-3.3999999999999998E-3</v>
      </c>
      <c r="H68" s="55">
        <v>1</v>
      </c>
      <c r="I68" s="52">
        <v>2.0299999999999999E-2</v>
      </c>
      <c r="J68" s="5">
        <v>1</v>
      </c>
      <c r="K68" s="73"/>
      <c r="L68" s="73"/>
      <c r="M68" s="73"/>
      <c r="N68" s="73"/>
      <c r="O68" s="73"/>
      <c r="P68" s="73"/>
      <c r="Q68" s="73"/>
      <c r="R68" s="73"/>
      <c r="S68" s="73"/>
      <c r="T68" s="73"/>
      <c r="U68" s="73"/>
      <c r="V68" s="73"/>
      <c r="W68" s="73"/>
      <c r="X68" s="73"/>
      <c r="Y68" s="73"/>
      <c r="Z68" s="73"/>
    </row>
    <row r="69" spans="1:26" ht="15.6" customHeight="1" x14ac:dyDescent="0.25">
      <c r="A69" s="4" t="s">
        <v>71</v>
      </c>
      <c r="B69" s="59" t="s">
        <v>71</v>
      </c>
      <c r="C69" s="60" t="s">
        <v>71</v>
      </c>
      <c r="D69" s="60" t="s">
        <v>71</v>
      </c>
      <c r="E69" s="60" t="s">
        <v>71</v>
      </c>
      <c r="F69" s="60" t="s">
        <v>71</v>
      </c>
      <c r="G69" s="60" t="s">
        <v>71</v>
      </c>
      <c r="H69" s="60" t="s">
        <v>71</v>
      </c>
      <c r="I69" s="60" t="s">
        <v>71</v>
      </c>
      <c r="J69" s="60" t="s">
        <v>71</v>
      </c>
      <c r="K69" s="73"/>
      <c r="L69" s="73"/>
      <c r="M69" s="73"/>
      <c r="N69" s="73"/>
      <c r="O69" s="73"/>
      <c r="P69" s="73"/>
      <c r="Q69" s="73"/>
      <c r="R69" s="73"/>
      <c r="S69" s="73"/>
      <c r="T69" s="73"/>
      <c r="U69" s="73"/>
      <c r="V69" s="73"/>
      <c r="W69" s="73"/>
      <c r="X69" s="73"/>
      <c r="Y69" s="73"/>
      <c r="Z69" s="73"/>
    </row>
    <row r="70" spans="1:26" ht="15.6" customHeight="1" x14ac:dyDescent="0.25">
      <c r="A70" s="4" t="s">
        <v>71</v>
      </c>
      <c r="B70" s="7" t="s">
        <v>63</v>
      </c>
      <c r="C70" s="8">
        <v>2.5999999999999999E-3</v>
      </c>
      <c r="D70" s="69" t="s">
        <v>71</v>
      </c>
      <c r="E70" s="8">
        <v>5.4000000000000003E-3</v>
      </c>
      <c r="F70" s="69" t="s">
        <v>71</v>
      </c>
      <c r="G70" s="8">
        <v>8.3000000000000001E-3</v>
      </c>
      <c r="H70" s="69" t="s">
        <v>71</v>
      </c>
      <c r="I70" s="8">
        <v>1.12E-2</v>
      </c>
      <c r="J70" s="69" t="s">
        <v>71</v>
      </c>
      <c r="K70" s="73"/>
      <c r="L70" s="73"/>
      <c r="M70" s="73"/>
      <c r="N70" s="73"/>
      <c r="O70" s="73"/>
      <c r="P70" s="73"/>
      <c r="Q70" s="73"/>
      <c r="R70" s="73"/>
      <c r="S70" s="73"/>
      <c r="T70" s="73"/>
      <c r="U70" s="73"/>
      <c r="V70" s="73"/>
      <c r="W70" s="73"/>
      <c r="X70" s="73"/>
      <c r="Y70" s="73"/>
      <c r="Z70" s="73"/>
    </row>
    <row r="71" spans="1:26" x14ac:dyDescent="0.25">
      <c r="A71" s="4" t="s">
        <v>71</v>
      </c>
      <c r="B71" s="43" t="s">
        <v>65</v>
      </c>
      <c r="C71" s="44">
        <v>-4.48E-2</v>
      </c>
      <c r="D71" s="67" t="s">
        <v>71</v>
      </c>
      <c r="E71" s="44">
        <v>-6.1500000000000001E-3</v>
      </c>
      <c r="F71" s="67" t="s">
        <v>71</v>
      </c>
      <c r="G71" s="44">
        <v>4.8999999999999998E-3</v>
      </c>
      <c r="H71" s="67" t="s">
        <v>71</v>
      </c>
      <c r="I71" s="44">
        <v>3.15E-2</v>
      </c>
      <c r="J71" s="67" t="s">
        <v>71</v>
      </c>
      <c r="K71" s="73"/>
      <c r="L71" s="73"/>
      <c r="M71" s="73"/>
      <c r="N71" s="73"/>
      <c r="O71" s="73"/>
      <c r="P71" s="73"/>
      <c r="Q71" s="73"/>
      <c r="R71" s="73"/>
      <c r="S71" s="73"/>
      <c r="T71" s="73"/>
      <c r="U71" s="73"/>
      <c r="V71" s="73"/>
      <c r="W71" s="73"/>
      <c r="X71" s="73"/>
      <c r="Y71" s="73"/>
      <c r="Z71" s="73"/>
    </row>
    <row r="72" spans="1:26" hidden="1" x14ac:dyDescent="0.25">
      <c r="A72" s="4" t="s">
        <v>71</v>
      </c>
      <c r="B72" s="59" t="s">
        <v>71</v>
      </c>
      <c r="C72" s="60" t="s">
        <v>71</v>
      </c>
      <c r="D72" s="60" t="s">
        <v>71</v>
      </c>
      <c r="E72" s="60" t="s">
        <v>71</v>
      </c>
      <c r="F72" s="60" t="s">
        <v>71</v>
      </c>
      <c r="G72" s="60" t="s">
        <v>71</v>
      </c>
      <c r="H72" s="60" t="s">
        <v>71</v>
      </c>
      <c r="I72" s="60" t="s">
        <v>71</v>
      </c>
      <c r="J72" s="60" t="s">
        <v>71</v>
      </c>
      <c r="K72" s="73"/>
      <c r="L72" s="73"/>
      <c r="M72" s="73"/>
      <c r="N72" s="73"/>
      <c r="O72" s="73"/>
      <c r="P72" s="73"/>
      <c r="Q72" s="73"/>
      <c r="R72" s="73"/>
      <c r="S72" s="73"/>
      <c r="T72" s="73"/>
      <c r="U72" s="73"/>
      <c r="V72" s="73"/>
      <c r="W72" s="73"/>
      <c r="X72" s="73"/>
      <c r="Y72" s="73"/>
      <c r="Z72" s="73"/>
    </row>
    <row r="73" spans="1:26" hidden="1" x14ac:dyDescent="0.25">
      <c r="A73" s="4" t="s">
        <v>71</v>
      </c>
      <c r="B73" s="4" t="s">
        <v>71</v>
      </c>
      <c r="C73" s="4" t="s">
        <v>71</v>
      </c>
      <c r="D73" s="4" t="s">
        <v>71</v>
      </c>
      <c r="E73" s="4" t="s">
        <v>71</v>
      </c>
      <c r="F73" s="4" t="s">
        <v>71</v>
      </c>
      <c r="G73" s="4" t="s">
        <v>71</v>
      </c>
      <c r="H73" s="4" t="s">
        <v>71</v>
      </c>
      <c r="I73" s="4" t="s">
        <v>71</v>
      </c>
      <c r="J73" s="4" t="s">
        <v>71</v>
      </c>
      <c r="K73" s="73"/>
      <c r="L73" s="73"/>
      <c r="M73" s="73"/>
      <c r="N73" s="73"/>
      <c r="O73" s="73"/>
      <c r="P73" s="73"/>
      <c r="Q73" s="73"/>
      <c r="R73" s="73"/>
      <c r="S73" s="73"/>
      <c r="T73" s="73"/>
      <c r="U73" s="73"/>
      <c r="V73" s="73"/>
      <c r="W73" s="73"/>
      <c r="X73" s="73"/>
      <c r="Y73" s="73"/>
      <c r="Z73" s="73"/>
    </row>
    <row r="74" spans="1:26" ht="45" customHeight="1" x14ac:dyDescent="0.25">
      <c r="A74" s="4" t="s">
        <v>71</v>
      </c>
      <c r="B74" s="71" t="s">
        <v>26</v>
      </c>
      <c r="C74" s="71"/>
      <c r="D74" s="71"/>
      <c r="E74" s="71"/>
      <c r="F74" s="71"/>
      <c r="G74" s="71"/>
      <c r="H74" s="71"/>
      <c r="I74" s="71"/>
      <c r="J74" s="71"/>
      <c r="K74" s="73"/>
      <c r="L74" s="73"/>
      <c r="M74" s="73"/>
      <c r="N74" s="73"/>
      <c r="O74" s="73"/>
      <c r="P74" s="73"/>
      <c r="Q74" s="73"/>
      <c r="R74" s="73"/>
      <c r="S74" s="73"/>
      <c r="T74" s="73"/>
      <c r="U74" s="73"/>
      <c r="V74" s="73"/>
      <c r="W74" s="73"/>
      <c r="X74" s="73"/>
      <c r="Y74" s="73"/>
      <c r="Z74" s="73"/>
    </row>
    <row r="75" spans="1:26" ht="29.25" customHeight="1" x14ac:dyDescent="0.25">
      <c r="A75" s="4" t="s">
        <v>71</v>
      </c>
      <c r="B75" s="75" t="s">
        <v>27</v>
      </c>
      <c r="C75" s="75"/>
      <c r="D75" s="75"/>
      <c r="E75" s="75"/>
      <c r="F75" s="75"/>
      <c r="G75" s="75"/>
      <c r="H75" s="75"/>
      <c r="I75" s="75"/>
      <c r="J75" s="75"/>
      <c r="K75" s="73"/>
      <c r="L75" s="73"/>
      <c r="M75" s="73"/>
      <c r="N75" s="73"/>
      <c r="O75" s="73"/>
      <c r="P75" s="73"/>
      <c r="Q75" s="73"/>
      <c r="R75" s="73"/>
      <c r="S75" s="73"/>
      <c r="T75" s="73"/>
      <c r="U75" s="73"/>
      <c r="V75" s="73"/>
      <c r="W75" s="73"/>
      <c r="X75" s="73"/>
      <c r="Y75" s="73"/>
      <c r="Z75" s="73"/>
    </row>
    <row r="76" spans="1:26" hidden="1" x14ac:dyDescent="0.25">
      <c r="A76" s="4" t="s">
        <v>71</v>
      </c>
      <c r="B76" s="4" t="s">
        <v>71</v>
      </c>
      <c r="C76" s="4" t="s">
        <v>71</v>
      </c>
      <c r="D76" s="4" t="s">
        <v>71</v>
      </c>
      <c r="E76" s="4" t="s">
        <v>71</v>
      </c>
      <c r="F76" s="4" t="s">
        <v>71</v>
      </c>
      <c r="G76" s="4" t="s">
        <v>71</v>
      </c>
      <c r="H76" s="4" t="s">
        <v>71</v>
      </c>
      <c r="I76" s="4" t="s">
        <v>71</v>
      </c>
      <c r="J76" s="4" t="s">
        <v>71</v>
      </c>
      <c r="K76" s="73"/>
      <c r="L76" s="73"/>
      <c r="M76" s="73"/>
      <c r="N76" s="73"/>
      <c r="O76" s="73"/>
      <c r="P76" s="73"/>
      <c r="Q76" s="73"/>
      <c r="R76" s="73"/>
      <c r="S76" s="73"/>
      <c r="T76" s="73"/>
      <c r="U76" s="73"/>
      <c r="V76" s="73"/>
      <c r="W76" s="73"/>
      <c r="X76" s="73"/>
      <c r="Y76" s="73"/>
      <c r="Z76" s="73"/>
    </row>
    <row r="77" spans="1:26" x14ac:dyDescent="0.25">
      <c r="A77" s="4" t="s">
        <v>71</v>
      </c>
      <c r="B77" s="76" t="s">
        <v>29</v>
      </c>
      <c r="C77" s="76"/>
      <c r="D77" s="76"/>
      <c r="E77" s="76"/>
      <c r="F77" s="76"/>
      <c r="G77" s="76"/>
      <c r="H77" s="76"/>
      <c r="I77" s="76"/>
      <c r="J77" s="76"/>
      <c r="K77" s="73"/>
      <c r="L77" s="73"/>
      <c r="M77" s="73"/>
      <c r="N77" s="73"/>
      <c r="O77" s="73"/>
      <c r="P77" s="73"/>
      <c r="Q77" s="73"/>
      <c r="R77" s="73"/>
      <c r="S77" s="73"/>
      <c r="T77" s="73"/>
      <c r="U77" s="73"/>
      <c r="V77" s="73"/>
      <c r="W77" s="73"/>
      <c r="X77" s="73"/>
      <c r="Y77" s="73"/>
      <c r="Z77" s="73"/>
    </row>
    <row r="78" spans="1:26" x14ac:dyDescent="0.25">
      <c r="A78" s="4" t="s">
        <v>71</v>
      </c>
      <c r="B78" s="71" t="s">
        <v>29</v>
      </c>
      <c r="C78" s="71"/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</row>
    <row r="84" spans="2:2" x14ac:dyDescent="0.25">
      <c r="B84"/>
    </row>
    <row r="10015" spans="9:26" x14ac:dyDescent="0.25">
      <c r="I10015" s="1">
        <v>1</v>
      </c>
      <c r="J10015" s="1">
        <v>0</v>
      </c>
      <c r="K10015" s="1">
        <v>1</v>
      </c>
      <c r="L10015" s="1">
        <v>0</v>
      </c>
      <c r="M10015" s="1">
        <v>1</v>
      </c>
      <c r="N10015" s="1">
        <v>0</v>
      </c>
      <c r="O10015" s="1">
        <v>1</v>
      </c>
      <c r="P10015" s="1">
        <v>0</v>
      </c>
      <c r="Q10015" s="1">
        <v>1</v>
      </c>
      <c r="R10015" s="1">
        <v>0</v>
      </c>
      <c r="S10015" s="1">
        <v>1</v>
      </c>
      <c r="T10015" s="1">
        <v>0</v>
      </c>
      <c r="U10015" s="1">
        <v>1</v>
      </c>
      <c r="V10015" s="1">
        <v>0</v>
      </c>
      <c r="W10015" s="1">
        <v>1</v>
      </c>
      <c r="X10015" s="1">
        <v>0</v>
      </c>
      <c r="Y10015" s="1">
        <v>1</v>
      </c>
      <c r="Z10015" s="1">
        <v>0</v>
      </c>
    </row>
    <row r="10016" spans="9:26" x14ac:dyDescent="0.25">
      <c r="I10016" s="1">
        <v>1.02721</v>
      </c>
      <c r="J10016" s="1">
        <v>0</v>
      </c>
      <c r="K10016" s="1">
        <v>1.01478</v>
      </c>
      <c r="L10016" s="1">
        <v>0</v>
      </c>
      <c r="M10016" s="1">
        <v>0.99534999999999996</v>
      </c>
      <c r="N10016" s="1">
        <v>0</v>
      </c>
      <c r="O10016" s="1">
        <v>1.0034799999999999</v>
      </c>
      <c r="P10016" s="1">
        <v>0</v>
      </c>
      <c r="Q10016" s="1">
        <v>1.0103899999999999</v>
      </c>
      <c r="R10016" s="1">
        <v>0</v>
      </c>
      <c r="S10016" s="1">
        <v>0.99431999999999998</v>
      </c>
      <c r="T10016" s="1">
        <v>0</v>
      </c>
      <c r="U10016" s="1">
        <v>0.99890000000000001</v>
      </c>
      <c r="V10016" s="1">
        <v>0</v>
      </c>
      <c r="W10016" s="1">
        <v>1.01559</v>
      </c>
      <c r="X10016" s="1">
        <v>0</v>
      </c>
      <c r="Y10016" s="1">
        <v>1.00892</v>
      </c>
      <c r="Z10016" s="1">
        <v>0</v>
      </c>
    </row>
    <row r="10019" spans="9:20" x14ac:dyDescent="0.25">
      <c r="I10019"/>
      <c r="J10019"/>
      <c r="K10019"/>
      <c r="L10019"/>
      <c r="M10019"/>
      <c r="N10019"/>
      <c r="O10019"/>
      <c r="P10019"/>
      <c r="Q10019"/>
      <c r="R10019"/>
      <c r="S10019"/>
      <c r="T10019"/>
    </row>
    <row r="10020" spans="9:20" x14ac:dyDescent="0.25">
      <c r="I10020"/>
      <c r="J10020"/>
      <c r="K10020"/>
      <c r="L10020"/>
      <c r="M10020"/>
      <c r="N10020"/>
      <c r="O10020"/>
      <c r="P10020"/>
      <c r="Q10020"/>
      <c r="R10020"/>
      <c r="S10020"/>
      <c r="T10020"/>
    </row>
    <row r="10046" spans="5:10" x14ac:dyDescent="0.25">
      <c r="E10046" s="1">
        <v>1</v>
      </c>
      <c r="F10046" s="1">
        <v>0</v>
      </c>
      <c r="G10046" s="1">
        <v>1</v>
      </c>
      <c r="H10046" s="1">
        <v>0</v>
      </c>
      <c r="I10046" s="1">
        <v>1</v>
      </c>
      <c r="J10046" s="1">
        <v>0</v>
      </c>
    </row>
    <row r="10047" spans="5:10" x14ac:dyDescent="0.25">
      <c r="E10047" s="1">
        <v>0.98845000000000005</v>
      </c>
      <c r="F10047" s="1">
        <v>0</v>
      </c>
      <c r="G10047" s="1">
        <v>0.99656999999999996</v>
      </c>
      <c r="H10047" s="1">
        <v>0</v>
      </c>
      <c r="I10047" s="1">
        <v>1.0202899999999999</v>
      </c>
      <c r="J10047" s="1">
        <v>0</v>
      </c>
    </row>
    <row r="10050" spans="5:8" x14ac:dyDescent="0.25">
      <c r="E10050"/>
      <c r="F10050"/>
      <c r="G10050"/>
      <c r="H10050"/>
    </row>
    <row r="10051" spans="5:8" x14ac:dyDescent="0.25">
      <c r="E10051"/>
      <c r="F10051"/>
      <c r="G10051"/>
      <c r="H10051"/>
    </row>
  </sheetData>
  <mergeCells count="20">
    <mergeCell ref="B1:Z1"/>
    <mergeCell ref="B2:Z2"/>
    <mergeCell ref="C3:Z3"/>
    <mergeCell ref="E4:F4"/>
    <mergeCell ref="G4:H4"/>
    <mergeCell ref="I4:J4"/>
    <mergeCell ref="K4:L4"/>
    <mergeCell ref="M4:N4"/>
    <mergeCell ref="O4:P4"/>
    <mergeCell ref="Q4:R4"/>
    <mergeCell ref="S4:T4"/>
    <mergeCell ref="U4:V4"/>
    <mergeCell ref="Y4:Z4"/>
    <mergeCell ref="B78:Z78"/>
    <mergeCell ref="W4:X4"/>
    <mergeCell ref="K39:Z77"/>
    <mergeCell ref="A38:Z38"/>
    <mergeCell ref="B75:J75"/>
    <mergeCell ref="B74:J74"/>
    <mergeCell ref="B77:J77"/>
  </mergeCells>
  <pageMargins left="0" right="0" top="0" bottom="0.55118110236220474" header="0" footer="0.31496062992125984"/>
  <pageSetup paperSize="9" orientation="landscape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2018-12-30T09:48:14Z</dcterms:created>
  <dcterms:modified xsi:type="dcterms:W3CDTF">2022-04-12T08:49:58Z</dcterms:modified>
</cp:coreProperties>
</file>