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7"/>
  <workbookPr defaultThemeVersion="124226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3\30.03.2023\פועלים סהר (ללא רום)\קסם\סופי\"/>
    </mc:Choice>
  </mc:AlternateContent>
  <xr:revisionPtr revIDLastSave="0" documentId="13_ncr:1_{03E8D607-1982-4319-B66C-A217BE46507C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<sst xmlns="http://schemas.openxmlformats.org/spreadsheetml/2006/main" count="110" uniqueCount="82">
  <si>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</si>
  <si>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</si>
  <si>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</si>
  <si>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</si>
  <si>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</si>
  <si>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</si>
  <si>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</si>
  <si>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</si>
  <si>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</si>
  <si>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</si>
  <si>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</si>
  <si>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</si>
  <si>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</si>
  <si>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</si>
  <si>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</si>
  <si>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</si>
  <si>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</si>
  <si>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</si>
  <si>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</si>
  <si>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</si>
  <si>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</si>
  <si>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</si>
  <si>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</si>
  <si>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</si>
  <si>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</si>
  <si>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</si>
  <si>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</si>
  <si>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</si>
  <si>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</si>
  <si>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</si>
  <si>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</si>
  <si>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</si>
  <si>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</si>
  <si>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</si>
  <si>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</si>
  <si>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</si>
  <si>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</si>
  <si>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</si>
  <si>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</si>
  <si>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</si>
  <si>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יש לציין את שנת הדיווח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</si>
  <si>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</si>
  <si>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</si>
  <si>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</si>
  <si>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</si>
  <si>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</si>
  <si>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</si>
  <si>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</si>
  <si>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</si>
  <si>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</si>
  <si>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</si>
  <si>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</si>
  <si>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</si>
  <si>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</si>
  <si>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</si>
  <si>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</si>
  <si>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</si>
  <si>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</si>
  <si>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</si>
  <si>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</si>
  <si>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</si>
  <si>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</si>
  <si>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</si>
  <si>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</si>
  <si>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</si>
  <si>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</si>
  <si>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</si>
  <si>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</si>
  <si>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</si>
  <si>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</si>
  <si>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</si>
  <si>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</si>
  <si>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</si>
  <si>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</si>
  <si>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</si>
  <si>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</si>
  <si>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</si>
  <si>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</si>
  <si>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</si>
  <si>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</si>
  <si>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קרן השתלמות ".ק.ס.ם"</t>
  </si>
  <si>
    <t>ק"ה לביוכימאים ומיקרוביולוגים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</si>
</sst>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84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9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20" xfId="421" applyNumberFormat="1" applyFont="1" applyFill="1" applyBorder="1"/>
    <xf numFmtId="3" fontId="17" fillId="2" borderId="21" xfId="421" applyNumberFormat="1" applyFont="1" applyFill="1" applyBorder="1"/>
    <xf numFmtId="10" fontId="17" fillId="4" borderId="22" xfId="421" applyNumberFormat="1" applyFont="1" applyFill="1" applyBorder="1"/>
    <xf numFmtId="3" fontId="17" fillId="5" borderId="21" xfId="421" applyNumberFormat="1" applyFont="1" applyFill="1" applyBorder="1"/>
    <xf numFmtId="10" fontId="17" fillId="4" borderId="23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8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5" xfId="0" applyFont="1" applyFill="1" applyBorder="1"/>
    <xf numFmtId="10" fontId="17" fillId="2" borderId="16" xfId="421" applyNumberFormat="1" applyFont="1" applyFill="1" applyBorder="1"/>
    <xf numFmtId="10" fontId="17" fillId="2" borderId="17" xfId="421" applyNumberFormat="1" applyFont="1" applyFill="1" applyBorder="1"/>
    <xf numFmtId="10" fontId="17" fillId="5" borderId="16" xfId="421" applyNumberFormat="1" applyFont="1" applyFill="1" applyBorder="1"/>
    <xf numFmtId="10" fontId="17" fillId="5" borderId="17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0" fontId="22" fillId="0" borderId="0" xfId="0" applyFont="1" applyAlignment="1">
      <alignment horizontal="right" readingOrder="2"/>
    </xf>
    <xf numFmtId="0" fontId="22" fillId="0" borderId="0" xfId="0" applyFont="1" applyAlignment="1">
      <alignment horizontal="right"/>
    </xf>
    <xf numFmtId="0" fontId="23" fillId="9" borderId="0" xfId="0" applyFont="1" applyFill="1" applyAlignment="1">
      <alignment horizontal="right"/>
    </xf>
    <xf numFmtId="14" fontId="23" fillId="9" borderId="0" xfId="0" applyNumberFormat="1" applyFont="1" applyFill="1" applyAlignment="1">
      <alignment horizontal="right"/>
    </xf>
    <xf numFmtId="43" fontId="16" fillId="2" borderId="4" xfId="504" applyFont="1" applyFill="1" applyBorder="1"/>
    <xf numFmtId="43" fontId="16" fillId="2" borderId="5" xfId="504" applyFont="1" applyFill="1" applyBorder="1"/>
    <xf numFmtId="43" fontId="16" fillId="5" borderId="4" xfId="504" applyFont="1" applyFill="1" applyBorder="1"/>
    <xf numFmtId="43" fontId="16" fillId="5" borderId="5" xfId="504" applyFont="1" applyFill="1" applyBorder="1"/>
    <xf numFmtId="43" fontId="17" fillId="2" borderId="9" xfId="504" applyFont="1" applyFill="1" applyBorder="1"/>
    <xf numFmtId="43" fontId="17" fillId="2" borderId="10" xfId="504" applyFont="1" applyFill="1" applyBorder="1"/>
    <xf numFmtId="43" fontId="17" fillId="5" borderId="9" xfId="504" applyFont="1" applyFill="1" applyBorder="1"/>
    <xf numFmtId="43" fontId="17" fillId="5" borderId="10" xfId="504" applyFont="1" applyFill="1" applyBorder="1"/>
    <xf numFmtId="43" fontId="17" fillId="2" borderId="11" xfId="504" applyFont="1" applyFill="1" applyBorder="1"/>
    <xf numFmtId="43" fontId="17" fillId="4" borderId="12" xfId="504" applyFont="1" applyFill="1" applyBorder="1"/>
    <xf numFmtId="43" fontId="17" fillId="5" borderId="11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5" borderId="1" xfId="421" applyNumberFormat="1" applyFont="1" applyFill="1" applyBorder="1"/>
    <xf numFmtId="2" fontId="16" fillId="5" borderId="2" xfId="421" applyNumberFormat="1" applyFont="1" applyFill="1" applyBorder="1"/>
    <xf numFmtId="2" fontId="16" fillId="2" borderId="4" xfId="421" applyNumberFormat="1" applyFont="1" applyFill="1" applyBorder="1"/>
    <xf numFmtId="2" fontId="16" fillId="2" borderId="5" xfId="421" applyNumberFormat="1" applyFont="1" applyFill="1" applyBorder="1"/>
    <xf numFmtId="2" fontId="16" fillId="5" borderId="4" xfId="421" applyNumberFormat="1" applyFont="1" applyFill="1" applyBorder="1"/>
    <xf numFmtId="2" fontId="16" fillId="5" borderId="5" xfId="421" applyNumberFormat="1" applyFont="1" applyFill="1" applyBorder="1"/>
    <xf numFmtId="2" fontId="17" fillId="2" borderId="16" xfId="421" applyNumberFormat="1" applyFont="1" applyFill="1" applyBorder="1"/>
    <xf numFmtId="2" fontId="17" fillId="2" borderId="17" xfId="421" applyNumberFormat="1" applyFont="1" applyFill="1" applyBorder="1"/>
    <xf numFmtId="2" fontId="17" fillId="5" borderId="16" xfId="421" applyNumberFormat="1" applyFont="1" applyFill="1" applyBorder="1"/>
    <xf numFmtId="2" fontId="17" fillId="5" borderId="17" xfId="421" applyNumberFormat="1" applyFont="1" applyFill="1" applyBorder="1"/>
    <xf numFmtId="2" fontId="17" fillId="2" borderId="9" xfId="421" applyNumberFormat="1" applyFont="1" applyFill="1" applyBorder="1"/>
    <xf numFmtId="2" fontId="17" fillId="2" borderId="10" xfId="421" applyNumberFormat="1" applyFont="1" applyFill="1" applyBorder="1"/>
    <xf numFmtId="2" fontId="17" fillId="5" borderId="9" xfId="421" applyNumberFormat="1" applyFont="1" applyFill="1" applyBorder="1"/>
    <xf numFmtId="2" fontId="17" fillId="5" borderId="10" xfId="421" applyNumberFormat="1" applyFont="1" applyFill="1" applyBorder="1"/>
    <xf numFmtId="0" fontId="13" fillId="7" borderId="14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24" fillId="9" borderId="0" xfId="0" applyFont="1" applyFill="1" applyAlignment="1">
      <alignment horizontal="right"/>
    </xf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acov_p/AppData/Local/Microsoft/Windows/INetCache/Content.Outlook/CO35KMQG/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8" totalsRowShown="0" headerRowDxfId="39" dataDxfId="38" tableBorderDxfId="37">
  <autoFilter ref="B38:J68" xr:uid="{00000000-0009-0000-0100-000004000000}"/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6" totalsRowShown="0" headerRowDxfId="27" dataDxfId="26" tableBorderDxfId="25">
  <autoFilter ref="B6:Z36" xr:uid="{00000000-0009-0000-0100-000007000000}"/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72"/>
  <sheetViews>
    <sheetView rightToLeft="1" tabSelected="1" topLeftCell="A39" workbookViewId="0">
      <selection activeCell="M50" sqref="M50"/>
    </sheetView>
  </sheetViews>
  <sheetFormatPr defaultColWidth="9.125" defaultRowHeight="14.25" x14ac:dyDescent="0.2"/>
  <cols>
    <col min="1" max="1" width="2.125" style="16" customWidth="1"/>
    <col min="2" max="2" width="29.125" style="16" customWidth="1"/>
    <col min="3" max="8" width="11.625" style="16" customWidth="1"/>
    <col min="9" max="9" width="23.125" style="16" bestFit="1" customWidth="1"/>
    <col min="10" max="10" width="19.125" style="16" bestFit="1" customWidth="1"/>
    <col min="11" max="11" width="21.25" style="16" bestFit="1" customWidth="1"/>
    <col min="12" max="12" width="19.125" style="16" bestFit="1" customWidth="1"/>
    <col min="13" max="13" width="20.75" style="16" bestFit="1" customWidth="1"/>
    <col min="14" max="14" width="19.125" style="16" bestFit="1" customWidth="1"/>
    <col min="15" max="15" width="20.875" style="16" bestFit="1" customWidth="1"/>
    <col min="16" max="16" width="19.125" style="16" bestFit="1" customWidth="1"/>
    <col min="17" max="17" width="18" style="16" bestFit="1" customWidth="1"/>
    <col min="18" max="18" width="19.125" style="16" bestFit="1" customWidth="1"/>
    <col min="19" max="19" width="18" style="16" bestFit="1" customWidth="1"/>
    <col min="20" max="20" width="19.125" style="16" bestFit="1" customWidth="1"/>
    <col min="21" max="21" width="18" style="16" bestFit="1" customWidth="1"/>
    <col min="22" max="22" width="19.125" style="16" bestFit="1" customWidth="1"/>
    <col min="23" max="23" width="18" style="16" bestFit="1" customWidth="1"/>
    <col min="24" max="24" width="19.125" style="16" bestFit="1" customWidth="1"/>
    <col min="25" max="25" width="18" style="16" bestFit="1" customWidth="1"/>
    <col min="26" max="26" width="19.125" style="16" bestFit="1" customWidth="1"/>
    <col min="27" max="30" width="9.125" style="16"/>
    <col min="31" max="31" width="6.625" style="16" bestFit="1" customWidth="1"/>
    <col min="32" max="16384" width="9.125" style="16"/>
  </cols>
  <sheetData>
    <row r="1" spans="2:31" ht="18" x14ac:dyDescent="0.25">
      <c r="B1" s="15" t="s">
        <v>0</v>
      </c>
    </row>
    <row r="2" spans="2:31" ht="18.75" x14ac:dyDescent="0.3">
      <c r="B2" s="50" t="s">
        <v>75</v>
      </c>
      <c r="C2" s="52">
        <v>293</v>
      </c>
      <c r="D2" s="52"/>
      <c r="E2" s="52"/>
    </row>
    <row r="3" spans="2:31" ht="18.75" x14ac:dyDescent="0.3">
      <c r="B3" s="51" t="s">
        <v>76</v>
      </c>
      <c r="C3" s="83" t="s">
        <v>80</v>
      </c>
      <c r="D3" s="52"/>
      <c r="E3" s="52"/>
    </row>
    <row r="4" spans="2:31" ht="18.75" x14ac:dyDescent="0.3">
      <c r="B4" s="50" t="s">
        <v>77</v>
      </c>
      <c r="C4" s="83" t="s">
        <v>81</v>
      </c>
      <c r="D4" s="52"/>
      <c r="E4" s="52"/>
    </row>
    <row r="5" spans="2:31" ht="18.75" x14ac:dyDescent="0.3">
      <c r="B5" s="51" t="s">
        <v>78</v>
      </c>
      <c r="C5" s="52">
        <f>[1]הנחיות!B19</f>
        <v>2023</v>
      </c>
      <c r="D5" s="52" t="s">
        <v>79</v>
      </c>
      <c r="E5" s="53">
        <v>45015</v>
      </c>
    </row>
    <row r="6" spans="2:31" ht="42.75" x14ac:dyDescent="0.2">
      <c r="B6" s="17" t="s">
        <v>39</v>
      </c>
      <c r="C6" s="18" t="s">
        <v>51</v>
      </c>
      <c r="D6" s="19" t="s">
        <v>63</v>
      </c>
      <c r="E6" s="20" t="s">
        <v>52</v>
      </c>
      <c r="F6" s="21" t="s">
        <v>64</v>
      </c>
      <c r="G6" s="18" t="s">
        <v>53</v>
      </c>
      <c r="H6" s="19" t="s">
        <v>65</v>
      </c>
      <c r="I6" s="20" t="s">
        <v>54</v>
      </c>
      <c r="J6" s="21" t="s">
        <v>66</v>
      </c>
      <c r="K6" s="18" t="s">
        <v>55</v>
      </c>
      <c r="L6" s="19" t="s">
        <v>67</v>
      </c>
      <c r="M6" s="20" t="s">
        <v>56</v>
      </c>
      <c r="N6" s="21" t="s">
        <v>68</v>
      </c>
      <c r="O6" s="18" t="s">
        <v>57</v>
      </c>
      <c r="P6" s="19" t="s">
        <v>69</v>
      </c>
      <c r="Q6" s="20" t="s">
        <v>58</v>
      </c>
      <c r="R6" s="21" t="s">
        <v>70</v>
      </c>
      <c r="S6" s="18" t="s">
        <v>59</v>
      </c>
      <c r="T6" s="19" t="s">
        <v>71</v>
      </c>
      <c r="U6" s="20" t="s">
        <v>60</v>
      </c>
      <c r="V6" s="21" t="s">
        <v>72</v>
      </c>
      <c r="W6" s="18" t="s">
        <v>61</v>
      </c>
      <c r="X6" s="19" t="s">
        <v>73</v>
      </c>
      <c r="Y6" s="20" t="s">
        <v>62</v>
      </c>
      <c r="Z6" s="21" t="s">
        <v>74</v>
      </c>
      <c r="AE6" s="22" t="s">
        <v>2</v>
      </c>
    </row>
    <row r="7" spans="2:31" x14ac:dyDescent="0.2">
      <c r="B7" s="23" t="s">
        <v>1</v>
      </c>
      <c r="C7" s="54">
        <v>-1.7000000000000001E-2</v>
      </c>
      <c r="D7" s="55">
        <v>2.456</v>
      </c>
      <c r="E7" s="56">
        <v>4.9000000000000002E-2</v>
      </c>
      <c r="F7" s="57">
        <v>2.7490000000000001</v>
      </c>
      <c r="G7" s="54">
        <v>-6.0000000000000001E-3</v>
      </c>
      <c r="H7" s="55">
        <v>2.556</v>
      </c>
      <c r="I7" s="3"/>
      <c r="J7" s="4"/>
      <c r="K7" s="1"/>
      <c r="L7" s="2"/>
      <c r="M7" s="3"/>
      <c r="N7" s="4"/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  <c r="AE7" s="22" t="s">
        <v>4</v>
      </c>
    </row>
    <row r="8" spans="2:31" x14ac:dyDescent="0.2">
      <c r="B8" s="24" t="s">
        <v>3</v>
      </c>
      <c r="C8" s="54">
        <v>0.17499999999999999</v>
      </c>
      <c r="D8" s="55">
        <v>21.683</v>
      </c>
      <c r="E8" s="56">
        <v>-0.48699999999999999</v>
      </c>
      <c r="F8" s="57">
        <v>20.312999999999999</v>
      </c>
      <c r="G8" s="54">
        <v>0.23599999999999999</v>
      </c>
      <c r="H8" s="55">
        <v>20.837</v>
      </c>
      <c r="I8" s="3"/>
      <c r="J8" s="4"/>
      <c r="K8" s="1"/>
      <c r="L8" s="2"/>
      <c r="M8" s="3"/>
      <c r="N8" s="4"/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2" t="s">
        <v>6</v>
      </c>
    </row>
    <row r="9" spans="2:31" x14ac:dyDescent="0.2">
      <c r="B9" s="24" t="s">
        <v>5</v>
      </c>
      <c r="C9" s="54">
        <v>0</v>
      </c>
      <c r="D9" s="55">
        <v>0</v>
      </c>
      <c r="E9" s="56">
        <v>0</v>
      </c>
      <c r="F9" s="57">
        <v>0</v>
      </c>
      <c r="G9" s="54">
        <v>0</v>
      </c>
      <c r="H9" s="55">
        <v>0</v>
      </c>
      <c r="I9" s="3"/>
      <c r="J9" s="4"/>
      <c r="K9" s="1"/>
      <c r="L9" s="2"/>
      <c r="M9" s="3"/>
      <c r="N9" s="4"/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2" t="s">
        <v>8</v>
      </c>
    </row>
    <row r="10" spans="2:31" x14ac:dyDescent="0.2">
      <c r="B10" s="24" t="s">
        <v>7</v>
      </c>
      <c r="C10" s="54">
        <v>0</v>
      </c>
      <c r="D10" s="55">
        <v>0</v>
      </c>
      <c r="E10" s="56">
        <v>0</v>
      </c>
      <c r="F10" s="57">
        <v>0</v>
      </c>
      <c r="G10" s="54">
        <v>0</v>
      </c>
      <c r="H10" s="55">
        <v>0</v>
      </c>
      <c r="I10" s="3"/>
      <c r="J10" s="4"/>
      <c r="K10" s="1"/>
      <c r="L10" s="2"/>
      <c r="M10" s="3"/>
      <c r="N10" s="4"/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  <c r="AE10" s="22" t="s">
        <v>10</v>
      </c>
    </row>
    <row r="11" spans="2:31" x14ac:dyDescent="0.2">
      <c r="B11" s="24" t="s">
        <v>9</v>
      </c>
      <c r="C11" s="54">
        <v>0.30399999999999999</v>
      </c>
      <c r="D11" s="55">
        <v>22.088000000000001</v>
      </c>
      <c r="E11" s="56">
        <v>-0.60699999999999998</v>
      </c>
      <c r="F11" s="57">
        <v>22.58</v>
      </c>
      <c r="G11" s="54">
        <v>0.314</v>
      </c>
      <c r="H11" s="55">
        <v>23.437000000000001</v>
      </c>
      <c r="I11" s="3"/>
      <c r="J11" s="4"/>
      <c r="K11" s="1"/>
      <c r="L11" s="2"/>
      <c r="M11" s="3"/>
      <c r="N11" s="4"/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2" t="s">
        <v>12</v>
      </c>
    </row>
    <row r="12" spans="2:31" x14ac:dyDescent="0.2">
      <c r="B12" s="24" t="s">
        <v>11</v>
      </c>
      <c r="C12" s="54">
        <v>1E-3</v>
      </c>
      <c r="D12" s="55">
        <v>0.34799999999999998</v>
      </c>
      <c r="E12" s="56">
        <v>1.2E-2</v>
      </c>
      <c r="F12" s="57">
        <v>0.33900000000000002</v>
      </c>
      <c r="G12" s="54">
        <v>3.0000000000000001E-3</v>
      </c>
      <c r="H12" s="55">
        <v>0.255</v>
      </c>
      <c r="I12" s="3"/>
      <c r="J12" s="4"/>
      <c r="K12" s="1"/>
      <c r="L12" s="2"/>
      <c r="M12" s="3"/>
      <c r="N12" s="4"/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  <c r="AE12" s="22" t="s">
        <v>14</v>
      </c>
    </row>
    <row r="13" spans="2:31" x14ac:dyDescent="0.2">
      <c r="B13" s="24" t="s">
        <v>13</v>
      </c>
      <c r="C13" s="54">
        <v>0.45600000000000002</v>
      </c>
      <c r="D13" s="55">
        <v>15.334</v>
      </c>
      <c r="E13" s="56">
        <v>-0.628</v>
      </c>
      <c r="F13" s="57">
        <v>15.162000000000001</v>
      </c>
      <c r="G13" s="54">
        <v>2.3E-2</v>
      </c>
      <c r="H13" s="55">
        <v>12.843</v>
      </c>
      <c r="I13" s="3"/>
      <c r="J13" s="4"/>
      <c r="K13" s="1"/>
      <c r="L13" s="2"/>
      <c r="M13" s="3"/>
      <c r="N13" s="4"/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  <c r="AE13" s="22" t="s">
        <v>15</v>
      </c>
    </row>
    <row r="14" spans="2:31" x14ac:dyDescent="0.2">
      <c r="B14" s="24" t="s">
        <v>42</v>
      </c>
      <c r="C14" s="54">
        <v>2.1280000000000001</v>
      </c>
      <c r="D14" s="55">
        <v>31.699000000000002</v>
      </c>
      <c r="E14" s="56">
        <v>0.83799999999999997</v>
      </c>
      <c r="F14" s="57">
        <v>32.701000000000001</v>
      </c>
      <c r="G14" s="54">
        <v>-0.54700000000000004</v>
      </c>
      <c r="H14" s="55">
        <v>33.957999999999998</v>
      </c>
      <c r="I14" s="3"/>
      <c r="J14" s="4"/>
      <c r="K14" s="1"/>
      <c r="L14" s="2"/>
      <c r="M14" s="3"/>
      <c r="N14" s="4"/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  <c r="AE14" s="22" t="s">
        <v>17</v>
      </c>
    </row>
    <row r="15" spans="2:31" x14ac:dyDescent="0.2">
      <c r="B15" s="24" t="s">
        <v>16</v>
      </c>
      <c r="C15" s="54">
        <v>-8.9999999999999993E-3</v>
      </c>
      <c r="D15" s="55">
        <v>0.59</v>
      </c>
      <c r="E15" s="56">
        <v>2.7E-2</v>
      </c>
      <c r="F15" s="57">
        <v>0.60799999999999998</v>
      </c>
      <c r="G15" s="54">
        <v>-2.1999999999999999E-2</v>
      </c>
      <c r="H15" s="55">
        <v>0.63600000000000001</v>
      </c>
      <c r="I15" s="3"/>
      <c r="J15" s="4"/>
      <c r="K15" s="1"/>
      <c r="L15" s="2"/>
      <c r="M15" s="3"/>
      <c r="N15" s="4"/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  <c r="AE15" s="22" t="s">
        <v>19</v>
      </c>
    </row>
    <row r="16" spans="2:31" x14ac:dyDescent="0.2">
      <c r="B16" s="24" t="s">
        <v>18</v>
      </c>
      <c r="C16" s="54">
        <v>-0.114</v>
      </c>
      <c r="D16" s="55">
        <v>4.4269999999999996</v>
      </c>
      <c r="E16" s="56">
        <v>0.19800000000000001</v>
      </c>
      <c r="F16" s="57">
        <v>4.55</v>
      </c>
      <c r="G16" s="54">
        <v>0.11899999999999999</v>
      </c>
      <c r="H16" s="55">
        <v>4.8209999999999997</v>
      </c>
      <c r="I16" s="3"/>
      <c r="J16" s="4"/>
      <c r="K16" s="1"/>
      <c r="L16" s="2"/>
      <c r="M16" s="3"/>
      <c r="N16" s="4"/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  <c r="AE16" s="22"/>
    </row>
    <row r="17" spans="2:31" x14ac:dyDescent="0.2">
      <c r="B17" s="24" t="s">
        <v>20</v>
      </c>
      <c r="C17" s="54">
        <v>0</v>
      </c>
      <c r="D17" s="55">
        <v>2.5999999999999999E-2</v>
      </c>
      <c r="E17" s="56">
        <v>0</v>
      </c>
      <c r="F17" s="57">
        <v>2.5999999999999999E-2</v>
      </c>
      <c r="G17" s="54">
        <v>-5.0000000000000001E-3</v>
      </c>
      <c r="H17" s="55">
        <v>2.7E-2</v>
      </c>
      <c r="I17" s="3"/>
      <c r="J17" s="4"/>
      <c r="K17" s="1"/>
      <c r="L17" s="2"/>
      <c r="M17" s="3"/>
      <c r="N17" s="4"/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  <c r="AE17" s="22"/>
    </row>
    <row r="18" spans="2:31" x14ac:dyDescent="0.2">
      <c r="B18" s="24" t="s">
        <v>21</v>
      </c>
      <c r="C18" s="54">
        <v>0.222</v>
      </c>
      <c r="D18" s="55">
        <v>0.27900000000000003</v>
      </c>
      <c r="E18" s="56">
        <v>-0.96199999999999997</v>
      </c>
      <c r="F18" s="57">
        <v>-0.13900000000000001</v>
      </c>
      <c r="G18" s="54">
        <v>0.36599999999999999</v>
      </c>
      <c r="H18" s="55">
        <v>-0.56200000000000006</v>
      </c>
      <c r="I18" s="3"/>
      <c r="J18" s="4"/>
      <c r="K18" s="1"/>
      <c r="L18" s="2"/>
      <c r="M18" s="3"/>
      <c r="N18" s="4"/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  <c r="AE18" s="22"/>
    </row>
    <row r="19" spans="2:31" x14ac:dyDescent="0.2">
      <c r="B19" s="24" t="s">
        <v>22</v>
      </c>
      <c r="C19" s="54">
        <v>0</v>
      </c>
      <c r="D19" s="55">
        <v>0</v>
      </c>
      <c r="E19" s="56">
        <v>0</v>
      </c>
      <c r="F19" s="57">
        <v>0</v>
      </c>
      <c r="G19" s="54">
        <v>0</v>
      </c>
      <c r="H19" s="55">
        <v>0</v>
      </c>
      <c r="I19" s="3"/>
      <c r="J19" s="4"/>
      <c r="K19" s="1"/>
      <c r="L19" s="2"/>
      <c r="M19" s="3"/>
      <c r="N19" s="4"/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 x14ac:dyDescent="0.2">
      <c r="B20" s="24" t="s">
        <v>23</v>
      </c>
      <c r="C20" s="54">
        <v>5.0000000000000001E-3</v>
      </c>
      <c r="D20" s="55">
        <v>0.41</v>
      </c>
      <c r="E20" s="56">
        <v>8.0000000000000002E-3</v>
      </c>
      <c r="F20" s="57">
        <v>0.40200000000000002</v>
      </c>
      <c r="G20" s="54">
        <v>0</v>
      </c>
      <c r="H20" s="55">
        <v>0.41199999999999998</v>
      </c>
      <c r="I20" s="3"/>
      <c r="J20" s="4"/>
      <c r="K20" s="1"/>
      <c r="L20" s="2"/>
      <c r="M20" s="3"/>
      <c r="N20" s="4"/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31" x14ac:dyDescent="0.2">
      <c r="B21" s="24" t="s">
        <v>24</v>
      </c>
      <c r="C21" s="54">
        <v>1E-3</v>
      </c>
      <c r="D21" s="55">
        <v>0.65700000000000003</v>
      </c>
      <c r="E21" s="56">
        <v>-7.0000000000000001E-3</v>
      </c>
      <c r="F21" s="57">
        <v>0.66800000000000004</v>
      </c>
      <c r="G21" s="54">
        <v>5.0000000000000001E-3</v>
      </c>
      <c r="H21" s="55">
        <v>0.69199999999999995</v>
      </c>
      <c r="I21" s="3"/>
      <c r="J21" s="4"/>
      <c r="K21" s="1"/>
      <c r="L21" s="2"/>
      <c r="M21" s="3"/>
      <c r="N21" s="4"/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 x14ac:dyDescent="0.2">
      <c r="B22" s="24" t="s">
        <v>25</v>
      </c>
      <c r="C22" s="54">
        <v>0</v>
      </c>
      <c r="D22" s="55">
        <v>0</v>
      </c>
      <c r="E22" s="56">
        <v>0</v>
      </c>
      <c r="F22" s="57">
        <v>0</v>
      </c>
      <c r="G22" s="54">
        <v>0</v>
      </c>
      <c r="H22" s="55">
        <v>0</v>
      </c>
      <c r="I22" s="3"/>
      <c r="J22" s="4"/>
      <c r="K22" s="1"/>
      <c r="L22" s="2"/>
      <c r="M22" s="3"/>
      <c r="N22" s="4"/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 x14ac:dyDescent="0.2">
      <c r="B23" s="24" t="s">
        <v>26</v>
      </c>
      <c r="C23" s="54">
        <v>0</v>
      </c>
      <c r="D23" s="55">
        <v>0</v>
      </c>
      <c r="E23" s="56">
        <v>0</v>
      </c>
      <c r="F23" s="57">
        <v>0</v>
      </c>
      <c r="G23" s="54">
        <v>0</v>
      </c>
      <c r="H23" s="55">
        <v>0</v>
      </c>
      <c r="I23" s="3"/>
      <c r="J23" s="4"/>
      <c r="K23" s="1"/>
      <c r="L23" s="2"/>
      <c r="M23" s="3"/>
      <c r="N23" s="4"/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31" x14ac:dyDescent="0.2">
      <c r="B24" s="24" t="s">
        <v>27</v>
      </c>
      <c r="C24" s="54">
        <v>0</v>
      </c>
      <c r="D24" s="55">
        <v>0</v>
      </c>
      <c r="E24" s="56">
        <v>0</v>
      </c>
      <c r="F24" s="57">
        <v>0</v>
      </c>
      <c r="G24" s="54">
        <v>0</v>
      </c>
      <c r="H24" s="55">
        <v>0</v>
      </c>
      <c r="I24" s="3"/>
      <c r="J24" s="4"/>
      <c r="K24" s="1"/>
      <c r="L24" s="2"/>
      <c r="M24" s="3"/>
      <c r="N24" s="4"/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31" x14ac:dyDescent="0.2">
      <c r="B25" s="24" t="s">
        <v>28</v>
      </c>
      <c r="C25" s="54">
        <v>0</v>
      </c>
      <c r="D25" s="55">
        <v>3.0000000000000001E-3</v>
      </c>
      <c r="E25" s="56">
        <v>0</v>
      </c>
      <c r="F25" s="57">
        <v>0.04</v>
      </c>
      <c r="G25" s="54">
        <v>0</v>
      </c>
      <c r="H25" s="55">
        <v>8.8999999999999996E-2</v>
      </c>
      <c r="I25" s="3"/>
      <c r="J25" s="4"/>
      <c r="K25" s="1"/>
      <c r="L25" s="2"/>
      <c r="M25" s="3"/>
      <c r="N25" s="4"/>
      <c r="O25" s="1"/>
      <c r="P25" s="2"/>
      <c r="Q25" s="3"/>
      <c r="R25" s="4"/>
      <c r="S25" s="1"/>
      <c r="T25" s="2"/>
      <c r="U25" s="3"/>
      <c r="V25" s="4"/>
      <c r="W25" s="1"/>
      <c r="X25" s="2"/>
      <c r="Y25" s="3"/>
      <c r="Z25" s="5"/>
    </row>
    <row r="26" spans="2:31" ht="15" x14ac:dyDescent="0.25">
      <c r="B26" s="25" t="s">
        <v>29</v>
      </c>
      <c r="C26" s="58">
        <v>3.1520000000000001</v>
      </c>
      <c r="D26" s="59">
        <v>100</v>
      </c>
      <c r="E26" s="60">
        <v>-1.5580000000000001</v>
      </c>
      <c r="F26" s="61">
        <v>100</v>
      </c>
      <c r="G26" s="58">
        <v>0.48699999999999999</v>
      </c>
      <c r="H26" s="59">
        <v>100</v>
      </c>
      <c r="I26" s="8"/>
      <c r="J26" s="9"/>
      <c r="K26" s="6"/>
      <c r="L26" s="7"/>
      <c r="M26" s="8"/>
      <c r="N26" s="9"/>
      <c r="O26" s="6"/>
      <c r="P26" s="7"/>
      <c r="Q26" s="8"/>
      <c r="R26" s="9"/>
      <c r="S26" s="6"/>
      <c r="T26" s="7"/>
      <c r="U26" s="8"/>
      <c r="V26" s="9"/>
      <c r="W26" s="6"/>
      <c r="X26" s="7"/>
      <c r="Y26" s="8"/>
      <c r="Z26" s="10"/>
    </row>
    <row r="27" spans="2:31" ht="15.75" thickBot="1" x14ac:dyDescent="0.3">
      <c r="B27" s="26" t="s">
        <v>35</v>
      </c>
      <c r="C27" s="62">
        <v>8003.32</v>
      </c>
      <c r="D27" s="63"/>
      <c r="E27" s="64">
        <v>-3952.13</v>
      </c>
      <c r="F27" s="63"/>
      <c r="G27" s="62">
        <v>1167.72</v>
      </c>
      <c r="H27" s="63"/>
      <c r="I27" s="29"/>
      <c r="J27" s="28"/>
      <c r="K27" s="27"/>
      <c r="L27" s="28"/>
      <c r="M27" s="29"/>
      <c r="N27" s="28"/>
      <c r="O27" s="27"/>
      <c r="P27" s="28"/>
      <c r="Q27" s="29"/>
      <c r="R27" s="28"/>
      <c r="S27" s="11"/>
      <c r="T27" s="12"/>
      <c r="U27" s="13"/>
      <c r="V27" s="12"/>
      <c r="W27" s="11"/>
      <c r="X27" s="12"/>
      <c r="Y27" s="13"/>
      <c r="Z27" s="14"/>
    </row>
    <row r="28" spans="2:31" ht="15" x14ac:dyDescent="0.25"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2:31" x14ac:dyDescent="0.2">
      <c r="B29" s="23" t="s">
        <v>30</v>
      </c>
      <c r="C29" s="65">
        <v>0.84099999999999997</v>
      </c>
      <c r="D29" s="66">
        <v>65.231999999999999</v>
      </c>
      <c r="E29" s="67">
        <v>-2.6419999999999999</v>
      </c>
      <c r="F29" s="68">
        <v>62.796999999999997</v>
      </c>
      <c r="G29" s="65">
        <v>0.97499999999999998</v>
      </c>
      <c r="H29" s="66">
        <v>60.488999999999997</v>
      </c>
      <c r="I29" s="34"/>
      <c r="J29" s="35"/>
      <c r="K29" s="32"/>
      <c r="L29" s="33"/>
      <c r="M29" s="34"/>
      <c r="N29" s="35"/>
      <c r="O29" s="32"/>
      <c r="P29" s="33"/>
      <c r="Q29" s="34"/>
      <c r="R29" s="35"/>
      <c r="S29" s="32"/>
      <c r="T29" s="33"/>
      <c r="U29" s="34"/>
      <c r="V29" s="35"/>
      <c r="W29" s="32"/>
      <c r="X29" s="33"/>
      <c r="Y29" s="34"/>
      <c r="Z29" s="35"/>
    </row>
    <row r="30" spans="2:31" x14ac:dyDescent="0.2">
      <c r="B30" s="24" t="s">
        <v>31</v>
      </c>
      <c r="C30" s="69">
        <v>2.3109999999999999</v>
      </c>
      <c r="D30" s="70">
        <v>34.768000000000001</v>
      </c>
      <c r="E30" s="71">
        <v>1.083</v>
      </c>
      <c r="F30" s="72">
        <v>37.203000000000003</v>
      </c>
      <c r="G30" s="69">
        <v>-0.48799999999999999</v>
      </c>
      <c r="H30" s="70">
        <v>39.511000000000003</v>
      </c>
      <c r="I30" s="3"/>
      <c r="J30" s="4"/>
      <c r="K30" s="1"/>
      <c r="L30" s="2"/>
      <c r="M30" s="3"/>
      <c r="N30" s="4"/>
      <c r="O30" s="1"/>
      <c r="P30" s="2"/>
      <c r="Q30" s="3"/>
      <c r="R30" s="4"/>
      <c r="S30" s="1"/>
      <c r="T30" s="2"/>
      <c r="U30" s="3"/>
      <c r="V30" s="4"/>
      <c r="W30" s="1"/>
      <c r="X30" s="2"/>
      <c r="Y30" s="3"/>
      <c r="Z30" s="4"/>
    </row>
    <row r="31" spans="2:31" ht="15" x14ac:dyDescent="0.25">
      <c r="B31" s="25" t="s">
        <v>29</v>
      </c>
      <c r="C31" s="77">
        <v>3.1520000000000001</v>
      </c>
      <c r="D31" s="78">
        <v>100</v>
      </c>
      <c r="E31" s="79">
        <v>-1.5580000000000001</v>
      </c>
      <c r="F31" s="80">
        <v>100</v>
      </c>
      <c r="G31" s="77">
        <v>0.48699999999999999</v>
      </c>
      <c r="H31" s="78">
        <v>100</v>
      </c>
      <c r="I31" s="8"/>
      <c r="J31" s="9"/>
      <c r="K31" s="6"/>
      <c r="L31" s="7"/>
      <c r="M31" s="8"/>
      <c r="N31" s="9"/>
      <c r="O31" s="6"/>
      <c r="P31" s="7"/>
      <c r="Q31" s="8"/>
      <c r="R31" s="9"/>
      <c r="S31" s="6"/>
      <c r="T31" s="7"/>
      <c r="U31" s="8"/>
      <c r="V31" s="9"/>
      <c r="W31" s="6"/>
      <c r="X31" s="7"/>
      <c r="Y31" s="8"/>
      <c r="Z31" s="9"/>
    </row>
    <row r="32" spans="2:31" ht="15" x14ac:dyDescent="0.25">
      <c r="B32" s="30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2:26" x14ac:dyDescent="0.2">
      <c r="B33" s="23" t="s">
        <v>32</v>
      </c>
      <c r="C33" s="65">
        <v>3.04</v>
      </c>
      <c r="D33" s="66">
        <v>94.347999999999999</v>
      </c>
      <c r="E33" s="67">
        <v>-0.80100000000000005</v>
      </c>
      <c r="F33" s="68">
        <v>94.963999999999999</v>
      </c>
      <c r="G33" s="65">
        <v>1.4E-2</v>
      </c>
      <c r="H33" s="66">
        <v>94.787000000000006</v>
      </c>
      <c r="I33" s="34"/>
      <c r="J33" s="35"/>
      <c r="K33" s="32"/>
      <c r="L33" s="33"/>
      <c r="M33" s="34"/>
      <c r="N33" s="35"/>
      <c r="O33" s="32"/>
      <c r="P33" s="33"/>
      <c r="Q33" s="34"/>
      <c r="R33" s="35"/>
      <c r="S33" s="32"/>
      <c r="T33" s="33"/>
      <c r="U33" s="34"/>
      <c r="V33" s="35"/>
      <c r="W33" s="32"/>
      <c r="X33" s="33"/>
      <c r="Y33" s="34"/>
      <c r="Z33" s="35"/>
    </row>
    <row r="34" spans="2:26" x14ac:dyDescent="0.2">
      <c r="B34" s="24" t="s">
        <v>33</v>
      </c>
      <c r="C34" s="69">
        <v>0.112</v>
      </c>
      <c r="D34" s="70">
        <v>5.6520000000000001</v>
      </c>
      <c r="E34" s="71">
        <v>-0.75700000000000001</v>
      </c>
      <c r="F34" s="72">
        <v>5.0359999999999996</v>
      </c>
      <c r="G34" s="69">
        <v>0.47299999999999998</v>
      </c>
      <c r="H34" s="70">
        <v>5.2130000000000001</v>
      </c>
      <c r="I34" s="3"/>
      <c r="J34" s="4"/>
      <c r="K34" s="1"/>
      <c r="L34" s="2"/>
      <c r="M34" s="3"/>
      <c r="N34" s="4"/>
      <c r="O34" s="1"/>
      <c r="P34" s="2"/>
      <c r="Q34" s="3"/>
      <c r="R34" s="4"/>
      <c r="S34" s="1"/>
      <c r="T34" s="2"/>
      <c r="U34" s="3"/>
      <c r="V34" s="4"/>
      <c r="W34" s="1"/>
      <c r="X34" s="2"/>
      <c r="Y34" s="3"/>
      <c r="Z34" s="4"/>
    </row>
    <row r="35" spans="2:26" ht="15" x14ac:dyDescent="0.25">
      <c r="B35" s="37" t="s">
        <v>29</v>
      </c>
      <c r="C35" s="73">
        <v>3.1520000000000001</v>
      </c>
      <c r="D35" s="74">
        <v>100</v>
      </c>
      <c r="E35" s="75">
        <v>-1.5580000000000001</v>
      </c>
      <c r="F35" s="76">
        <v>100</v>
      </c>
      <c r="G35" s="73">
        <v>0.48699999999999999</v>
      </c>
      <c r="H35" s="74">
        <v>100</v>
      </c>
      <c r="I35" s="40"/>
      <c r="J35" s="41"/>
      <c r="K35" s="38"/>
      <c r="L35" s="39"/>
      <c r="M35" s="40"/>
      <c r="N35" s="41"/>
      <c r="O35" s="38"/>
      <c r="P35" s="39"/>
      <c r="Q35" s="40"/>
      <c r="R35" s="41"/>
      <c r="S35" s="38"/>
      <c r="T35" s="39"/>
      <c r="U35" s="40"/>
      <c r="V35" s="41"/>
      <c r="W35" s="38"/>
      <c r="X35" s="39"/>
      <c r="Y35" s="40"/>
      <c r="Z35" s="41"/>
    </row>
    <row r="36" spans="2:26" ht="15" x14ac:dyDescent="0.25"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2:26" x14ac:dyDescent="0.2">
      <c r="C37" s="42"/>
      <c r="D37" s="42"/>
      <c r="E37" s="81"/>
      <c r="F37" s="81"/>
      <c r="G37" s="42"/>
      <c r="H37" s="42"/>
      <c r="I37" s="43"/>
      <c r="J37" s="43"/>
    </row>
    <row r="38" spans="2:26" ht="75" x14ac:dyDescent="0.2">
      <c r="B38" s="44" t="s">
        <v>34</v>
      </c>
      <c r="C38" s="45" t="s">
        <v>43</v>
      </c>
      <c r="D38" s="46" t="s">
        <v>47</v>
      </c>
      <c r="E38" s="47" t="s">
        <v>44</v>
      </c>
      <c r="F38" s="48" t="s">
        <v>48</v>
      </c>
      <c r="G38" s="45" t="s">
        <v>45</v>
      </c>
      <c r="H38" s="46" t="s">
        <v>49</v>
      </c>
      <c r="I38" s="47" t="s">
        <v>46</v>
      </c>
      <c r="J38" s="47" t="s">
        <v>50</v>
      </c>
    </row>
    <row r="39" spans="2:26" x14ac:dyDescent="0.2">
      <c r="B39" s="23" t="s">
        <v>1</v>
      </c>
      <c r="C39" s="69">
        <v>2.7E-2</v>
      </c>
      <c r="D39" s="70">
        <v>2.5870000000000002</v>
      </c>
      <c r="E39" s="3"/>
      <c r="F39" s="4"/>
      <c r="G39" s="1"/>
      <c r="H39" s="2"/>
      <c r="I39" s="3"/>
      <c r="J39" s="4"/>
    </row>
    <row r="40" spans="2:26" x14ac:dyDescent="0.2">
      <c r="B40" s="24" t="s">
        <v>3</v>
      </c>
      <c r="C40" s="69">
        <v>-7.6999999999999999E-2</v>
      </c>
      <c r="D40" s="70">
        <v>20.943999999999999</v>
      </c>
      <c r="E40" s="3"/>
      <c r="F40" s="4"/>
      <c r="G40" s="1"/>
      <c r="H40" s="2"/>
      <c r="I40" s="3"/>
      <c r="J40" s="4"/>
    </row>
    <row r="41" spans="2:26" x14ac:dyDescent="0.2">
      <c r="B41" s="24" t="s">
        <v>5</v>
      </c>
      <c r="C41" s="69">
        <v>0</v>
      </c>
      <c r="D41" s="70">
        <v>0</v>
      </c>
      <c r="E41" s="3"/>
      <c r="F41" s="4"/>
      <c r="G41" s="1"/>
      <c r="H41" s="2"/>
      <c r="I41" s="3"/>
      <c r="J41" s="4"/>
    </row>
    <row r="42" spans="2:26" x14ac:dyDescent="0.2">
      <c r="B42" s="24" t="s">
        <v>7</v>
      </c>
      <c r="C42" s="69">
        <v>0</v>
      </c>
      <c r="D42" s="70">
        <v>0</v>
      </c>
      <c r="E42" s="3"/>
      <c r="F42" s="4"/>
      <c r="G42" s="1"/>
      <c r="H42" s="2"/>
      <c r="I42" s="3"/>
      <c r="J42" s="4"/>
    </row>
    <row r="43" spans="2:26" x14ac:dyDescent="0.2">
      <c r="B43" s="24" t="s">
        <v>9</v>
      </c>
      <c r="C43" s="69">
        <v>8.9999999999999993E-3</v>
      </c>
      <c r="D43" s="70">
        <v>22.702000000000002</v>
      </c>
      <c r="E43" s="3"/>
      <c r="F43" s="4"/>
      <c r="G43" s="1"/>
      <c r="H43" s="2"/>
      <c r="I43" s="3"/>
      <c r="J43" s="4"/>
    </row>
    <row r="44" spans="2:26" x14ac:dyDescent="0.2">
      <c r="B44" s="24" t="s">
        <v>11</v>
      </c>
      <c r="C44" s="69">
        <v>1.7000000000000001E-2</v>
      </c>
      <c r="D44" s="70">
        <v>0.314</v>
      </c>
      <c r="E44" s="3"/>
      <c r="F44" s="4"/>
      <c r="G44" s="1"/>
      <c r="H44" s="2"/>
      <c r="I44" s="3"/>
      <c r="J44" s="4"/>
    </row>
    <row r="45" spans="2:26" x14ac:dyDescent="0.2">
      <c r="B45" s="24" t="s">
        <v>13</v>
      </c>
      <c r="C45" s="69">
        <v>-0.152</v>
      </c>
      <c r="D45" s="70">
        <v>14.446999999999999</v>
      </c>
      <c r="E45" s="3"/>
      <c r="F45" s="4"/>
      <c r="G45" s="1"/>
      <c r="H45" s="2"/>
      <c r="I45" s="3"/>
      <c r="J45" s="4"/>
    </row>
    <row r="46" spans="2:26" x14ac:dyDescent="0.2">
      <c r="B46" s="24" t="s">
        <v>42</v>
      </c>
      <c r="C46" s="69">
        <v>2.4</v>
      </c>
      <c r="D46" s="70">
        <v>32.786000000000001</v>
      </c>
      <c r="E46" s="3"/>
      <c r="F46" s="4"/>
      <c r="G46" s="1"/>
      <c r="H46" s="2"/>
      <c r="I46" s="3"/>
      <c r="J46" s="4"/>
    </row>
    <row r="47" spans="2:26" x14ac:dyDescent="0.2">
      <c r="B47" s="24" t="s">
        <v>16</v>
      </c>
      <c r="C47" s="69">
        <v>-4.0000000000000001E-3</v>
      </c>
      <c r="D47" s="70">
        <v>0.61199999999999999</v>
      </c>
      <c r="E47" s="3"/>
      <c r="F47" s="4"/>
      <c r="G47" s="1"/>
      <c r="H47" s="2"/>
      <c r="I47" s="3"/>
      <c r="J47" s="4"/>
    </row>
    <row r="48" spans="2:26" x14ac:dyDescent="0.2">
      <c r="B48" s="24" t="s">
        <v>18</v>
      </c>
      <c r="C48" s="69">
        <v>0.20300000000000001</v>
      </c>
      <c r="D48" s="70">
        <v>4.5990000000000002</v>
      </c>
      <c r="E48" s="3"/>
      <c r="F48" s="4"/>
      <c r="G48" s="1"/>
      <c r="H48" s="2"/>
      <c r="I48" s="3"/>
      <c r="J48" s="4"/>
    </row>
    <row r="49" spans="2:10" x14ac:dyDescent="0.2">
      <c r="B49" s="24" t="s">
        <v>20</v>
      </c>
      <c r="C49" s="69">
        <v>-6.0000000000000001E-3</v>
      </c>
      <c r="D49" s="70">
        <v>2.5999999999999999E-2</v>
      </c>
      <c r="E49" s="3"/>
      <c r="F49" s="4"/>
      <c r="G49" s="1"/>
      <c r="H49" s="2"/>
      <c r="I49" s="3"/>
      <c r="J49" s="4"/>
    </row>
    <row r="50" spans="2:10" x14ac:dyDescent="0.2">
      <c r="B50" s="24" t="s">
        <v>21</v>
      </c>
      <c r="C50" s="69">
        <v>-0.39</v>
      </c>
      <c r="D50" s="70">
        <v>-0.14000000000000001</v>
      </c>
      <c r="E50" s="3"/>
      <c r="F50" s="4"/>
      <c r="G50" s="1"/>
      <c r="H50" s="2"/>
      <c r="I50" s="3"/>
      <c r="J50" s="4"/>
    </row>
    <row r="51" spans="2:10" x14ac:dyDescent="0.2">
      <c r="B51" s="24" t="s">
        <v>22</v>
      </c>
      <c r="C51" s="69">
        <v>0</v>
      </c>
      <c r="D51" s="70">
        <v>0</v>
      </c>
      <c r="E51" s="3"/>
      <c r="F51" s="4"/>
      <c r="G51" s="1"/>
      <c r="H51" s="2"/>
      <c r="I51" s="3"/>
      <c r="J51" s="4"/>
    </row>
    <row r="52" spans="2:10" x14ac:dyDescent="0.2">
      <c r="B52" s="24" t="s">
        <v>23</v>
      </c>
      <c r="C52" s="69">
        <v>1.2999999999999999E-2</v>
      </c>
      <c r="D52" s="70">
        <v>0.40799999999999997</v>
      </c>
      <c r="E52" s="3"/>
      <c r="F52" s="4"/>
      <c r="G52" s="1"/>
      <c r="H52" s="2"/>
      <c r="I52" s="3"/>
      <c r="J52" s="4"/>
    </row>
    <row r="53" spans="2:10" x14ac:dyDescent="0.2">
      <c r="B53" s="24" t="s">
        <v>24</v>
      </c>
      <c r="C53" s="69">
        <v>-1E-3</v>
      </c>
      <c r="D53" s="70">
        <v>0.67200000000000004</v>
      </c>
      <c r="E53" s="3"/>
      <c r="F53" s="4"/>
      <c r="G53" s="1"/>
      <c r="H53" s="2"/>
      <c r="I53" s="3"/>
      <c r="J53" s="4"/>
    </row>
    <row r="54" spans="2:10" x14ac:dyDescent="0.2">
      <c r="B54" s="24" t="s">
        <v>25</v>
      </c>
      <c r="C54" s="69">
        <v>0</v>
      </c>
      <c r="D54" s="70">
        <v>0</v>
      </c>
      <c r="E54" s="3"/>
      <c r="F54" s="4"/>
      <c r="G54" s="1"/>
      <c r="H54" s="2"/>
      <c r="I54" s="3"/>
      <c r="J54" s="4"/>
    </row>
    <row r="55" spans="2:10" x14ac:dyDescent="0.2">
      <c r="B55" s="24" t="s">
        <v>26</v>
      </c>
      <c r="C55" s="69">
        <v>0</v>
      </c>
      <c r="D55" s="70">
        <v>0</v>
      </c>
      <c r="E55" s="3"/>
      <c r="F55" s="4"/>
      <c r="G55" s="1"/>
      <c r="H55" s="2"/>
      <c r="I55" s="3"/>
      <c r="J55" s="4"/>
    </row>
    <row r="56" spans="2:10" x14ac:dyDescent="0.2">
      <c r="B56" s="24" t="s">
        <v>27</v>
      </c>
      <c r="C56" s="69">
        <v>0</v>
      </c>
      <c r="D56" s="70">
        <v>0</v>
      </c>
      <c r="E56" s="3"/>
      <c r="F56" s="4"/>
      <c r="G56" s="1"/>
      <c r="H56" s="2"/>
      <c r="I56" s="3"/>
      <c r="J56" s="4"/>
    </row>
    <row r="57" spans="2:10" x14ac:dyDescent="0.2">
      <c r="B57" s="24" t="s">
        <v>28</v>
      </c>
      <c r="C57" s="69">
        <v>0</v>
      </c>
      <c r="D57" s="70">
        <v>4.3999999999999997E-2</v>
      </c>
      <c r="E57" s="3"/>
      <c r="F57" s="4"/>
      <c r="G57" s="1"/>
      <c r="H57" s="2"/>
      <c r="I57" s="3"/>
      <c r="J57" s="4"/>
    </row>
    <row r="58" spans="2:10" ht="15" x14ac:dyDescent="0.25">
      <c r="B58" s="25" t="s">
        <v>38</v>
      </c>
      <c r="C58" s="77">
        <v>2.0390000000000001</v>
      </c>
      <c r="D58" s="78">
        <v>100</v>
      </c>
      <c r="E58" s="8"/>
      <c r="F58" s="9"/>
      <c r="G58" s="6"/>
      <c r="H58" s="7"/>
      <c r="I58" s="8"/>
      <c r="J58" s="9"/>
    </row>
    <row r="59" spans="2:10" ht="15" x14ac:dyDescent="0.25">
      <c r="B59" s="26" t="s">
        <v>35</v>
      </c>
      <c r="C59" s="62">
        <v>5218.91</v>
      </c>
      <c r="D59" s="63"/>
      <c r="E59" s="29"/>
      <c r="F59" s="28"/>
      <c r="G59" s="27"/>
      <c r="H59" s="28"/>
      <c r="I59" s="29"/>
      <c r="J59" s="28"/>
    </row>
    <row r="60" spans="2:10" ht="15" x14ac:dyDescent="0.25">
      <c r="B60" s="30"/>
      <c r="C60" s="36"/>
      <c r="D60" s="36"/>
      <c r="E60" s="36"/>
      <c r="F60" s="36"/>
      <c r="G60" s="36"/>
      <c r="H60" s="36"/>
      <c r="I60" s="36"/>
      <c r="J60" s="36"/>
    </row>
    <row r="61" spans="2:10" x14ac:dyDescent="0.2">
      <c r="B61" s="23" t="s">
        <v>30</v>
      </c>
      <c r="C61" s="65">
        <v>-0.86499999999999999</v>
      </c>
      <c r="D61" s="66">
        <v>62.838999999999999</v>
      </c>
      <c r="E61" s="34"/>
      <c r="F61" s="35"/>
      <c r="G61" s="32"/>
      <c r="H61" s="33"/>
      <c r="I61" s="34"/>
      <c r="J61" s="35"/>
    </row>
    <row r="62" spans="2:10" x14ac:dyDescent="0.2">
      <c r="B62" s="24" t="s">
        <v>31</v>
      </c>
      <c r="C62" s="69">
        <v>2.9</v>
      </c>
      <c r="D62" s="70">
        <v>37.161000000000001</v>
      </c>
      <c r="E62" s="3"/>
      <c r="F62" s="4"/>
      <c r="G62" s="1"/>
      <c r="H62" s="2"/>
      <c r="I62" s="3"/>
      <c r="J62" s="4"/>
    </row>
    <row r="63" spans="2:10" ht="15" x14ac:dyDescent="0.25">
      <c r="B63" s="25" t="s">
        <v>38</v>
      </c>
      <c r="C63" s="77">
        <v>2.0390000000000001</v>
      </c>
      <c r="D63" s="78">
        <v>100</v>
      </c>
      <c r="E63" s="8"/>
      <c r="F63" s="9"/>
      <c r="G63" s="6"/>
      <c r="H63" s="7"/>
      <c r="I63" s="8"/>
      <c r="J63" s="9"/>
    </row>
    <row r="64" spans="2:10" ht="15" x14ac:dyDescent="0.25">
      <c r="B64" s="30"/>
      <c r="C64" s="36"/>
      <c r="D64" s="36"/>
      <c r="E64" s="36"/>
      <c r="F64" s="36"/>
      <c r="G64" s="36"/>
      <c r="H64" s="36"/>
      <c r="I64" s="36"/>
      <c r="J64" s="36"/>
    </row>
    <row r="65" spans="2:10" x14ac:dyDescent="0.2">
      <c r="B65" s="23" t="s">
        <v>32</v>
      </c>
      <c r="C65" s="65">
        <v>2.2200000000000002</v>
      </c>
      <c r="D65" s="66">
        <v>94.7</v>
      </c>
      <c r="E65" s="34"/>
      <c r="F65" s="35"/>
      <c r="G65" s="32"/>
      <c r="H65" s="33"/>
      <c r="I65" s="34"/>
      <c r="J65" s="35"/>
    </row>
    <row r="66" spans="2:10" x14ac:dyDescent="0.2">
      <c r="B66" s="24" t="s">
        <v>33</v>
      </c>
      <c r="C66" s="69">
        <v>-0.17599999999999999</v>
      </c>
      <c r="D66" s="70">
        <v>5.3</v>
      </c>
      <c r="E66" s="3"/>
      <c r="F66" s="4"/>
      <c r="G66" s="1"/>
      <c r="H66" s="2"/>
      <c r="I66" s="3"/>
      <c r="J66" s="4"/>
    </row>
    <row r="67" spans="2:10" ht="15" x14ac:dyDescent="0.25">
      <c r="B67" s="37" t="s">
        <v>38</v>
      </c>
      <c r="C67" s="73">
        <v>2.0390000000000001</v>
      </c>
      <c r="D67" s="74">
        <v>100</v>
      </c>
      <c r="E67" s="40"/>
      <c r="F67" s="41"/>
      <c r="G67" s="38"/>
      <c r="H67" s="39"/>
      <c r="I67" s="40"/>
      <c r="J67" s="41"/>
    </row>
    <row r="68" spans="2:10" ht="15" x14ac:dyDescent="0.25">
      <c r="C68" s="36"/>
      <c r="D68" s="36"/>
      <c r="E68" s="36"/>
      <c r="F68" s="36"/>
      <c r="G68" s="36"/>
      <c r="H68" s="36"/>
      <c r="I68" s="36"/>
      <c r="J68" s="36"/>
    </row>
    <row r="69" spans="2:10" x14ac:dyDescent="0.2">
      <c r="B69" s="16" t="s">
        <v>36</v>
      </c>
    </row>
    <row r="70" spans="2:10" x14ac:dyDescent="0.2">
      <c r="B70" s="16" t="s">
        <v>37</v>
      </c>
    </row>
    <row r="71" spans="2:10" x14ac:dyDescent="0.2">
      <c r="B71" s="49">
        <v>2023</v>
      </c>
      <c r="C71" s="16" t="s">
        <v>40</v>
      </c>
    </row>
    <row r="72" spans="2:10" ht="15" x14ac:dyDescent="0.25">
      <c r="B72" s="82" t="s">
        <v>41</v>
      </c>
      <c r="C72" s="82"/>
      <c r="D72" s="82"/>
      <c r="E72" s="82"/>
      <c r="F72" s="82"/>
      <c r="G72" s="82"/>
      <c r="H72" s="82"/>
      <c r="I72" s="82"/>
      <c r="J72" s="82"/>
    </row>
  </sheetData>
  <mergeCells count="2">
    <mergeCell ref="E37:F37"/>
    <mergeCell ref="B72:J72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microsoft.com/office/2006/metadata/properties"/>
    <ds:schemaRef ds:uri="a46656d4-8850-49b3-aebd-68bd05f7f43d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2023-05-01T09:19:32Z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