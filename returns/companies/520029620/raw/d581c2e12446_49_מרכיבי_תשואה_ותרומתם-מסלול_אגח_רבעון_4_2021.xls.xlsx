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1\31.12.2021\קסם\סופי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calcChain.xml><?xml version="1.0" encoding="utf-8"?>
<calcChain xmlns="http://schemas.openxmlformats.org/spreadsheetml/2006/main">
  <c r="I55" i="1" l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56" i="1" s="1"/>
</calcChain>
</file>

<file path=xl/sharedStrings.xml><?xml version="1.0" encoding="utf-8"?>
<sst xmlns="http://schemas.openxmlformats.org/spreadsheetml/2006/main" count="895" uniqueCount="71">
  <si>
    <t>פירוט תרומת אפיקי ההשקעה לתשואה הכוללת</t>
  </si>
  <si>
    <t>ק"ה לביוכימאים ומיקרוביולוגים בע"מ</t>
  </si>
  <si>
    <t>השתלמות אגח ".ק.ס.ם"(1820)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</si>
  <si>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</si>
  <si>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</si>
  <si>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</si>
  <si>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</si>
  <si>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</si>
  <si>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</si>
  <si>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</si>
  <si>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</si>
  <si>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</si>
  <si>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</si>
  <si>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</si>
  <si>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</si>
  <si>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</si>
  <si>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</si>
  <si>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</si>
  <si>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</si>
  <si>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</si>
  <si>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</si>
  <si>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</si>
  <si>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</si>
  <si>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</si>
  <si>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</si>
  <si>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</si>
  <si>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</si>
  <si>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</si>
  <si>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</si>
  <si>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</si>
  <si>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</si>
  <si>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</si>
  <si>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</si>
  <si>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</si>
  <si>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</si>
  <si>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</si>
  <si>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</si>
  <si>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</si>
  <si>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</si>
  <si>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</si>
  <si>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</si>
  <si>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</si>
  <si>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</si>
  <si>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</si>
  <si>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</si>
  <si>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</si>
  <si>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</si>
  <si>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</si>
  <si>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</si>
  <si>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</si>
  <si>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</si>
  <si>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</si>
  <si>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</si>
  <si>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</si>
  <si>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</si>
  <si>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</si>
  <si>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</si>
  <si>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</si>
  <si>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</si>
  <si>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</si>
  <si>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</si>
  <si>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</si>
  <si>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</si>
  <si>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</si>
  <si>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שיעור מסך הנכסים ינואר-דצמבר 2021</t>
  </si>
  <si>
    <t>תשואה מצטברת</t>
  </si>
  <si>
    <t xml:space="preserve"> </t>
  </si>
  <si>
    <t>סוף מידע</t>
  </si>
  <si>
    <t>13:53:17</t>
  </si>
  <si>
    <t>2021-07-06</t>
  </si>
  <si>
    <t>התרומה לתשואה ינואר-דצמבר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</si>
</sst>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5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2" fontId="1" fillId="2" borderId="0" xfId="1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" fontId="1" fillId="2" borderId="0" xfId="0" applyNumberFormat="1" applyFont="1" applyFill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4" fillId="2" borderId="0" xfId="0" applyFont="1" applyFill="1" applyBorder="1" applyAlignment="1">
      <alignment horizontal="right" wrapText="1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2"/>
  <sheetViews>
    <sheetView showGridLines="0" rightToLeft="1" tabSelected="1" topLeftCell="Q1" workbookViewId="0">
      <selection activeCell="AB31" sqref="AB31"/>
    </sheetView>
  </sheetViews>
  <sheetFormatPr defaultRowHeight="14.25" x14ac:dyDescent="0.2"/>
  <cols>
    <col min="1" max="1" width="3.375" customWidth="1"/>
    <col min="2" max="2" width="46" customWidth="1"/>
    <col min="3" max="27" width="15.12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s="14" customFormat="1" ht="24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11" t="s">
        <v>24</v>
      </c>
      <c r="V5" s="11" t="s">
        <v>25</v>
      </c>
      <c r="W5" s="11" t="s">
        <v>26</v>
      </c>
      <c r="X5" s="11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6">
        <v>0</v>
      </c>
      <c r="D6" s="6">
        <v>8.3719999999999999</v>
      </c>
      <c r="E6" s="6">
        <v>0</v>
      </c>
      <c r="F6" s="6">
        <v>8.91</v>
      </c>
      <c r="G6" s="6">
        <v>0</v>
      </c>
      <c r="H6" s="6">
        <v>9.1470000000000002</v>
      </c>
      <c r="I6" s="3">
        <v>0</v>
      </c>
      <c r="J6" s="3">
        <v>13.677</v>
      </c>
      <c r="K6" s="3">
        <v>0</v>
      </c>
      <c r="L6" s="3">
        <v>10.627000000000001</v>
      </c>
      <c r="M6" s="3">
        <v>0</v>
      </c>
      <c r="N6" s="3">
        <v>9.2910000000000004</v>
      </c>
      <c r="O6" s="6">
        <v>0</v>
      </c>
      <c r="P6" s="6">
        <v>10.156000000000001</v>
      </c>
      <c r="Q6" s="6">
        <v>0</v>
      </c>
      <c r="R6" s="6">
        <v>11.010999999999999</v>
      </c>
      <c r="S6" s="6">
        <v>0</v>
      </c>
      <c r="T6" s="6">
        <v>12.228999999999999</v>
      </c>
      <c r="U6" s="12">
        <v>0</v>
      </c>
      <c r="V6" s="12">
        <v>12.904999999999999</v>
      </c>
      <c r="W6" s="12">
        <v>0</v>
      </c>
      <c r="X6" s="12">
        <v>13.808999999999999</v>
      </c>
      <c r="Y6" s="6">
        <v>0</v>
      </c>
      <c r="Z6" s="6">
        <v>14.603999999999999</v>
      </c>
      <c r="AA6" s="2" t="s">
        <v>32</v>
      </c>
    </row>
    <row r="7" spans="1:27" x14ac:dyDescent="0.2">
      <c r="A7" s="1" t="s">
        <v>30</v>
      </c>
      <c r="B7" s="2" t="s">
        <v>33</v>
      </c>
      <c r="C7" s="6">
        <v>0.108</v>
      </c>
      <c r="D7" s="6">
        <v>56.688000000000002</v>
      </c>
      <c r="E7" s="6">
        <v>-0.40699999999999997</v>
      </c>
      <c r="F7" s="6">
        <v>56.185000000000002</v>
      </c>
      <c r="G7" s="6">
        <v>0.17899999999999999</v>
      </c>
      <c r="H7" s="6">
        <v>55.808999999999997</v>
      </c>
      <c r="I7" s="3">
        <v>-0.06</v>
      </c>
      <c r="J7" s="3">
        <v>59.725999999999999</v>
      </c>
      <c r="K7" s="3">
        <v>0.193</v>
      </c>
      <c r="L7" s="3">
        <v>58.994999999999997</v>
      </c>
      <c r="M7" s="3">
        <v>-1E-3</v>
      </c>
      <c r="N7" s="3">
        <v>60.598999999999997</v>
      </c>
      <c r="O7" s="6">
        <v>0.23799999999999999</v>
      </c>
      <c r="P7" s="6">
        <v>60.073999999999998</v>
      </c>
      <c r="Q7" s="6">
        <v>0.442</v>
      </c>
      <c r="R7" s="6">
        <v>59.384</v>
      </c>
      <c r="S7" s="6">
        <v>8.7999999999999995E-2</v>
      </c>
      <c r="T7" s="6">
        <v>58.386000000000003</v>
      </c>
      <c r="U7" s="12">
        <v>9.7000000000000003E-2</v>
      </c>
      <c r="V7" s="12">
        <v>57.673000000000002</v>
      </c>
      <c r="W7" s="12">
        <v>0.02</v>
      </c>
      <c r="X7" s="12">
        <v>57.076000000000001</v>
      </c>
      <c r="Y7" s="6">
        <v>8.5000000000000006E-2</v>
      </c>
      <c r="Z7" s="6">
        <v>56.499000000000002</v>
      </c>
      <c r="AA7" s="2" t="s">
        <v>32</v>
      </c>
    </row>
    <row r="8" spans="1:27" x14ac:dyDescent="0.2">
      <c r="A8" s="1" t="s">
        <v>30</v>
      </c>
      <c r="B8" s="2" t="s">
        <v>34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2">
        <v>0</v>
      </c>
      <c r="V8" s="12">
        <v>0</v>
      </c>
      <c r="W8" s="12">
        <v>0</v>
      </c>
      <c r="X8" s="12">
        <v>0</v>
      </c>
      <c r="Y8" s="6">
        <v>0</v>
      </c>
      <c r="Z8" s="6">
        <v>0</v>
      </c>
      <c r="AA8" s="2" t="s">
        <v>32</v>
      </c>
    </row>
    <row r="9" spans="1:27" x14ac:dyDescent="0.2">
      <c r="A9" s="1" t="s">
        <v>30</v>
      </c>
      <c r="B9" s="2" t="s">
        <v>35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12">
        <v>0</v>
      </c>
      <c r="V9" s="12">
        <v>0</v>
      </c>
      <c r="W9" s="12">
        <v>0</v>
      </c>
      <c r="X9" s="12">
        <v>0</v>
      </c>
      <c r="Y9" s="6">
        <v>0</v>
      </c>
      <c r="Z9" s="6">
        <v>0</v>
      </c>
      <c r="AA9" s="2" t="s">
        <v>32</v>
      </c>
    </row>
    <row r="10" spans="1:27" x14ac:dyDescent="0.2">
      <c r="A10" s="1" t="s">
        <v>30</v>
      </c>
      <c r="B10" s="2" t="s">
        <v>36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2">
        <v>0</v>
      </c>
      <c r="V10" s="12">
        <v>0</v>
      </c>
      <c r="W10" s="12">
        <v>0</v>
      </c>
      <c r="X10" s="12">
        <v>0</v>
      </c>
      <c r="Y10" s="6">
        <v>0</v>
      </c>
      <c r="Z10" s="6">
        <v>0</v>
      </c>
      <c r="AA10" s="2" t="s">
        <v>32</v>
      </c>
    </row>
    <row r="11" spans="1:27" x14ac:dyDescent="0.2">
      <c r="A11" s="1" t="s">
        <v>30</v>
      </c>
      <c r="B11" s="2" t="s">
        <v>37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12">
        <v>0</v>
      </c>
      <c r="V11" s="12">
        <v>0</v>
      </c>
      <c r="W11" s="12">
        <v>0</v>
      </c>
      <c r="X11" s="12">
        <v>0</v>
      </c>
      <c r="Y11" s="6">
        <v>0</v>
      </c>
      <c r="Z11" s="6">
        <v>0</v>
      </c>
      <c r="AA11" s="2" t="s">
        <v>32</v>
      </c>
    </row>
    <row r="12" spans="1:27" x14ac:dyDescent="0.2">
      <c r="A12" s="1" t="s">
        <v>30</v>
      </c>
      <c r="B12" s="2" t="s">
        <v>38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2">
        <v>0</v>
      </c>
      <c r="V12" s="12">
        <v>0</v>
      </c>
      <c r="W12" s="12">
        <v>0</v>
      </c>
      <c r="X12" s="12">
        <v>0</v>
      </c>
      <c r="Y12" s="6">
        <v>0</v>
      </c>
      <c r="Z12" s="6">
        <v>0</v>
      </c>
      <c r="AA12" s="2" t="s">
        <v>32</v>
      </c>
    </row>
    <row r="13" spans="1:27" x14ac:dyDescent="0.2">
      <c r="A13" s="1" t="s">
        <v>30</v>
      </c>
      <c r="B13" s="2" t="s">
        <v>39</v>
      </c>
      <c r="C13" s="6">
        <v>8.1000000000000003E-2</v>
      </c>
      <c r="D13" s="6">
        <v>20.952000000000002</v>
      </c>
      <c r="E13" s="6">
        <v>1.4E-2</v>
      </c>
      <c r="F13" s="6">
        <v>20.928000000000001</v>
      </c>
      <c r="G13" s="6">
        <v>0.16</v>
      </c>
      <c r="H13" s="6">
        <v>20.99</v>
      </c>
      <c r="I13" s="3">
        <v>0.13100000000000001</v>
      </c>
      <c r="J13" s="3">
        <v>26.963999999999999</v>
      </c>
      <c r="K13" s="3">
        <v>0.30499999999999999</v>
      </c>
      <c r="L13" s="3">
        <v>30.706</v>
      </c>
      <c r="M13" s="3">
        <v>7.8E-2</v>
      </c>
      <c r="N13" s="3">
        <v>30.43</v>
      </c>
      <c r="O13" s="6">
        <v>2.5999999999999999E-2</v>
      </c>
      <c r="P13" s="6">
        <v>30.079000000000001</v>
      </c>
      <c r="Q13" s="6">
        <v>0.39500000000000002</v>
      </c>
      <c r="R13" s="6">
        <v>29.916</v>
      </c>
      <c r="S13" s="6">
        <v>0.15</v>
      </c>
      <c r="T13" s="6">
        <v>29.684000000000001</v>
      </c>
      <c r="U13" s="12">
        <v>0.191</v>
      </c>
      <c r="V13" s="12">
        <v>29.718</v>
      </c>
      <c r="W13" s="12">
        <v>3.3000000000000002E-2</v>
      </c>
      <c r="X13" s="12">
        <v>29.433</v>
      </c>
      <c r="Y13" s="6">
        <v>8.3000000000000004E-2</v>
      </c>
      <c r="Z13" s="6">
        <v>29.161999999999999</v>
      </c>
      <c r="AA13" s="2" t="s">
        <v>32</v>
      </c>
    </row>
    <row r="14" spans="1:27" x14ac:dyDescent="0.2">
      <c r="A14" s="1" t="s">
        <v>30</v>
      </c>
      <c r="B14" s="2" t="s">
        <v>40</v>
      </c>
      <c r="C14" s="6">
        <v>7.6999999999999999E-2</v>
      </c>
      <c r="D14" s="6">
        <v>14.178000000000001</v>
      </c>
      <c r="E14" s="6">
        <v>2.1000000000000001E-2</v>
      </c>
      <c r="F14" s="6">
        <v>14.175000000000001</v>
      </c>
      <c r="G14" s="6">
        <v>0.13900000000000001</v>
      </c>
      <c r="H14" s="6">
        <v>14.250999999999999</v>
      </c>
      <c r="I14" s="3">
        <v>0.125</v>
      </c>
      <c r="J14" s="3">
        <v>0</v>
      </c>
      <c r="K14" s="3">
        <v>5.0000000000000001E-3</v>
      </c>
      <c r="L14" s="3">
        <v>0</v>
      </c>
      <c r="M14" s="3">
        <v>0</v>
      </c>
      <c r="N14" s="3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2">
        <v>0</v>
      </c>
      <c r="V14" s="12">
        <v>0</v>
      </c>
      <c r="W14" s="12">
        <v>0</v>
      </c>
      <c r="X14" s="12">
        <v>0</v>
      </c>
      <c r="Y14" s="6">
        <v>0</v>
      </c>
      <c r="Z14" s="6">
        <v>0</v>
      </c>
      <c r="AA14" s="2" t="s">
        <v>32</v>
      </c>
    </row>
    <row r="15" spans="1:27" x14ac:dyDescent="0.2">
      <c r="A15" s="1" t="s">
        <v>30</v>
      </c>
      <c r="B15" s="2" t="s">
        <v>41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2">
        <v>0</v>
      </c>
      <c r="V15" s="12">
        <v>0</v>
      </c>
      <c r="W15" s="12">
        <v>0</v>
      </c>
      <c r="X15" s="12">
        <v>0</v>
      </c>
      <c r="Y15" s="6">
        <v>0</v>
      </c>
      <c r="Z15" s="6">
        <v>0</v>
      </c>
      <c r="AA15" s="2" t="s">
        <v>32</v>
      </c>
    </row>
    <row r="16" spans="1:27" x14ac:dyDescent="0.2">
      <c r="A16" s="1" t="s">
        <v>30</v>
      </c>
      <c r="B16" s="2" t="s">
        <v>42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2">
        <v>0</v>
      </c>
      <c r="V16" s="12">
        <v>0</v>
      </c>
      <c r="W16" s="12">
        <v>0</v>
      </c>
      <c r="X16" s="12">
        <v>0</v>
      </c>
      <c r="Y16" s="6">
        <v>0</v>
      </c>
      <c r="Z16" s="6">
        <v>0</v>
      </c>
      <c r="AA16" s="2" t="s">
        <v>32</v>
      </c>
    </row>
    <row r="17" spans="1:27" x14ac:dyDescent="0.2">
      <c r="A17" s="1" t="s">
        <v>30</v>
      </c>
      <c r="B17" s="2" t="s">
        <v>43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2">
        <v>0</v>
      </c>
      <c r="V17" s="12">
        <v>0</v>
      </c>
      <c r="W17" s="12">
        <v>0</v>
      </c>
      <c r="X17" s="12">
        <v>0</v>
      </c>
      <c r="Y17" s="6">
        <v>0</v>
      </c>
      <c r="Z17" s="6">
        <v>0</v>
      </c>
      <c r="AA17" s="2" t="s">
        <v>32</v>
      </c>
    </row>
    <row r="18" spans="1:27" x14ac:dyDescent="0.2">
      <c r="A18" s="1" t="s">
        <v>30</v>
      </c>
      <c r="B18" s="2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2">
        <v>0</v>
      </c>
      <c r="V18" s="12">
        <v>0</v>
      </c>
      <c r="W18" s="12">
        <v>0</v>
      </c>
      <c r="X18" s="12">
        <v>0</v>
      </c>
      <c r="Y18" s="6">
        <v>0</v>
      </c>
      <c r="Z18" s="6">
        <v>0</v>
      </c>
      <c r="AA18" s="2" t="s">
        <v>32</v>
      </c>
    </row>
    <row r="19" spans="1:27" x14ac:dyDescent="0.2">
      <c r="A19" s="1" t="s">
        <v>30</v>
      </c>
      <c r="B19" s="2" t="s">
        <v>45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2">
        <v>0</v>
      </c>
      <c r="V19" s="12">
        <v>0</v>
      </c>
      <c r="W19" s="12">
        <v>0</v>
      </c>
      <c r="X19" s="12">
        <v>0</v>
      </c>
      <c r="Y19" s="6">
        <v>0</v>
      </c>
      <c r="Z19" s="6">
        <v>0</v>
      </c>
      <c r="AA19" s="2" t="s">
        <v>32</v>
      </c>
    </row>
    <row r="20" spans="1:27" x14ac:dyDescent="0.2">
      <c r="A20" s="1" t="s">
        <v>30</v>
      </c>
      <c r="B20" s="2" t="s">
        <v>46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2">
        <v>0</v>
      </c>
      <c r="V20" s="12">
        <v>0</v>
      </c>
      <c r="W20" s="12">
        <v>0</v>
      </c>
      <c r="X20" s="12">
        <v>0</v>
      </c>
      <c r="Y20" s="6">
        <v>0</v>
      </c>
      <c r="Z20" s="6">
        <v>0</v>
      </c>
      <c r="AA20" s="2" t="s">
        <v>32</v>
      </c>
    </row>
    <row r="21" spans="1:27" x14ac:dyDescent="0.2">
      <c r="A21" s="1" t="s">
        <v>30</v>
      </c>
      <c r="B21" s="2" t="s">
        <v>47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2">
        <v>0</v>
      </c>
      <c r="V21" s="12">
        <v>0</v>
      </c>
      <c r="W21" s="12">
        <v>0</v>
      </c>
      <c r="X21" s="12">
        <v>0</v>
      </c>
      <c r="Y21" s="6">
        <v>0</v>
      </c>
      <c r="Z21" s="6">
        <v>0</v>
      </c>
      <c r="AA21" s="2" t="s">
        <v>32</v>
      </c>
    </row>
    <row r="22" spans="1:27" x14ac:dyDescent="0.2">
      <c r="A22" s="1" t="s">
        <v>30</v>
      </c>
      <c r="B22" s="2" t="s">
        <v>48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2">
        <v>0</v>
      </c>
      <c r="V22" s="12">
        <v>0</v>
      </c>
      <c r="W22" s="12">
        <v>0</v>
      </c>
      <c r="X22" s="12">
        <v>0</v>
      </c>
      <c r="Y22" s="6">
        <v>0</v>
      </c>
      <c r="Z22" s="6">
        <v>0</v>
      </c>
      <c r="AA22" s="2" t="s">
        <v>32</v>
      </c>
    </row>
    <row r="23" spans="1:27" x14ac:dyDescent="0.2">
      <c r="A23" s="1" t="s">
        <v>30</v>
      </c>
      <c r="B23" s="2" t="s">
        <v>49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2">
        <v>0</v>
      </c>
      <c r="V23" s="12">
        <v>0</v>
      </c>
      <c r="W23" s="12">
        <v>0</v>
      </c>
      <c r="X23" s="12">
        <v>0</v>
      </c>
      <c r="Y23" s="6">
        <v>0</v>
      </c>
      <c r="Z23" s="6">
        <v>0</v>
      </c>
      <c r="AA23" s="2" t="s">
        <v>32</v>
      </c>
    </row>
    <row r="24" spans="1:27" x14ac:dyDescent="0.2">
      <c r="A24" s="1" t="s">
        <v>30</v>
      </c>
      <c r="B24" s="2" t="s">
        <v>50</v>
      </c>
      <c r="C24" s="6">
        <v>0</v>
      </c>
      <c r="D24" s="6">
        <v>-0.19</v>
      </c>
      <c r="E24" s="6">
        <v>0</v>
      </c>
      <c r="F24" s="6">
        <v>-0.2</v>
      </c>
      <c r="G24" s="6">
        <v>0</v>
      </c>
      <c r="H24" s="6">
        <v>-0.2</v>
      </c>
      <c r="I24" s="3">
        <v>0</v>
      </c>
      <c r="J24" s="3">
        <v>-0.37</v>
      </c>
      <c r="K24" s="3">
        <v>0</v>
      </c>
      <c r="L24" s="3">
        <v>-0.33</v>
      </c>
      <c r="M24" s="3">
        <v>0</v>
      </c>
      <c r="N24" s="3">
        <v>0</v>
      </c>
      <c r="O24" s="6">
        <v>0</v>
      </c>
      <c r="P24" s="6">
        <v>-0.31</v>
      </c>
      <c r="Q24" s="6">
        <v>0</v>
      </c>
      <c r="R24" s="6">
        <v>-0.31</v>
      </c>
      <c r="S24" s="6">
        <v>0</v>
      </c>
      <c r="T24" s="6">
        <v>-0.3</v>
      </c>
      <c r="U24" s="12">
        <v>0</v>
      </c>
      <c r="V24" s="12">
        <v>-0.3</v>
      </c>
      <c r="W24" s="12">
        <v>0</v>
      </c>
      <c r="X24" s="12">
        <v>-0.32</v>
      </c>
      <c r="Y24" s="6">
        <v>0</v>
      </c>
      <c r="Z24" s="6">
        <v>-0.27</v>
      </c>
      <c r="AA24" s="2" t="s">
        <v>32</v>
      </c>
    </row>
    <row r="25" spans="1:27" x14ac:dyDescent="0.2">
      <c r="A25" s="1" t="s">
        <v>30</v>
      </c>
      <c r="B25" s="2" t="s">
        <v>51</v>
      </c>
      <c r="C25" s="6">
        <v>0.26500000000000001</v>
      </c>
      <c r="D25" s="6">
        <v>100</v>
      </c>
      <c r="E25" s="6">
        <v>-0.371</v>
      </c>
      <c r="F25" s="6">
        <v>100</v>
      </c>
      <c r="G25" s="7">
        <v>0.47799999999999998</v>
      </c>
      <c r="H25" s="6">
        <v>100</v>
      </c>
      <c r="I25" s="3">
        <v>0.19700000000000001</v>
      </c>
      <c r="J25" s="3">
        <v>100</v>
      </c>
      <c r="K25" s="3">
        <v>0.504</v>
      </c>
      <c r="L25" s="3">
        <v>100</v>
      </c>
      <c r="M25" s="3">
        <v>7.6999999999999999E-2</v>
      </c>
      <c r="N25" s="3">
        <v>100</v>
      </c>
      <c r="O25" s="6">
        <v>0.26500000000000001</v>
      </c>
      <c r="P25" s="6">
        <v>100</v>
      </c>
      <c r="Q25" s="6">
        <v>0.83599999999999997</v>
      </c>
      <c r="R25" s="6">
        <v>100</v>
      </c>
      <c r="S25" s="6">
        <v>0.23799999999999999</v>
      </c>
      <c r="T25" s="6">
        <v>100</v>
      </c>
      <c r="U25" s="12">
        <v>0.28899999999999998</v>
      </c>
      <c r="V25" s="12">
        <v>100</v>
      </c>
      <c r="W25" s="12">
        <v>5.2999999999999999E-2</v>
      </c>
      <c r="X25" s="12">
        <v>100</v>
      </c>
      <c r="Y25" s="6">
        <v>0.16800000000000001</v>
      </c>
      <c r="Z25" s="6">
        <v>100</v>
      </c>
      <c r="AA25" s="2" t="s">
        <v>32</v>
      </c>
    </row>
    <row r="26" spans="1:27" x14ac:dyDescent="0.2">
      <c r="A26" s="1" t="s">
        <v>30</v>
      </c>
      <c r="B26" s="2" t="s">
        <v>52</v>
      </c>
      <c r="C26" s="6">
        <v>1.01</v>
      </c>
      <c r="D26" s="6">
        <v>1.01</v>
      </c>
      <c r="E26" s="6">
        <v>-1.42</v>
      </c>
      <c r="F26" s="6">
        <v>-1.42</v>
      </c>
      <c r="G26" s="7">
        <v>1.83</v>
      </c>
      <c r="H26" s="6">
        <v>1.83</v>
      </c>
      <c r="I26" s="3">
        <v>1.24</v>
      </c>
      <c r="J26" s="3">
        <v>1.24</v>
      </c>
      <c r="K26" s="3">
        <v>1.03</v>
      </c>
      <c r="L26" s="3">
        <v>1.03</v>
      </c>
      <c r="M26" s="3">
        <v>0.16</v>
      </c>
      <c r="N26" s="3">
        <v>0.16</v>
      </c>
      <c r="O26" s="6">
        <v>0.56000000000000005</v>
      </c>
      <c r="P26" s="6">
        <v>0.56000000000000005</v>
      </c>
      <c r="Q26" s="6">
        <v>1.79</v>
      </c>
      <c r="R26" s="6">
        <v>1.79</v>
      </c>
      <c r="S26" s="6">
        <v>0.52</v>
      </c>
      <c r="T26" s="6">
        <v>0.52</v>
      </c>
      <c r="U26" s="12">
        <v>0.64</v>
      </c>
      <c r="V26" s="12">
        <v>0.64</v>
      </c>
      <c r="W26" s="12">
        <v>0.12</v>
      </c>
      <c r="X26" s="12">
        <v>0.12</v>
      </c>
      <c r="Y26" s="6">
        <v>0.39</v>
      </c>
      <c r="Z26" s="6">
        <v>0.39</v>
      </c>
      <c r="AA26" s="2" t="s">
        <v>32</v>
      </c>
    </row>
    <row r="27" spans="1:27" x14ac:dyDescent="0.2">
      <c r="A27" s="1" t="s">
        <v>32</v>
      </c>
      <c r="B27" s="2" t="s">
        <v>30</v>
      </c>
      <c r="C27" s="8" t="s">
        <v>30</v>
      </c>
      <c r="D27" s="8" t="s">
        <v>30</v>
      </c>
      <c r="E27" s="8" t="s">
        <v>30</v>
      </c>
      <c r="F27" s="8" t="s">
        <v>30</v>
      </c>
      <c r="G27" s="8" t="s">
        <v>30</v>
      </c>
      <c r="H27" s="8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8" t="s">
        <v>30</v>
      </c>
      <c r="P27" s="8" t="s">
        <v>30</v>
      </c>
      <c r="Q27" s="8" t="s">
        <v>30</v>
      </c>
      <c r="R27" s="8" t="s">
        <v>30</v>
      </c>
      <c r="S27" s="8" t="s">
        <v>30</v>
      </c>
      <c r="T27" s="8" t="s">
        <v>30</v>
      </c>
      <c r="U27" s="11" t="s">
        <v>30</v>
      </c>
      <c r="V27" s="11" t="s">
        <v>30</v>
      </c>
      <c r="W27" s="11" t="s">
        <v>30</v>
      </c>
      <c r="X27" s="11" t="s">
        <v>30</v>
      </c>
      <c r="Y27" s="8" t="s">
        <v>30</v>
      </c>
      <c r="Z27" s="8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6">
        <v>0.26500000000000001</v>
      </c>
      <c r="D28" s="6">
        <v>100</v>
      </c>
      <c r="E28" s="6">
        <v>-0.371</v>
      </c>
      <c r="F28" s="6">
        <v>100</v>
      </c>
      <c r="G28" s="6">
        <v>0.47799999999999998</v>
      </c>
      <c r="H28" s="6">
        <v>100</v>
      </c>
      <c r="I28" s="3">
        <v>0.19700000000000001</v>
      </c>
      <c r="J28" s="3">
        <v>100</v>
      </c>
      <c r="K28" s="3">
        <v>0.504</v>
      </c>
      <c r="L28" s="3">
        <v>100</v>
      </c>
      <c r="M28" s="3">
        <v>7.6999999999999999E-2</v>
      </c>
      <c r="N28" s="3">
        <v>100</v>
      </c>
      <c r="O28" s="6">
        <v>0.26500000000000001</v>
      </c>
      <c r="P28" s="6">
        <v>100</v>
      </c>
      <c r="Q28" s="6">
        <v>0.83599999999999997</v>
      </c>
      <c r="R28" s="6">
        <v>100</v>
      </c>
      <c r="S28" s="6">
        <v>0.23799999999999999</v>
      </c>
      <c r="T28" s="6">
        <v>100</v>
      </c>
      <c r="U28" s="12">
        <v>0.28899999999999998</v>
      </c>
      <c r="V28" s="12">
        <v>100</v>
      </c>
      <c r="W28" s="12">
        <v>5.2999999999999999E-2</v>
      </c>
      <c r="X28" s="12">
        <v>100</v>
      </c>
      <c r="Y28" s="6">
        <v>0.16800000000000001</v>
      </c>
      <c r="Z28" s="6">
        <v>100</v>
      </c>
      <c r="AA28" s="2" t="s">
        <v>32</v>
      </c>
    </row>
    <row r="29" spans="1:27" x14ac:dyDescent="0.2">
      <c r="A29" s="1" t="s">
        <v>30</v>
      </c>
      <c r="B29" s="2" t="s">
        <v>54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2">
        <v>0</v>
      </c>
      <c r="V29" s="12">
        <v>0</v>
      </c>
      <c r="W29" s="12">
        <v>0</v>
      </c>
      <c r="X29" s="12">
        <v>0</v>
      </c>
      <c r="Y29" s="6">
        <v>0</v>
      </c>
      <c r="Z29" s="6">
        <v>0</v>
      </c>
      <c r="AA29" s="2" t="s">
        <v>32</v>
      </c>
    </row>
    <row r="30" spans="1:27" x14ac:dyDescent="0.2">
      <c r="A30" s="1" t="s">
        <v>30</v>
      </c>
      <c r="B30" s="2" t="s">
        <v>51</v>
      </c>
      <c r="C30" s="6">
        <v>0.26500000000000001</v>
      </c>
      <c r="D30" s="6">
        <v>100</v>
      </c>
      <c r="E30" s="6">
        <v>-0.371</v>
      </c>
      <c r="F30" s="6">
        <v>100</v>
      </c>
      <c r="G30" s="6">
        <v>0.47799999999999998</v>
      </c>
      <c r="H30" s="6">
        <v>100</v>
      </c>
      <c r="I30" s="3">
        <v>0.19700000000000001</v>
      </c>
      <c r="J30" s="3">
        <v>100</v>
      </c>
      <c r="K30" s="3">
        <v>0.504</v>
      </c>
      <c r="L30" s="3">
        <v>100</v>
      </c>
      <c r="M30" s="3">
        <v>7.6999999999999999E-2</v>
      </c>
      <c r="N30" s="3">
        <v>100</v>
      </c>
      <c r="O30" s="6">
        <v>0.26500000000000001</v>
      </c>
      <c r="P30" s="6">
        <v>100</v>
      </c>
      <c r="Q30" s="6">
        <v>0.83599999999999997</v>
      </c>
      <c r="R30" s="6">
        <v>100</v>
      </c>
      <c r="S30" s="6">
        <v>0.23799999999999999</v>
      </c>
      <c r="T30" s="6">
        <v>100</v>
      </c>
      <c r="U30" s="12">
        <v>0.28899999999999998</v>
      </c>
      <c r="V30" s="12">
        <v>100</v>
      </c>
      <c r="W30" s="12">
        <v>5.2999999999999999E-2</v>
      </c>
      <c r="X30" s="12">
        <v>100</v>
      </c>
      <c r="Y30" s="6">
        <v>0.16800000000000001</v>
      </c>
      <c r="Z30" s="6">
        <v>100</v>
      </c>
      <c r="AA30" s="2" t="s">
        <v>32</v>
      </c>
    </row>
    <row r="31" spans="1:27" x14ac:dyDescent="0.2">
      <c r="A31" s="4" t="s">
        <v>32</v>
      </c>
      <c r="B31" s="2" t="s">
        <v>30</v>
      </c>
      <c r="C31" s="8" t="s">
        <v>30</v>
      </c>
      <c r="D31" s="8" t="s">
        <v>30</v>
      </c>
      <c r="E31" s="8" t="s">
        <v>30</v>
      </c>
      <c r="F31" s="8" t="s">
        <v>30</v>
      </c>
      <c r="G31" s="8" t="s">
        <v>30</v>
      </c>
      <c r="H31" s="8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30</v>
      </c>
      <c r="U31" s="11" t="s">
        <v>30</v>
      </c>
      <c r="V31" s="11" t="s">
        <v>30</v>
      </c>
      <c r="W31" s="11" t="s">
        <v>30</v>
      </c>
      <c r="X31" s="11" t="s">
        <v>30</v>
      </c>
      <c r="Y31" s="8" t="s">
        <v>30</v>
      </c>
      <c r="Z31" s="8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6">
        <v>0.26500000000000001</v>
      </c>
      <c r="D32" s="6">
        <v>100.19</v>
      </c>
      <c r="E32" s="6">
        <v>-0.371</v>
      </c>
      <c r="F32" s="6">
        <v>100.19799999999999</v>
      </c>
      <c r="G32" s="6">
        <v>0.47799999999999998</v>
      </c>
      <c r="H32" s="6">
        <v>100.197</v>
      </c>
      <c r="I32" s="3">
        <v>0.19700000000000001</v>
      </c>
      <c r="J32" s="3">
        <v>100.366</v>
      </c>
      <c r="K32" s="3">
        <v>0.504</v>
      </c>
      <c r="L32" s="3">
        <v>100.328</v>
      </c>
      <c r="M32" s="3">
        <v>7.6999999999999999E-2</v>
      </c>
      <c r="N32" s="3">
        <v>100.32</v>
      </c>
      <c r="O32" s="6">
        <v>0.26500000000000001</v>
      </c>
      <c r="P32" s="6">
        <v>100.309</v>
      </c>
      <c r="Q32" s="6">
        <v>0.83599999999999997</v>
      </c>
      <c r="R32" s="6">
        <v>100.31100000000001</v>
      </c>
      <c r="S32" s="6">
        <v>0.23799999999999999</v>
      </c>
      <c r="T32" s="6">
        <v>100.29900000000001</v>
      </c>
      <c r="U32" s="12">
        <v>0.28899999999999998</v>
      </c>
      <c r="V32" s="12">
        <v>100.29600000000001</v>
      </c>
      <c r="W32" s="12">
        <v>5.2999999999999999E-2</v>
      </c>
      <c r="X32" s="12">
        <v>100.31699999999999</v>
      </c>
      <c r="Y32" s="6">
        <v>0.16800000000000001</v>
      </c>
      <c r="Z32" s="6">
        <v>100.265</v>
      </c>
      <c r="AA32" s="2" t="s">
        <v>32</v>
      </c>
    </row>
    <row r="33" spans="1:27" x14ac:dyDescent="0.2">
      <c r="A33" s="1" t="s">
        <v>30</v>
      </c>
      <c r="B33" s="2" t="s">
        <v>56</v>
      </c>
      <c r="C33" s="6">
        <v>0</v>
      </c>
      <c r="D33" s="6">
        <v>-0.19</v>
      </c>
      <c r="E33" s="6">
        <v>0</v>
      </c>
      <c r="F33" s="6">
        <v>-0.19800000000000001</v>
      </c>
      <c r="G33" s="6">
        <v>0</v>
      </c>
      <c r="H33" s="6">
        <v>-0.19700000000000001</v>
      </c>
      <c r="I33" s="3">
        <v>0</v>
      </c>
      <c r="J33" s="3">
        <v>-0.36599999999999999</v>
      </c>
      <c r="K33" s="3">
        <v>0</v>
      </c>
      <c r="L33" s="3">
        <v>-0.32800000000000001</v>
      </c>
      <c r="M33" s="3">
        <v>0</v>
      </c>
      <c r="N33" s="3">
        <v>-0.32</v>
      </c>
      <c r="O33" s="6">
        <v>0</v>
      </c>
      <c r="P33" s="6">
        <v>-0.309</v>
      </c>
      <c r="Q33" s="6">
        <v>0</v>
      </c>
      <c r="R33" s="6">
        <v>-0.311</v>
      </c>
      <c r="S33" s="6">
        <v>0</v>
      </c>
      <c r="T33" s="6">
        <v>-0.29899999999999999</v>
      </c>
      <c r="U33" s="12">
        <v>0</v>
      </c>
      <c r="V33" s="12">
        <v>-0.29599999999999999</v>
      </c>
      <c r="W33" s="12">
        <v>0</v>
      </c>
      <c r="X33" s="12">
        <v>-0.317</v>
      </c>
      <c r="Y33" s="6">
        <v>0</v>
      </c>
      <c r="Z33" s="6">
        <v>-0.26500000000000001</v>
      </c>
      <c r="AA33" s="2" t="s">
        <v>32</v>
      </c>
    </row>
    <row r="34" spans="1:27" x14ac:dyDescent="0.2">
      <c r="A34" s="1" t="s">
        <v>30</v>
      </c>
      <c r="B34" s="2" t="s">
        <v>51</v>
      </c>
      <c r="C34" s="6">
        <v>0.26500000000000001</v>
      </c>
      <c r="D34" s="6">
        <v>100</v>
      </c>
      <c r="E34" s="6">
        <v>-0.371</v>
      </c>
      <c r="F34" s="6">
        <v>100</v>
      </c>
      <c r="G34" s="6">
        <v>0.47799999999999998</v>
      </c>
      <c r="H34" s="6">
        <v>100</v>
      </c>
      <c r="I34" s="3">
        <v>0.19700000000000001</v>
      </c>
      <c r="J34" s="3">
        <v>100</v>
      </c>
      <c r="K34" s="3">
        <v>0.504</v>
      </c>
      <c r="L34" s="3">
        <v>100</v>
      </c>
      <c r="M34" s="3">
        <v>7.6999999999999999E-2</v>
      </c>
      <c r="N34" s="3">
        <v>100</v>
      </c>
      <c r="O34" s="6">
        <v>0.26500000000000001</v>
      </c>
      <c r="P34" s="6">
        <v>100</v>
      </c>
      <c r="Q34" s="6">
        <v>0.83599999999999997</v>
      </c>
      <c r="R34" s="6">
        <v>100</v>
      </c>
      <c r="S34" s="6">
        <v>0.23799999999999999</v>
      </c>
      <c r="T34" s="6">
        <v>100</v>
      </c>
      <c r="U34" s="12">
        <v>0.28899999999999998</v>
      </c>
      <c r="V34" s="12">
        <v>100</v>
      </c>
      <c r="W34" s="12">
        <v>5.2999999999999999E-2</v>
      </c>
      <c r="X34" s="12">
        <v>100</v>
      </c>
      <c r="Y34" s="6">
        <v>0.16800000000000001</v>
      </c>
      <c r="Z34" s="6">
        <v>100</v>
      </c>
      <c r="AA34" s="2" t="s">
        <v>32</v>
      </c>
    </row>
    <row r="35" spans="1:27" x14ac:dyDescent="0.2">
      <c r="A35" s="4"/>
      <c r="B35" s="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1"/>
      <c r="Y35" s="2"/>
      <c r="Z35" s="2"/>
      <c r="AA35" s="2"/>
    </row>
    <row r="36" spans="1:27" ht="30.7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8" t="s">
        <v>70</v>
      </c>
      <c r="J36" s="8" t="s">
        <v>64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3" t="s">
        <v>30</v>
      </c>
      <c r="V36" s="13" t="s">
        <v>30</v>
      </c>
      <c r="W36" s="13" t="s">
        <v>30</v>
      </c>
      <c r="X36" s="13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0</v>
      </c>
      <c r="D37" s="3">
        <v>9.1470000000000002</v>
      </c>
      <c r="E37" s="9">
        <v>0</v>
      </c>
      <c r="F37" s="3">
        <v>9.2910000000000004</v>
      </c>
      <c r="G37" s="9">
        <v>0</v>
      </c>
      <c r="H37" s="6">
        <v>12.228999999999999</v>
      </c>
      <c r="I37" s="6">
        <f>+((1+U6/100)*(1+W6/100)*(1+Y6/100)*(G37/100+1)-1)*100</f>
        <v>0</v>
      </c>
      <c r="J37" s="6">
        <v>14.603999999999999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3" t="s">
        <v>30</v>
      </c>
      <c r="V37" s="1"/>
      <c r="W37" s="1"/>
      <c r="X37" s="13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-0.121</v>
      </c>
      <c r="D38" s="3">
        <v>55.808999999999997</v>
      </c>
      <c r="E38" s="9">
        <v>1.0747768307872718E-2</v>
      </c>
      <c r="F38" s="3">
        <v>60.598999999999997</v>
      </c>
      <c r="G38" s="9">
        <v>0.78048177436964572</v>
      </c>
      <c r="H38" s="6">
        <v>58.386000000000003</v>
      </c>
      <c r="I38" s="6">
        <f t="shared" ref="I38:I55" si="0">+((1+U7/100)*(1+W7/100)*(1+Y7/100)*(G38/100+1)-1)*100</f>
        <v>0.9841781417751605</v>
      </c>
      <c r="J38" s="6">
        <v>56.499000000000002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3" t="s">
        <v>30</v>
      </c>
      <c r="V38" s="13" t="s">
        <v>30</v>
      </c>
      <c r="W38" s="13" t="s">
        <v>30</v>
      </c>
      <c r="X38" s="13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9">
        <v>0</v>
      </c>
      <c r="F39" s="3">
        <v>0</v>
      </c>
      <c r="G39" s="9">
        <v>0</v>
      </c>
      <c r="H39" s="6">
        <v>0</v>
      </c>
      <c r="I39" s="6">
        <f t="shared" si="0"/>
        <v>0</v>
      </c>
      <c r="J39" s="6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3" t="s">
        <v>30</v>
      </c>
      <c r="V39" s="13" t="s">
        <v>30</v>
      </c>
      <c r="W39" s="13" t="s">
        <v>30</v>
      </c>
      <c r="X39" s="13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9">
        <v>0</v>
      </c>
      <c r="F40" s="3">
        <v>0</v>
      </c>
      <c r="G40" s="9">
        <v>0</v>
      </c>
      <c r="H40" s="6">
        <v>0</v>
      </c>
      <c r="I40" s="6">
        <f t="shared" si="0"/>
        <v>0</v>
      </c>
      <c r="J40" s="6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3" t="s">
        <v>30</v>
      </c>
      <c r="V40" s="13" t="s">
        <v>30</v>
      </c>
      <c r="W40" s="13" t="s">
        <v>30</v>
      </c>
      <c r="X40" s="13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9">
        <v>0</v>
      </c>
      <c r="F41" s="3">
        <v>0</v>
      </c>
      <c r="G41" s="9">
        <v>0</v>
      </c>
      <c r="H41" s="6">
        <v>0</v>
      </c>
      <c r="I41" s="6">
        <f t="shared" si="0"/>
        <v>0</v>
      </c>
      <c r="J41" s="6">
        <v>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3" t="s">
        <v>30</v>
      </c>
      <c r="V41" s="13" t="s">
        <v>30</v>
      </c>
      <c r="W41" s="13" t="s">
        <v>30</v>
      </c>
      <c r="X41" s="13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9">
        <v>0</v>
      </c>
      <c r="F42" s="3">
        <v>0</v>
      </c>
      <c r="G42" s="9">
        <v>0</v>
      </c>
      <c r="H42" s="6">
        <v>0</v>
      </c>
      <c r="I42" s="6">
        <f t="shared" si="0"/>
        <v>0</v>
      </c>
      <c r="J42" s="6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3" t="s">
        <v>30</v>
      </c>
      <c r="V42" s="13" t="s">
        <v>30</v>
      </c>
      <c r="W42" s="13" t="s">
        <v>30</v>
      </c>
      <c r="X42" s="13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9">
        <v>0</v>
      </c>
      <c r="F43" s="3">
        <v>0</v>
      </c>
      <c r="G43" s="9">
        <v>0</v>
      </c>
      <c r="H43" s="6">
        <v>0</v>
      </c>
      <c r="I43" s="6">
        <f t="shared" si="0"/>
        <v>0</v>
      </c>
      <c r="J43" s="6">
        <v>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3" t="s">
        <v>30</v>
      </c>
      <c r="V43" s="13" t="s">
        <v>30</v>
      </c>
      <c r="W43" s="13" t="s">
        <v>30</v>
      </c>
      <c r="X43" s="13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0.255</v>
      </c>
      <c r="D44" s="3">
        <v>20.99</v>
      </c>
      <c r="E44" s="9">
        <v>0.77378525625755556</v>
      </c>
      <c r="F44" s="3">
        <v>30.43</v>
      </c>
      <c r="G44" s="9">
        <v>1.3630512501957828</v>
      </c>
      <c r="H44" s="6">
        <v>29.684000000000001</v>
      </c>
      <c r="I44" s="6">
        <f t="shared" si="0"/>
        <v>1.6744882138779671</v>
      </c>
      <c r="J44" s="6">
        <v>29.161999999999999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3" t="s">
        <v>30</v>
      </c>
      <c r="V44" s="13" t="s">
        <v>30</v>
      </c>
      <c r="W44" s="13" t="s">
        <v>30</v>
      </c>
      <c r="X44" s="13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0.23699999999999999</v>
      </c>
      <c r="D45" s="3">
        <v>14.250999999999999</v>
      </c>
      <c r="E45" s="9">
        <v>0.36746697543457163</v>
      </c>
      <c r="F45" s="3">
        <v>0</v>
      </c>
      <c r="G45" s="9">
        <v>0.36746697543457163</v>
      </c>
      <c r="H45" s="6">
        <v>0</v>
      </c>
      <c r="I45" s="6">
        <f t="shared" si="0"/>
        <v>0.36746697543457163</v>
      </c>
      <c r="J45" s="6">
        <v>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9">
        <v>0</v>
      </c>
      <c r="F46" s="3">
        <v>0</v>
      </c>
      <c r="G46" s="9">
        <v>0</v>
      </c>
      <c r="H46" s="6">
        <v>0</v>
      </c>
      <c r="I46" s="6">
        <f t="shared" si="0"/>
        <v>0</v>
      </c>
      <c r="J46" s="6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9">
        <v>0</v>
      </c>
      <c r="F47" s="3">
        <v>0</v>
      </c>
      <c r="G47" s="9">
        <v>0</v>
      </c>
      <c r="H47" s="6">
        <v>0</v>
      </c>
      <c r="I47" s="6">
        <f t="shared" si="0"/>
        <v>0</v>
      </c>
      <c r="J47" s="6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9">
        <v>0</v>
      </c>
      <c r="F48" s="3">
        <v>0</v>
      </c>
      <c r="G48" s="9">
        <v>0</v>
      </c>
      <c r="H48" s="6">
        <v>0</v>
      </c>
      <c r="I48" s="6">
        <f t="shared" si="0"/>
        <v>0</v>
      </c>
      <c r="J48" s="6">
        <v>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9">
        <v>0</v>
      </c>
      <c r="F49" s="3">
        <v>0</v>
      </c>
      <c r="G49" s="9">
        <v>0</v>
      </c>
      <c r="H49" s="6">
        <v>0</v>
      </c>
      <c r="I49" s="6">
        <f t="shared" si="0"/>
        <v>0</v>
      </c>
      <c r="J49" s="6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9">
        <v>0</v>
      </c>
      <c r="F50" s="3">
        <v>0</v>
      </c>
      <c r="G50" s="9">
        <v>0</v>
      </c>
      <c r="H50" s="6">
        <v>0</v>
      </c>
      <c r="I50" s="6">
        <f t="shared" si="0"/>
        <v>0</v>
      </c>
      <c r="J50" s="6">
        <v>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9">
        <v>0</v>
      </c>
      <c r="F51" s="3">
        <v>0</v>
      </c>
      <c r="G51" s="9">
        <v>0</v>
      </c>
      <c r="H51" s="6">
        <v>0</v>
      </c>
      <c r="I51" s="6">
        <f t="shared" si="0"/>
        <v>0</v>
      </c>
      <c r="J51" s="6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9">
        <v>0</v>
      </c>
      <c r="F52" s="3">
        <v>0</v>
      </c>
      <c r="G52" s="9">
        <v>0</v>
      </c>
      <c r="H52" s="6">
        <v>0</v>
      </c>
      <c r="I52" s="6">
        <f t="shared" si="0"/>
        <v>0</v>
      </c>
      <c r="J52" s="6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3" t="s">
        <v>30</v>
      </c>
      <c r="V52" s="13" t="s">
        <v>30</v>
      </c>
      <c r="W52" s="13" t="s">
        <v>30</v>
      </c>
      <c r="X52" s="13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9">
        <v>0</v>
      </c>
      <c r="F53" s="3">
        <v>0</v>
      </c>
      <c r="G53" s="9">
        <v>0</v>
      </c>
      <c r="H53" s="6">
        <v>0</v>
      </c>
      <c r="I53" s="6">
        <f t="shared" si="0"/>
        <v>0</v>
      </c>
      <c r="J53" s="6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3" t="s">
        <v>30</v>
      </c>
      <c r="V53" s="13" t="s">
        <v>30</v>
      </c>
      <c r="W53" s="13" t="s">
        <v>30</v>
      </c>
      <c r="X53" s="13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9">
        <v>0</v>
      </c>
      <c r="F54" s="3">
        <v>0</v>
      </c>
      <c r="G54" s="9">
        <v>0</v>
      </c>
      <c r="H54" s="6">
        <v>0</v>
      </c>
      <c r="I54" s="6">
        <f t="shared" si="0"/>
        <v>0</v>
      </c>
      <c r="J54" s="6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9">
        <v>0</v>
      </c>
      <c r="F55" s="3">
        <v>-0.32</v>
      </c>
      <c r="G55" s="9">
        <v>0</v>
      </c>
      <c r="H55" s="6">
        <v>-0.3</v>
      </c>
      <c r="I55" s="6">
        <f t="shared" si="0"/>
        <v>0</v>
      </c>
      <c r="J55" s="6">
        <v>-0.27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65</v>
      </c>
      <c r="C56" s="3">
        <v>0.37</v>
      </c>
      <c r="D56" s="3">
        <v>100</v>
      </c>
      <c r="E56" s="3">
        <v>1.1519999999999999</v>
      </c>
      <c r="F56" s="3">
        <v>100</v>
      </c>
      <c r="G56" s="6">
        <v>2.5110000000000001</v>
      </c>
      <c r="H56" s="6">
        <v>100</v>
      </c>
      <c r="I56" s="15">
        <f>SUM(I37:I55)</f>
        <v>3.0261333310876992</v>
      </c>
      <c r="J56" s="6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1.42</v>
      </c>
      <c r="D57" s="3">
        <v>1.42</v>
      </c>
      <c r="E57" s="3">
        <v>3.85</v>
      </c>
      <c r="F57" s="3">
        <v>3.85</v>
      </c>
      <c r="G57" s="6">
        <v>6.72</v>
      </c>
      <c r="H57" s="6">
        <v>6.72</v>
      </c>
      <c r="I57" s="6">
        <v>7.87</v>
      </c>
      <c r="J57" s="6">
        <v>7.87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66</v>
      </c>
      <c r="C58" s="2" t="s">
        <v>30</v>
      </c>
      <c r="D58" s="2" t="s">
        <v>30</v>
      </c>
      <c r="E58" s="2" t="s">
        <v>30</v>
      </c>
      <c r="F58" s="2" t="s">
        <v>30</v>
      </c>
      <c r="G58" s="8" t="s">
        <v>30</v>
      </c>
      <c r="H58" s="8" t="s">
        <v>30</v>
      </c>
      <c r="I58" s="8" t="s">
        <v>30</v>
      </c>
      <c r="J58" s="8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3" t="s">
        <v>30</v>
      </c>
      <c r="V58" s="13" t="s">
        <v>30</v>
      </c>
      <c r="W58" s="13" t="s">
        <v>30</v>
      </c>
      <c r="X58" s="13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0.37</v>
      </c>
      <c r="D59" s="3">
        <v>100</v>
      </c>
      <c r="E59" s="9">
        <v>1.1519999999999999</v>
      </c>
      <c r="F59" s="3">
        <v>100</v>
      </c>
      <c r="G59" s="6">
        <v>2.5110000000000001</v>
      </c>
      <c r="H59" s="6">
        <v>100</v>
      </c>
      <c r="I59" s="6">
        <v>3.0339999999999998</v>
      </c>
      <c r="J59" s="6">
        <v>100</v>
      </c>
      <c r="K59" s="2" t="s">
        <v>66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3" t="s">
        <v>30</v>
      </c>
      <c r="V59" s="13" t="s">
        <v>30</v>
      </c>
      <c r="W59" s="13" t="s">
        <v>30</v>
      </c>
      <c r="X59" s="13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</v>
      </c>
      <c r="D60" s="3">
        <v>0</v>
      </c>
      <c r="E60" s="9">
        <v>0</v>
      </c>
      <c r="F60" s="3">
        <v>0</v>
      </c>
      <c r="G60" s="6">
        <v>0</v>
      </c>
      <c r="H60" s="6">
        <v>0</v>
      </c>
      <c r="I60" s="6">
        <v>0</v>
      </c>
      <c r="J60" s="6">
        <v>0</v>
      </c>
      <c r="K60" s="2" t="s">
        <v>66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65</v>
      </c>
      <c r="C61" s="3">
        <v>0.37</v>
      </c>
      <c r="D61" s="3">
        <v>100</v>
      </c>
      <c r="E61" s="3">
        <v>1.1519999999999999</v>
      </c>
      <c r="F61" s="3">
        <v>100</v>
      </c>
      <c r="G61" s="6">
        <v>2.5110000000000001</v>
      </c>
      <c r="H61" s="6">
        <v>100</v>
      </c>
      <c r="I61" s="6">
        <v>3.0339999999999998</v>
      </c>
      <c r="J61" s="6">
        <v>100</v>
      </c>
      <c r="K61" s="2" t="s">
        <v>66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3" t="s">
        <v>30</v>
      </c>
      <c r="V61" s="13" t="s">
        <v>30</v>
      </c>
      <c r="W61" s="13" t="s">
        <v>30</v>
      </c>
      <c r="X61" s="13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8" t="s">
        <v>32</v>
      </c>
      <c r="H62" s="8" t="s">
        <v>32</v>
      </c>
      <c r="I62" s="8" t="s">
        <v>32</v>
      </c>
      <c r="J62" s="8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3" t="s">
        <v>30</v>
      </c>
      <c r="V62" s="13" t="s">
        <v>30</v>
      </c>
      <c r="W62" s="13" t="s">
        <v>30</v>
      </c>
      <c r="X62" s="13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0.37</v>
      </c>
      <c r="D63" s="3">
        <v>100.197</v>
      </c>
      <c r="E63" s="9">
        <v>1.1519999999999999</v>
      </c>
      <c r="F63" s="3">
        <v>100.32</v>
      </c>
      <c r="G63" s="6">
        <v>2.5110000000000001</v>
      </c>
      <c r="H63" s="6">
        <v>100.29900000000001</v>
      </c>
      <c r="I63" s="6">
        <v>3.0339999999999998</v>
      </c>
      <c r="J63" s="6">
        <v>100.265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6" t="s">
        <v>30</v>
      </c>
      <c r="U63" s="17" t="s">
        <v>30</v>
      </c>
      <c r="V63" s="17" t="s">
        <v>30</v>
      </c>
      <c r="W63" s="17" t="s">
        <v>30</v>
      </c>
      <c r="X63" s="17" t="s">
        <v>30</v>
      </c>
      <c r="Y63" s="16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-0.19700000000000001</v>
      </c>
      <c r="E64" s="9">
        <v>0</v>
      </c>
      <c r="F64" s="3">
        <v>-0.32</v>
      </c>
      <c r="G64" s="6">
        <v>0</v>
      </c>
      <c r="H64" s="6">
        <v>-0.29899999999999999</v>
      </c>
      <c r="I64" s="6">
        <v>0</v>
      </c>
      <c r="J64" s="6">
        <v>-0.26500000000000001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6" t="s">
        <v>30</v>
      </c>
      <c r="U64" s="17" t="s">
        <v>30</v>
      </c>
      <c r="V64" s="17" t="s">
        <v>30</v>
      </c>
      <c r="W64" s="17" t="s">
        <v>30</v>
      </c>
      <c r="X64" s="17" t="s">
        <v>30</v>
      </c>
      <c r="Y64" s="16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65</v>
      </c>
      <c r="C65" s="3">
        <v>0.37</v>
      </c>
      <c r="D65" s="3">
        <v>100</v>
      </c>
      <c r="E65" s="3">
        <v>1.1519999999999999</v>
      </c>
      <c r="F65" s="3">
        <v>100</v>
      </c>
      <c r="G65" s="6">
        <v>2.5110000000000001</v>
      </c>
      <c r="H65" s="6">
        <v>100</v>
      </c>
      <c r="I65" s="6">
        <v>3.0339999999999998</v>
      </c>
      <c r="J65" s="6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6" t="s">
        <v>30</v>
      </c>
      <c r="U65" s="17" t="s">
        <v>30</v>
      </c>
      <c r="V65" s="17" t="s">
        <v>30</v>
      </c>
      <c r="W65" s="17" t="s">
        <v>30</v>
      </c>
      <c r="X65" s="17" t="s">
        <v>30</v>
      </c>
      <c r="Y65" s="16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66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8" t="s">
        <v>30</v>
      </c>
      <c r="J66" s="8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6" t="s">
        <v>30</v>
      </c>
      <c r="U66" s="17" t="s">
        <v>30</v>
      </c>
      <c r="V66" s="17" t="s">
        <v>30</v>
      </c>
      <c r="W66" s="17" t="s">
        <v>30</v>
      </c>
      <c r="X66" s="17" t="s">
        <v>30</v>
      </c>
      <c r="Y66" s="16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10" t="s">
        <v>30</v>
      </c>
      <c r="P67" s="10" t="s">
        <v>30</v>
      </c>
      <c r="Q67" s="10" t="s">
        <v>30</v>
      </c>
      <c r="R67" s="10" t="s">
        <v>30</v>
      </c>
      <c r="S67" s="10" t="s">
        <v>30</v>
      </c>
      <c r="T67" s="18" t="s">
        <v>30</v>
      </c>
      <c r="U67" s="19" t="s">
        <v>30</v>
      </c>
      <c r="V67" s="19" t="s">
        <v>30</v>
      </c>
      <c r="W67" s="19" t="s">
        <v>30</v>
      </c>
      <c r="X67" s="19" t="s">
        <v>30</v>
      </c>
      <c r="Y67" s="20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10" t="s">
        <v>30</v>
      </c>
      <c r="P68" s="10" t="s">
        <v>30</v>
      </c>
      <c r="Q68" s="10" t="s">
        <v>30</v>
      </c>
      <c r="R68" s="10" t="s">
        <v>30</v>
      </c>
      <c r="S68" s="10" t="s">
        <v>30</v>
      </c>
      <c r="T68" s="18" t="s">
        <v>30</v>
      </c>
      <c r="U68" s="19" t="s">
        <v>30</v>
      </c>
      <c r="V68" s="19" t="s">
        <v>30</v>
      </c>
      <c r="W68" s="19" t="s">
        <v>30</v>
      </c>
      <c r="X68" s="19" t="s">
        <v>30</v>
      </c>
      <c r="Y68" s="20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10" t="s">
        <v>30</v>
      </c>
      <c r="P69" s="10" t="s">
        <v>30</v>
      </c>
      <c r="Q69" s="10" t="s">
        <v>30</v>
      </c>
      <c r="R69" s="10" t="s">
        <v>30</v>
      </c>
      <c r="S69" s="10" t="s">
        <v>30</v>
      </c>
      <c r="T69" s="18" t="s">
        <v>30</v>
      </c>
      <c r="U69" s="19" t="s">
        <v>30</v>
      </c>
      <c r="V69" s="19" t="s">
        <v>30</v>
      </c>
      <c r="W69" s="19" t="s">
        <v>30</v>
      </c>
      <c r="X69" s="19" t="s">
        <v>30</v>
      </c>
      <c r="Y69" s="20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67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6" t="s">
        <v>30</v>
      </c>
      <c r="U70" s="17" t="s">
        <v>30</v>
      </c>
      <c r="V70" s="17" t="s">
        <v>30</v>
      </c>
      <c r="W70" s="17" t="s">
        <v>30</v>
      </c>
      <c r="X70" s="17" t="s">
        <v>30</v>
      </c>
      <c r="Y70" s="16" t="s">
        <v>30</v>
      </c>
      <c r="Z70" s="1" t="s">
        <v>30</v>
      </c>
      <c r="AA70" s="1" t="s">
        <v>30</v>
      </c>
    </row>
    <row r="71" spans="1:27" x14ac:dyDescent="0.2">
      <c r="A71" s="5" t="s">
        <v>68</v>
      </c>
      <c r="B71" s="5" t="s">
        <v>69</v>
      </c>
      <c r="T71" s="21"/>
      <c r="U71" s="21"/>
      <c r="V71" s="21"/>
      <c r="W71" s="21"/>
      <c r="X71" s="21"/>
      <c r="Y71" s="21"/>
    </row>
    <row r="72" spans="1:27" x14ac:dyDescent="0.2">
      <c r="T72" s="21"/>
      <c r="U72" s="21"/>
      <c r="V72" s="21"/>
      <c r="W72" s="21"/>
      <c r="X72" s="21"/>
      <c r="Y7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 Burgman</cp:lastModifiedBy>
  <dcterms:created xsi:type="dcterms:W3CDTF">2021-07-06T10:53:17Z</dcterms:created>
  <dcterms:modified xsi:type="dcterms:W3CDTF">2022-01-11T14:26:48Z</dcterms:modified>
</cp:coreProperties>
</file>