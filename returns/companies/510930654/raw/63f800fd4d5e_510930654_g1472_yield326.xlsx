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Rofim\092026\"/>
    </mc:Choice>
  </mc:AlternateContent>
  <xr:revisionPtr revIDLastSave="0" documentId="13_ncr:1_{20523A4E-9545-4676-AAC6-D175FE1A5EAB}" xr6:coauthVersionLast="47" xr6:coauthVersionMax="47" xr10:uidLastSave="{00000000-0000-0000-0000-000000000000}"/>
  <workbookProtection workbookPassword="8F07" lockStructure="1"/>
  <bookViews>
    <workbookView xWindow="28680" yWindow="-1425" windowWidth="19440" windowHeight="1515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3" i="6"/>
  <c r="B3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<sst xmlns="http://schemas.openxmlformats.org/spreadsheetml/2006/main" count="5109" uniqueCount="1412">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</sst>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3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13" workbookViewId="0">
      <selection activeCell="C37" sqref="C37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7" t="s">
        <v>903</v>
      </c>
      <c r="B1" s="17" t="s">
        <v>63</v>
      </c>
      <c r="C1" s="17" t="s">
        <v>64</v>
      </c>
      <c r="D1" s="20" t="s">
        <v>72</v>
      </c>
    </row>
    <row r="2" spans="1:4">
      <c r="A2" s="115" t="s">
        <v>65</v>
      </c>
      <c r="B2" s="18">
        <v>1</v>
      </c>
      <c r="C2" s="18" t="s">
        <v>66</v>
      </c>
      <c r="D2" s="19" t="s">
        <v>76</v>
      </c>
    </row>
    <row r="3" spans="1:4">
      <c r="A3" s="117"/>
      <c r="B3" s="18">
        <v>2</v>
      </c>
      <c r="C3" s="18" t="s">
        <v>67</v>
      </c>
      <c r="D3" s="19" t="s">
        <v>1395</v>
      </c>
    </row>
    <row r="4" spans="1:4">
      <c r="A4" s="117"/>
      <c r="B4" s="18">
        <v>3</v>
      </c>
      <c r="C4" s="18" t="s">
        <v>68</v>
      </c>
      <c r="D4" s="19" t="s">
        <v>69</v>
      </c>
    </row>
    <row r="5" spans="1:4">
      <c r="A5" s="117"/>
      <c r="B5" s="113">
        <v>4</v>
      </c>
      <c r="C5" s="18" t="s">
        <v>1397</v>
      </c>
      <c r="D5" s="19" t="s">
        <v>1398</v>
      </c>
    </row>
    <row r="6" spans="1:4">
      <c r="A6" s="117"/>
      <c r="B6" s="114"/>
      <c r="C6" s="18"/>
      <c r="D6" s="101" t="s">
        <v>1399</v>
      </c>
    </row>
    <row r="7" spans="1:4">
      <c r="A7" s="117"/>
      <c r="B7" s="114"/>
      <c r="C7" s="18"/>
      <c r="D7" s="100" t="s">
        <v>1402</v>
      </c>
    </row>
    <row r="8" spans="1:4">
      <c r="A8" s="117"/>
      <c r="B8" s="114"/>
      <c r="C8" s="18"/>
      <c r="D8" s="102" t="s">
        <v>1403</v>
      </c>
    </row>
    <row r="9" spans="1:4">
      <c r="A9" s="117"/>
      <c r="B9" s="114"/>
      <c r="C9" s="18"/>
      <c r="D9" s="19" t="s">
        <v>73</v>
      </c>
    </row>
    <row r="10" spans="1:4">
      <c r="A10" s="117"/>
      <c r="B10" s="114"/>
      <c r="C10" s="18"/>
      <c r="D10" s="101" t="s">
        <v>74</v>
      </c>
    </row>
    <row r="11" spans="1:4">
      <c r="A11" s="117"/>
      <c r="B11" s="114"/>
      <c r="C11" s="18"/>
      <c r="D11" s="100" t="s">
        <v>75</v>
      </c>
    </row>
    <row r="12" spans="1:4">
      <c r="A12" s="117"/>
      <c r="B12" s="114"/>
      <c r="C12" s="18"/>
      <c r="D12" s="19" t="s">
        <v>1410</v>
      </c>
    </row>
    <row r="13" spans="1:4">
      <c r="A13" s="117"/>
      <c r="B13" s="114"/>
      <c r="C13" s="18"/>
      <c r="D13" s="19" t="s">
        <v>1407</v>
      </c>
    </row>
    <row r="14" spans="1:4">
      <c r="A14" s="117"/>
      <c r="B14" s="114"/>
      <c r="C14" s="18"/>
      <c r="D14" s="19" t="s">
        <v>1408</v>
      </c>
    </row>
    <row r="15" spans="1:4">
      <c r="A15" s="117"/>
      <c r="B15" s="114"/>
      <c r="C15" s="18" t="s">
        <v>1400</v>
      </c>
      <c r="D15" s="19" t="s">
        <v>1401</v>
      </c>
    </row>
    <row r="16" spans="1:4">
      <c r="A16" s="117"/>
      <c r="B16" s="114"/>
      <c r="C16" s="18"/>
      <c r="D16" s="100" t="s">
        <v>1406</v>
      </c>
    </row>
    <row r="17" spans="1:4">
      <c r="A17" s="117"/>
      <c r="B17" s="114"/>
      <c r="C17" s="18"/>
      <c r="D17" s="101" t="s">
        <v>1396</v>
      </c>
    </row>
    <row r="18" spans="1:4">
      <c r="A18" s="117"/>
      <c r="B18" s="114"/>
      <c r="C18" s="18"/>
      <c r="D18" s="19" t="s">
        <v>73</v>
      </c>
    </row>
    <row r="19" spans="1:4">
      <c r="A19" s="117"/>
      <c r="B19" s="114"/>
      <c r="C19" s="18"/>
      <c r="D19" s="101" t="s">
        <v>74</v>
      </c>
    </row>
    <row r="20" spans="1:4">
      <c r="A20" s="117"/>
      <c r="B20" s="114"/>
      <c r="C20" s="18"/>
      <c r="D20" s="100" t="s">
        <v>75</v>
      </c>
    </row>
    <row r="21" spans="1:4">
      <c r="A21" s="117"/>
      <c r="B21" s="114"/>
      <c r="C21" s="18"/>
      <c r="D21" s="19" t="s">
        <v>1410</v>
      </c>
    </row>
    <row r="22" spans="1:4">
      <c r="A22" s="117"/>
      <c r="B22" s="114"/>
      <c r="C22" s="18"/>
      <c r="D22" s="19" t="s">
        <v>1404</v>
      </c>
    </row>
    <row r="23" spans="1:4">
      <c r="A23" s="116"/>
      <c r="B23" s="112"/>
      <c r="C23" s="18"/>
      <c r="D23" s="19" t="s">
        <v>1405</v>
      </c>
    </row>
    <row r="24" spans="1:4">
      <c r="A24" s="118" t="s">
        <v>901</v>
      </c>
      <c r="B24" s="112">
        <v>5</v>
      </c>
      <c r="C24" s="18" t="s">
        <v>70</v>
      </c>
      <c r="D24" s="19" t="s">
        <v>71</v>
      </c>
    </row>
    <row r="25" spans="1:4">
      <c r="A25" s="119"/>
      <c r="B25" s="18">
        <v>6</v>
      </c>
      <c r="C25" s="18"/>
      <c r="D25" s="57" t="s">
        <v>1409</v>
      </c>
    </row>
    <row r="26" spans="1:4" ht="28.5">
      <c r="A26" s="120"/>
      <c r="B26" s="61">
        <v>7</v>
      </c>
      <c r="C26" s="61"/>
      <c r="D26" s="103" t="s">
        <v>1394</v>
      </c>
    </row>
    <row r="28" spans="1:4" ht="16.899999999999999" customHeight="1">
      <c r="A28" s="22" t="s">
        <v>882</v>
      </c>
      <c r="B28" s="62">
        <v>2026</v>
      </c>
      <c r="C28" s="58"/>
    </row>
    <row r="29" spans="1:4" ht="15">
      <c r="A29" s="24" t="s">
        <v>886</v>
      </c>
      <c r="B29" s="62" t="s">
        <v>85</v>
      </c>
      <c r="C29" s="111" t="str">
        <f>VLOOKUP(B29,Tab_Type,2,0)</f>
        <v>TabB</v>
      </c>
    </row>
    <row r="30" spans="1:4" ht="15">
      <c r="A30" s="24" t="s">
        <v>887</v>
      </c>
      <c r="B30" s="62">
        <v>1472</v>
      </c>
      <c r="C30" s="58"/>
    </row>
    <row r="31" spans="1:4" ht="15">
      <c r="A31" s="24" t="s">
        <v>883</v>
      </c>
      <c r="B31" s="62" t="s">
        <v>1411</v>
      </c>
      <c r="C31" s="58"/>
    </row>
    <row r="32" spans="1:4" ht="16.899999999999999" customHeight="1">
      <c r="A32" s="26" t="s">
        <v>899</v>
      </c>
      <c r="B32" s="63" t="str">
        <f ca="1">IFERROR(VLOOKUP($B$30,INDIRECT($C$29),C32,0), "שם מסלול")</f>
        <v>השתלמות רופאים אג"ח ממשלת ישראל</v>
      </c>
      <c r="C32" s="58">
        <v>3</v>
      </c>
    </row>
    <row r="33" spans="1:4">
      <c r="A33" s="24" t="s">
        <v>893</v>
      </c>
      <c r="B33" s="63" t="str">
        <f ca="1">IFERROR(VLOOKUP($B$30,INDIRECT($C$29),C33,0),"שם חברה")</f>
        <v>יהב רופאים - חברה לניהול קופות גמל בע"מ</v>
      </c>
      <c r="C33" s="58">
        <v>4</v>
      </c>
    </row>
    <row r="34" spans="1:4">
      <c r="A34" s="24" t="s">
        <v>885</v>
      </c>
      <c r="B34" s="63">
        <f ca="1">IFERROR(VLOOKUP($B$30,INDIRECT($C$29),C34,0),"מספר ח.פ.")</f>
        <v>510930654</v>
      </c>
      <c r="C34" s="58">
        <v>5</v>
      </c>
    </row>
    <row r="35" spans="1:4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510930654_g1472_Yield326.xlsx</v>
      </c>
      <c r="C35" s="58"/>
    </row>
    <row r="36" spans="1:4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H4" zoomScaleNormal="100" workbookViewId="0">
      <selection activeCell="M12" sqref="M11:M1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818</v>
      </c>
      <c r="C2" s="42">
        <f>הנחיות!B30</f>
        <v>1472</v>
      </c>
      <c r="D2" s="122"/>
      <c r="E2" s="122"/>
    </row>
    <row r="3" spans="2:31" ht="18.75">
      <c r="B3" s="16" t="s">
        <v>28</v>
      </c>
      <c r="C3" s="41" t="str">
        <f ca="1">הנחיות!B32</f>
        <v>השתלמות רופאים אג"ח ממשלת ישראל</v>
      </c>
      <c r="D3" s="41"/>
    </row>
    <row r="4" spans="2:31" ht="18.75">
      <c r="B4" s="15" t="s">
        <v>27</v>
      </c>
      <c r="C4" s="41" t="str">
        <f ca="1">הנחיות!B33</f>
        <v>יהב רופאים - חברה לניהול קופות גמל בע"מ</v>
      </c>
      <c r="D4" s="41"/>
    </row>
    <row r="5" spans="2:31" ht="18.75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0</v>
      </c>
      <c r="D7" s="44">
        <v>1.04726217091259E-2</v>
      </c>
      <c r="E7" s="50">
        <v>0</v>
      </c>
      <c r="F7" s="51">
        <v>-1.7073856461974301E-2</v>
      </c>
      <c r="G7" s="43">
        <v>0</v>
      </c>
      <c r="H7" s="44">
        <v>1.11582282524397E-2</v>
      </c>
      <c r="I7" s="50">
        <v>0</v>
      </c>
      <c r="J7" s="51">
        <v>2.21335538895001E-3</v>
      </c>
      <c r="K7" s="43">
        <v>0</v>
      </c>
      <c r="L7" s="44">
        <v>2.8432212408845202E-3</v>
      </c>
      <c r="M7" s="50">
        <v>2.0000000000000001E-4</v>
      </c>
      <c r="N7" s="51">
        <v>1.11602476510352E-2</v>
      </c>
      <c r="O7" s="43">
        <v>0</v>
      </c>
      <c r="P7" s="44">
        <v>1.19397120526861E-2</v>
      </c>
      <c r="Q7" s="50">
        <v>0</v>
      </c>
      <c r="R7" s="51">
        <v>1.40524578495665E-2</v>
      </c>
      <c r="S7" s="43">
        <v>0</v>
      </c>
      <c r="T7" s="44">
        <v>1.4303568538781401E-2</v>
      </c>
      <c r="U7" s="50"/>
      <c r="V7" s="51"/>
      <c r="W7" s="43"/>
      <c r="X7" s="44"/>
      <c r="Y7" s="50"/>
      <c r="Z7" s="51"/>
      <c r="AE7" s="2"/>
    </row>
    <row r="8" spans="2:31" ht="30">
      <c r="B8" s="59" t="s">
        <v>904</v>
      </c>
      <c r="C8" s="43">
        <v>4.7000000000000002E-3</v>
      </c>
      <c r="D8" s="44">
        <v>0.84912131049724604</v>
      </c>
      <c r="E8" s="50">
        <v>8.9999999999999998E-4</v>
      </c>
      <c r="F8" s="51">
        <v>0.86118707571380804</v>
      </c>
      <c r="G8" s="43">
        <v>-1E-3</v>
      </c>
      <c r="H8" s="44">
        <v>0.83243373994734704</v>
      </c>
      <c r="I8" s="50">
        <v>6.7000000000000002E-3</v>
      </c>
      <c r="J8" s="51">
        <v>0.84283962235128596</v>
      </c>
      <c r="K8" s="43">
        <v>5.3E-3</v>
      </c>
      <c r="L8" s="44">
        <v>0.84024916307592601</v>
      </c>
      <c r="M8" s="50">
        <v>3.0999999999999999E-3</v>
      </c>
      <c r="N8" s="51">
        <v>0.82900685047122402</v>
      </c>
      <c r="O8" s="43">
        <v>1.6999999999999999E-3</v>
      </c>
      <c r="P8" s="44">
        <v>0.826654902410494</v>
      </c>
      <c r="Q8" s="50">
        <v>2.8999999999999998E-3</v>
      </c>
      <c r="R8" s="51">
        <v>0.82701812150912402</v>
      </c>
      <c r="S8" s="43">
        <v>-5.9999999999999995E-4</v>
      </c>
      <c r="T8" s="44">
        <v>0.82962229402967003</v>
      </c>
      <c r="U8" s="50"/>
      <c r="V8" s="51"/>
      <c r="W8" s="43"/>
      <c r="X8" s="44"/>
      <c r="Y8" s="50"/>
      <c r="Z8" s="51"/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>
      <c r="B11" s="4" t="s">
        <v>4</v>
      </c>
      <c r="C11" s="43">
        <v>5.0000000000000001E-4</v>
      </c>
      <c r="D11" s="44">
        <v>0.117903052392241</v>
      </c>
      <c r="E11" s="50">
        <v>0</v>
      </c>
      <c r="F11" s="51">
        <v>0.13268897462902501</v>
      </c>
      <c r="G11" s="43">
        <v>-6.9999999999999999E-4</v>
      </c>
      <c r="H11" s="44">
        <v>0.13314869510520699</v>
      </c>
      <c r="I11" s="50">
        <v>1.1999999999999999E-3</v>
      </c>
      <c r="J11" s="51">
        <v>0.13281899313312701</v>
      </c>
      <c r="K11" s="43">
        <v>1.2999999999999999E-3</v>
      </c>
      <c r="L11" s="44">
        <v>0.13580898006744299</v>
      </c>
      <c r="M11" s="50">
        <v>1.1999999999999999E-3</v>
      </c>
      <c r="N11" s="51">
        <v>0.13681098858069399</v>
      </c>
      <c r="O11" s="43">
        <v>0</v>
      </c>
      <c r="P11" s="44">
        <v>0.13812181218632399</v>
      </c>
      <c r="Q11" s="50">
        <v>5.0000000000000001E-4</v>
      </c>
      <c r="R11" s="51">
        <v>0.13621806978860901</v>
      </c>
      <c r="S11" s="43">
        <v>-4.0000000000000002E-4</v>
      </c>
      <c r="T11" s="44">
        <v>0.13308940223795801</v>
      </c>
      <c r="U11" s="50"/>
      <c r="V11" s="51"/>
      <c r="W11" s="43"/>
      <c r="X11" s="44"/>
      <c r="Y11" s="50"/>
      <c r="Z11" s="51"/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/>
      <c r="V12" s="51"/>
      <c r="W12" s="43"/>
      <c r="X12" s="44"/>
      <c r="Y12" s="50"/>
      <c r="Z12" s="51"/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0</v>
      </c>
      <c r="H13" s="44">
        <v>0</v>
      </c>
      <c r="I13" s="50">
        <v>0</v>
      </c>
      <c r="J13" s="51">
        <v>0</v>
      </c>
      <c r="K13" s="43">
        <v>0</v>
      </c>
      <c r="L13" s="44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/>
      <c r="V13" s="51"/>
      <c r="W13" s="43"/>
      <c r="X13" s="44"/>
      <c r="Y13" s="50"/>
      <c r="Z13" s="51"/>
      <c r="AE13" s="2"/>
    </row>
    <row r="14" spans="2:31">
      <c r="B14" s="4" t="s">
        <v>62</v>
      </c>
      <c r="C14" s="43">
        <v>-8.0000000000000004E-4</v>
      </c>
      <c r="D14" s="44">
        <v>2.24906627225595E-2</v>
      </c>
      <c r="E14" s="50">
        <v>4.0000000000000002E-4</v>
      </c>
      <c r="F14" s="51">
        <v>2.3157811388008199E-2</v>
      </c>
      <c r="G14" s="43">
        <v>-1E-4</v>
      </c>
      <c r="H14" s="44">
        <v>2.3256932286163001E-2</v>
      </c>
      <c r="I14" s="50">
        <v>-1.2999999999999999E-3</v>
      </c>
      <c r="J14" s="51">
        <v>2.2086282344982E-2</v>
      </c>
      <c r="K14" s="43">
        <v>-8.9999999999999998E-4</v>
      </c>
      <c r="L14" s="44">
        <v>2.10422546449173E-2</v>
      </c>
      <c r="M14" s="50">
        <v>1.2999999999999999E-3</v>
      </c>
      <c r="N14" s="51">
        <v>2.30195534692994E-2</v>
      </c>
      <c r="O14" s="43">
        <v>2.9999999999999997E-4</v>
      </c>
      <c r="P14" s="44">
        <v>2.3251130311748101E-2</v>
      </c>
      <c r="Q14" s="50">
        <v>-5.0000000000000001E-4</v>
      </c>
      <c r="R14" s="51">
        <v>2.2613175287554702E-2</v>
      </c>
      <c r="S14" s="43">
        <v>-1E-4</v>
      </c>
      <c r="T14" s="44">
        <v>2.2982373484483499E-2</v>
      </c>
      <c r="U14" s="50"/>
      <c r="V14" s="51"/>
      <c r="W14" s="43"/>
      <c r="X14" s="44"/>
      <c r="Y14" s="50"/>
      <c r="Z14" s="51"/>
      <c r="AE14" s="2"/>
    </row>
    <row r="15" spans="2:31">
      <c r="B15" s="4" t="s">
        <v>7</v>
      </c>
      <c r="C15" s="43">
        <v>0</v>
      </c>
      <c r="D15" s="44">
        <v>2.3120832305836999E-6</v>
      </c>
      <c r="E15" s="50">
        <v>0</v>
      </c>
      <c r="F15" s="51">
        <v>2.3848639346518199E-6</v>
      </c>
      <c r="G15" s="43">
        <v>0</v>
      </c>
      <c r="H15" s="44">
        <v>2.3904675861062799E-6</v>
      </c>
      <c r="I15" s="50">
        <v>0</v>
      </c>
      <c r="J15" s="51">
        <v>2.2539570527075698E-6</v>
      </c>
      <c r="K15" s="43">
        <v>0</v>
      </c>
      <c r="L15" s="44">
        <v>2.1489633283469401E-6</v>
      </c>
      <c r="M15" s="50">
        <v>0</v>
      </c>
      <c r="N15" s="51">
        <v>2.3598376193909701E-6</v>
      </c>
      <c r="O15" s="43">
        <v>0</v>
      </c>
      <c r="P15" s="44">
        <v>2.3827626162189002E-6</v>
      </c>
      <c r="Q15" s="50">
        <v>0</v>
      </c>
      <c r="R15" s="51">
        <v>2.3105501546038902E-6</v>
      </c>
      <c r="S15" s="43">
        <v>0</v>
      </c>
      <c r="T15" s="44">
        <v>2.3623996428620201E-6</v>
      </c>
      <c r="U15" s="50"/>
      <c r="V15" s="51"/>
      <c r="W15" s="43"/>
      <c r="X15" s="44"/>
      <c r="Y15" s="50"/>
      <c r="Z15" s="51"/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/>
      <c r="V16" s="51"/>
      <c r="W16" s="43"/>
      <c r="X16" s="44"/>
      <c r="Y16" s="50"/>
      <c r="Z16" s="51"/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>
      <c r="B18" s="4" t="s">
        <v>10</v>
      </c>
      <c r="C18" s="43">
        <v>0</v>
      </c>
      <c r="D18" s="44">
        <v>0</v>
      </c>
      <c r="E18" s="50">
        <v>0</v>
      </c>
      <c r="F18" s="51">
        <v>0</v>
      </c>
      <c r="G18" s="43">
        <v>0</v>
      </c>
      <c r="H18" s="44">
        <v>0</v>
      </c>
      <c r="I18" s="50">
        <v>0</v>
      </c>
      <c r="J18" s="51">
        <v>0</v>
      </c>
      <c r="K18" s="43">
        <v>0</v>
      </c>
      <c r="L18" s="44">
        <v>0</v>
      </c>
      <c r="M18" s="50">
        <v>0</v>
      </c>
      <c r="N18" s="51">
        <v>0</v>
      </c>
      <c r="O18" s="43">
        <v>0</v>
      </c>
      <c r="P18" s="44">
        <v>0</v>
      </c>
      <c r="Q18" s="50">
        <v>0</v>
      </c>
      <c r="R18" s="51">
        <v>0</v>
      </c>
      <c r="S18" s="43">
        <v>0</v>
      </c>
      <c r="T18" s="44">
        <v>0</v>
      </c>
      <c r="U18" s="50"/>
      <c r="V18" s="51"/>
      <c r="W18" s="43"/>
      <c r="X18" s="44"/>
      <c r="Y18" s="50"/>
      <c r="Z18" s="51"/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>
      <c r="B20" s="4" t="s">
        <v>12</v>
      </c>
      <c r="C20" s="43">
        <v>0</v>
      </c>
      <c r="D20" s="44">
        <v>1.71664852509437E-8</v>
      </c>
      <c r="E20" s="50">
        <v>0</v>
      </c>
      <c r="F20" s="51">
        <v>1.40117162619986E-8</v>
      </c>
      <c r="G20" s="43">
        <v>0</v>
      </c>
      <c r="H20" s="44">
        <v>1.41494304989587E-8</v>
      </c>
      <c r="I20" s="50">
        <v>0</v>
      </c>
      <c r="J20" s="51">
        <v>1.4342582901990599E-8</v>
      </c>
      <c r="K20" s="43">
        <v>0</v>
      </c>
      <c r="L20" s="44">
        <v>1.4317635974636101E-8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/>
      <c r="V20" s="51"/>
      <c r="W20" s="43"/>
      <c r="X20" s="44"/>
      <c r="Y20" s="50"/>
      <c r="Z20" s="51"/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>
      <c r="B25" s="4" t="s">
        <v>17</v>
      </c>
      <c r="C25" s="43">
        <v>1E-4</v>
      </c>
      <c r="D25" s="44">
        <v>1.00234291116091E-5</v>
      </c>
      <c r="E25" s="50">
        <v>0</v>
      </c>
      <c r="F25" s="51">
        <v>3.75958554821043E-5</v>
      </c>
      <c r="G25" s="43">
        <v>0</v>
      </c>
      <c r="H25" s="44">
        <v>0</v>
      </c>
      <c r="I25" s="50">
        <v>0</v>
      </c>
      <c r="J25" s="51">
        <v>3.9478482019686302E-5</v>
      </c>
      <c r="K25" s="43">
        <v>9.9999999999999707E-5</v>
      </c>
      <c r="L25" s="44">
        <v>5.4217689864544301E-5</v>
      </c>
      <c r="M25" s="50">
        <v>-1.0000000000000099E-4</v>
      </c>
      <c r="N25" s="51">
        <v>-9.8726575959578994E-12</v>
      </c>
      <c r="O25" s="43">
        <v>1E-4</v>
      </c>
      <c r="P25" s="44">
        <v>3.0060276132407301E-5</v>
      </c>
      <c r="Q25" s="50">
        <v>1E-4</v>
      </c>
      <c r="R25" s="51">
        <v>9.5865014990621406E-5</v>
      </c>
      <c r="S25" s="43">
        <v>0</v>
      </c>
      <c r="T25" s="44">
        <v>-6.9053539070856903E-10</v>
      </c>
      <c r="U25" s="50"/>
      <c r="V25" s="51"/>
      <c r="W25" s="43"/>
      <c r="X25" s="44"/>
      <c r="Y25" s="50"/>
      <c r="Z25" s="51"/>
    </row>
    <row r="26" spans="2:31">
      <c r="B26" s="5" t="s">
        <v>18</v>
      </c>
      <c r="C26" s="45">
        <v>4.4999999999999997E-3</v>
      </c>
      <c r="D26" s="46">
        <v>1</v>
      </c>
      <c r="E26" s="52">
        <v>1.2999999999999999E-3</v>
      </c>
      <c r="F26" s="53">
        <v>1</v>
      </c>
      <c r="G26" s="45">
        <v>-1.8E-3</v>
      </c>
      <c r="H26" s="46">
        <v>1</v>
      </c>
      <c r="I26" s="52">
        <v>6.6E-3</v>
      </c>
      <c r="J26" s="53">
        <v>1</v>
      </c>
      <c r="K26" s="45">
        <v>5.7999999999999996E-3</v>
      </c>
      <c r="L26" s="46">
        <v>1</v>
      </c>
      <c r="M26" s="52">
        <v>5.7000000000000002E-3</v>
      </c>
      <c r="N26" s="53">
        <v>1</v>
      </c>
      <c r="O26" s="45">
        <v>2.0999999999999999E-3</v>
      </c>
      <c r="P26" s="46">
        <v>1</v>
      </c>
      <c r="Q26" s="52">
        <v>3.0000000000000001E-3</v>
      </c>
      <c r="R26" s="53">
        <v>1</v>
      </c>
      <c r="S26" s="45">
        <v>-1.1000000000000001E-3</v>
      </c>
      <c r="T26" s="46">
        <v>1</v>
      </c>
      <c r="U26" s="52"/>
      <c r="V26" s="53"/>
      <c r="W26" s="45"/>
      <c r="X26" s="46"/>
      <c r="Y26" s="52"/>
      <c r="Z26" s="53"/>
    </row>
    <row r="27" spans="2:31">
      <c r="B27" s="9" t="s">
        <v>24</v>
      </c>
      <c r="C27" s="47">
        <v>32.121330000000498</v>
      </c>
      <c r="D27" s="66"/>
      <c r="E27" s="54">
        <v>9.0464500000000108</v>
      </c>
      <c r="F27" s="66"/>
      <c r="G27" s="47">
        <v>-12.4205900000004</v>
      </c>
      <c r="H27" s="66"/>
      <c r="I27" s="54">
        <v>46.860669999999502</v>
      </c>
      <c r="J27" s="66"/>
      <c r="K27" s="47">
        <v>40.782770000000497</v>
      </c>
      <c r="L27" s="66"/>
      <c r="M27" s="54">
        <v>40.0104699999996</v>
      </c>
      <c r="N27" s="66"/>
      <c r="O27" s="47">
        <v>14.5184099999999</v>
      </c>
      <c r="P27" s="66"/>
      <c r="Q27" s="54">
        <v>20.531870000000001</v>
      </c>
      <c r="R27" s="66"/>
      <c r="S27" s="47">
        <v>-7.3123699999998397</v>
      </c>
      <c r="T27" s="66"/>
      <c r="U27" s="54"/>
      <c r="V27" s="66"/>
      <c r="W27" s="47"/>
      <c r="X27" s="66"/>
      <c r="Y27" s="54"/>
      <c r="Z27" s="66"/>
    </row>
    <row r="28" spans="2:31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>
      <c r="B29" s="3" t="s">
        <v>19</v>
      </c>
      <c r="C29" s="48">
        <v>5.3E-3</v>
      </c>
      <c r="D29" s="49">
        <v>0.97218431509526104</v>
      </c>
      <c r="E29" s="55">
        <v>8.9999999999999998E-4</v>
      </c>
      <c r="F29" s="56">
        <v>0.97143607680238897</v>
      </c>
      <c r="G29" s="48">
        <v>-1.5E-3</v>
      </c>
      <c r="H29" s="49">
        <v>0.97149271374207602</v>
      </c>
      <c r="I29" s="55">
        <v>8.0999999999999996E-3</v>
      </c>
      <c r="J29" s="56">
        <v>0.97282898368841997</v>
      </c>
      <c r="K29" s="48">
        <v>6.8999999999999999E-3</v>
      </c>
      <c r="L29" s="49">
        <v>0.97423643127696102</v>
      </c>
      <c r="M29" s="55">
        <v>4.1999999999999997E-3</v>
      </c>
      <c r="N29" s="56">
        <v>0.97697808670295405</v>
      </c>
      <c r="O29" s="48">
        <v>1.8E-3</v>
      </c>
      <c r="P29" s="49">
        <v>0.97674648648233797</v>
      </c>
      <c r="Q29" s="55">
        <v>3.5000000000000001E-3</v>
      </c>
      <c r="R29" s="56">
        <v>0.97738451487387001</v>
      </c>
      <c r="S29" s="48">
        <v>-1E-3</v>
      </c>
      <c r="T29" s="49">
        <v>0.97701526480640999</v>
      </c>
      <c r="U29" s="55"/>
      <c r="V29" s="56"/>
      <c r="W29" s="48"/>
      <c r="X29" s="49"/>
      <c r="Y29" s="55"/>
      <c r="Z29" s="56"/>
    </row>
    <row r="30" spans="2:31">
      <c r="B30" s="4" t="s">
        <v>20</v>
      </c>
      <c r="C30" s="43">
        <v>-8.0000000000000004E-4</v>
      </c>
      <c r="D30" s="44">
        <v>2.78156849047385E-2</v>
      </c>
      <c r="E30" s="50">
        <v>4.0000000000000002E-4</v>
      </c>
      <c r="F30" s="51">
        <v>2.8563923197610901E-2</v>
      </c>
      <c r="G30" s="43">
        <v>-2.9999999999999997E-4</v>
      </c>
      <c r="H30" s="44">
        <v>2.8507286257924098E-2</v>
      </c>
      <c r="I30" s="50">
        <v>-1.5E-3</v>
      </c>
      <c r="J30" s="51">
        <v>2.71710163115804E-2</v>
      </c>
      <c r="K30" s="43">
        <v>-1.1000000000000001E-3</v>
      </c>
      <c r="L30" s="44">
        <v>2.5763568723039199E-2</v>
      </c>
      <c r="M30" s="50">
        <v>1.5E-3</v>
      </c>
      <c r="N30" s="51">
        <v>2.3021913297046101E-2</v>
      </c>
      <c r="O30" s="43">
        <v>2.9999999999999997E-4</v>
      </c>
      <c r="P30" s="44">
        <v>2.3253513517661799E-2</v>
      </c>
      <c r="Q30" s="50">
        <v>-5.0000000000000001E-4</v>
      </c>
      <c r="R30" s="51">
        <v>2.2615485126129601E-2</v>
      </c>
      <c r="S30" s="43">
        <v>-9.9999999999999896E-5</v>
      </c>
      <c r="T30" s="44">
        <v>2.29847351935905E-2</v>
      </c>
      <c r="U30" s="50"/>
      <c r="V30" s="51"/>
      <c r="W30" s="43"/>
      <c r="X30" s="44"/>
      <c r="Y30" s="50"/>
      <c r="Z30" s="51"/>
    </row>
    <row r="31" spans="2:31">
      <c r="B31" s="5" t="s">
        <v>18</v>
      </c>
      <c r="C31" s="45">
        <v>4.4999999999999997E-3</v>
      </c>
      <c r="D31" s="46">
        <v>1</v>
      </c>
      <c r="E31" s="52">
        <v>1.2999999999999999E-3</v>
      </c>
      <c r="F31" s="53">
        <v>1</v>
      </c>
      <c r="G31" s="45">
        <v>-1.8E-3</v>
      </c>
      <c r="H31" s="46">
        <v>1</v>
      </c>
      <c r="I31" s="52">
        <v>6.6E-3</v>
      </c>
      <c r="J31" s="53">
        <v>1</v>
      </c>
      <c r="K31" s="45">
        <v>5.7999999999999996E-3</v>
      </c>
      <c r="L31" s="46">
        <v>1</v>
      </c>
      <c r="M31" s="52">
        <v>5.7000000000000002E-3</v>
      </c>
      <c r="N31" s="53">
        <v>1</v>
      </c>
      <c r="O31" s="45">
        <v>2.0999999999999999E-3</v>
      </c>
      <c r="P31" s="46">
        <v>1</v>
      </c>
      <c r="Q31" s="52">
        <v>3.0000000000000001E-3</v>
      </c>
      <c r="R31" s="53">
        <v>1</v>
      </c>
      <c r="S31" s="45">
        <v>-1.1000000000000001E-3</v>
      </c>
      <c r="T31" s="46">
        <v>1</v>
      </c>
      <c r="U31" s="52"/>
      <c r="V31" s="53"/>
      <c r="W31" s="45"/>
      <c r="X31" s="46"/>
      <c r="Y31" s="52"/>
      <c r="Z31" s="53"/>
    </row>
    <row r="32" spans="2:31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>
      <c r="B33" s="3" t="s">
        <v>21</v>
      </c>
      <c r="C33" s="48">
        <v>4.4999999999999997E-3</v>
      </c>
      <c r="D33" s="49">
        <v>0.99998997657088795</v>
      </c>
      <c r="E33" s="55">
        <v>1.2999999999999999E-3</v>
      </c>
      <c r="F33" s="56">
        <v>0.99996240414451798</v>
      </c>
      <c r="G33" s="48">
        <v>-1.6999999999999999E-3</v>
      </c>
      <c r="H33" s="49">
        <v>1.0000000002081699</v>
      </c>
      <c r="I33" s="55">
        <v>6.6E-3</v>
      </c>
      <c r="J33" s="56">
        <v>0.99996052151797998</v>
      </c>
      <c r="K33" s="48">
        <v>5.7999999999999996E-3</v>
      </c>
      <c r="L33" s="49">
        <v>0.99994578231013598</v>
      </c>
      <c r="M33" s="55">
        <v>5.7999999999999996E-3</v>
      </c>
      <c r="N33" s="56">
        <v>1.0000000000098701</v>
      </c>
      <c r="O33" s="48">
        <v>2.0999999999999999E-3</v>
      </c>
      <c r="P33" s="49">
        <v>0.99996993972386805</v>
      </c>
      <c r="Q33" s="55">
        <v>2.8999999999999998E-3</v>
      </c>
      <c r="R33" s="56">
        <v>0.99990413498500896</v>
      </c>
      <c r="S33" s="48">
        <v>-1E-3</v>
      </c>
      <c r="T33" s="49">
        <v>1.0000000006905401</v>
      </c>
      <c r="U33" s="55"/>
      <c r="V33" s="56"/>
      <c r="W33" s="48"/>
      <c r="X33" s="49"/>
      <c r="Y33" s="55"/>
      <c r="Z33" s="56"/>
    </row>
    <row r="34" spans="2:26">
      <c r="B34" s="4" t="s">
        <v>22</v>
      </c>
      <c r="C34" s="43">
        <v>-2.77555756156289E-19</v>
      </c>
      <c r="D34" s="44">
        <v>1.00234291115425E-5</v>
      </c>
      <c r="E34" s="50">
        <v>0</v>
      </c>
      <c r="F34" s="51">
        <v>3.7595855481853598E-5</v>
      </c>
      <c r="G34" s="43">
        <v>-9.9999999999999802E-5</v>
      </c>
      <c r="H34" s="44">
        <v>-2.0817282120333401E-10</v>
      </c>
      <c r="I34" s="50">
        <v>5.5511151231257799E-19</v>
      </c>
      <c r="J34" s="51">
        <v>3.9478482019709497E-5</v>
      </c>
      <c r="K34" s="43">
        <v>5.5511151231257799E-19</v>
      </c>
      <c r="L34" s="44">
        <v>5.4217689864582498E-5</v>
      </c>
      <c r="M34" s="50">
        <v>-1.0000000000000099E-4</v>
      </c>
      <c r="N34" s="51">
        <v>-9.8727070962922899E-12</v>
      </c>
      <c r="O34" s="43">
        <v>-1.38777878078145E-19</v>
      </c>
      <c r="P34" s="44">
        <v>3.0060276132395399E-5</v>
      </c>
      <c r="Q34" s="50">
        <v>1E-4</v>
      </c>
      <c r="R34" s="51">
        <v>9.58650149907216E-5</v>
      </c>
      <c r="S34" s="43">
        <v>-9.9999999999999896E-5</v>
      </c>
      <c r="T34" s="44">
        <v>-6.9053612605785004E-10</v>
      </c>
      <c r="U34" s="50"/>
      <c r="V34" s="51"/>
      <c r="W34" s="43"/>
      <c r="X34" s="44"/>
      <c r="Y34" s="50"/>
      <c r="Z34" s="51"/>
    </row>
    <row r="35" spans="2:26">
      <c r="B35" s="10" t="s">
        <v>18</v>
      </c>
      <c r="C35" s="45">
        <v>4.4999999999999997E-3</v>
      </c>
      <c r="D35" s="46">
        <v>1</v>
      </c>
      <c r="E35" s="52">
        <v>1.2999999999999999E-3</v>
      </c>
      <c r="F35" s="53">
        <v>1</v>
      </c>
      <c r="G35" s="45">
        <v>-1.8E-3</v>
      </c>
      <c r="H35" s="46">
        <v>1</v>
      </c>
      <c r="I35" s="52">
        <v>6.6E-3</v>
      </c>
      <c r="J35" s="53">
        <v>1</v>
      </c>
      <c r="K35" s="45">
        <v>5.7999999999999996E-3</v>
      </c>
      <c r="L35" s="46">
        <v>1</v>
      </c>
      <c r="M35" s="52">
        <v>5.7000000000000002E-3</v>
      </c>
      <c r="N35" s="53">
        <v>1</v>
      </c>
      <c r="O35" s="45">
        <v>2.0999999999999999E-3</v>
      </c>
      <c r="P35" s="46">
        <v>1</v>
      </c>
      <c r="Q35" s="52">
        <v>3.0000000000000001E-3</v>
      </c>
      <c r="R35" s="53">
        <v>1</v>
      </c>
      <c r="S35" s="45">
        <v>-1.1000000000000001E-3</v>
      </c>
      <c r="T35" s="46">
        <v>1</v>
      </c>
      <c r="U35" s="52"/>
      <c r="V35" s="53"/>
      <c r="W35" s="45"/>
      <c r="X35" s="46"/>
      <c r="Y35" s="52"/>
      <c r="Z35" s="53"/>
    </row>
    <row r="36" spans="2:26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>
      <c r="B38" s="3" t="s">
        <v>1</v>
      </c>
      <c r="C38" s="43">
        <v>1E-4</v>
      </c>
      <c r="D38" s="44">
        <v>1.11582282524397E-2</v>
      </c>
      <c r="E38" s="50">
        <v>2.0000000000000001E-4</v>
      </c>
      <c r="F38" s="51">
        <v>1.11602476510352E-2</v>
      </c>
      <c r="G38" s="43">
        <v>2.0000000000000001E-4</v>
      </c>
      <c r="H38" s="44">
        <v>1.4303568538781401E-2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>
      <c r="B39" s="59" t="s">
        <v>904</v>
      </c>
      <c r="C39" s="43">
        <v>4.7000000000000002E-3</v>
      </c>
      <c r="D39" s="44">
        <v>0.83243373994734604</v>
      </c>
      <c r="E39" s="50">
        <v>0.02</v>
      </c>
      <c r="F39" s="51">
        <v>0.82900685047122402</v>
      </c>
      <c r="G39" s="43">
        <v>2.41E-2</v>
      </c>
      <c r="H39" s="44">
        <v>0.82962229402967003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>
      <c r="B42" s="4" t="s">
        <v>4</v>
      </c>
      <c r="C42" s="43">
        <v>-2.0000000000000001E-4</v>
      </c>
      <c r="D42" s="44">
        <v>0.13314869510520699</v>
      </c>
      <c r="E42" s="50">
        <v>3.5000000000000001E-3</v>
      </c>
      <c r="F42" s="51">
        <v>0.13681098858069399</v>
      </c>
      <c r="G42" s="43">
        <v>3.5999999999999999E-3</v>
      </c>
      <c r="H42" s="44">
        <v>0.13308940223795801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>
      <c r="B44" s="4" t="s">
        <v>6</v>
      </c>
      <c r="C44" s="43">
        <v>0</v>
      </c>
      <c r="D44" s="44">
        <v>0</v>
      </c>
      <c r="E44" s="50">
        <v>0</v>
      </c>
      <c r="F44" s="51">
        <v>0</v>
      </c>
      <c r="G44" s="43">
        <v>0</v>
      </c>
      <c r="H44" s="44">
        <v>0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>
      <c r="B45" s="14" t="s">
        <v>62</v>
      </c>
      <c r="C45" s="43">
        <v>-5.0000000000000001E-4</v>
      </c>
      <c r="D45" s="44">
        <v>2.3256932286163001E-2</v>
      </c>
      <c r="E45" s="50">
        <v>-1.2999999999999999E-3</v>
      </c>
      <c r="F45" s="51">
        <v>2.30195534692994E-2</v>
      </c>
      <c r="G45" s="43">
        <v>-1.6000000000000001E-3</v>
      </c>
      <c r="H45" s="44">
        <v>2.2982373484483499E-2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>
      <c r="B46" s="4" t="s">
        <v>7</v>
      </c>
      <c r="C46" s="43">
        <v>0</v>
      </c>
      <c r="D46" s="44">
        <v>2.3904675861062799E-6</v>
      </c>
      <c r="E46" s="50">
        <v>0</v>
      </c>
      <c r="F46" s="51">
        <v>2.3598376193909701E-6</v>
      </c>
      <c r="G46" s="43">
        <v>0</v>
      </c>
      <c r="H46" s="44">
        <v>2.3623996428620201E-6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>
      <c r="B49" s="4" t="s">
        <v>10</v>
      </c>
      <c r="C49" s="43">
        <v>0</v>
      </c>
      <c r="D49" s="44">
        <v>0</v>
      </c>
      <c r="E49" s="50">
        <v>0</v>
      </c>
      <c r="F49" s="51">
        <v>0</v>
      </c>
      <c r="G49" s="43">
        <v>0</v>
      </c>
      <c r="H49" s="44">
        <v>0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>
      <c r="B51" s="4" t="s">
        <v>12</v>
      </c>
      <c r="C51" s="43">
        <v>0</v>
      </c>
      <c r="D51" s="44">
        <v>1.41494304989587E-8</v>
      </c>
      <c r="E51" s="50">
        <v>0</v>
      </c>
      <c r="F51" s="51">
        <v>0</v>
      </c>
      <c r="G51" s="43">
        <v>0</v>
      </c>
      <c r="H51" s="44">
        <v>0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>
      <c r="B56" s="4" t="s">
        <v>17</v>
      </c>
      <c r="C56" s="43">
        <v>-9.9999999999999395E-5</v>
      </c>
      <c r="D56" s="44">
        <v>0</v>
      </c>
      <c r="E56" s="50">
        <v>-9.9999999999999395E-5</v>
      </c>
      <c r="F56" s="51">
        <v>-9.8727997045050497E-12</v>
      </c>
      <c r="G56" s="43">
        <v>1E-4</v>
      </c>
      <c r="H56" s="44">
        <v>-6.9053567492566298E-10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>
      <c r="B57" s="5" t="s">
        <v>25</v>
      </c>
      <c r="C57" s="45">
        <v>4.0000000000000001E-3</v>
      </c>
      <c r="D57" s="46">
        <v>1</v>
      </c>
      <c r="E57" s="52">
        <v>2.23E-2</v>
      </c>
      <c r="F57" s="53">
        <v>1</v>
      </c>
      <c r="G57" s="45">
        <v>2.64E-2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>
      <c r="B58" s="9" t="s">
        <v>24</v>
      </c>
      <c r="C58" s="47">
        <v>28.747190000000199</v>
      </c>
      <c r="D58" s="66"/>
      <c r="E58" s="54">
        <v>156.40110000000001</v>
      </c>
      <c r="F58" s="66"/>
      <c r="G58" s="47">
        <v>184.13901000000001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>
      <c r="B60" s="3" t="s">
        <v>19</v>
      </c>
      <c r="C60" s="48">
        <v>4.7999999999999996E-3</v>
      </c>
      <c r="D60" s="49">
        <v>0.97149271374207602</v>
      </c>
      <c r="E60" s="55">
        <v>2.4199999999999999E-2</v>
      </c>
      <c r="F60" s="56">
        <v>0.97697808670295405</v>
      </c>
      <c r="G60" s="48">
        <v>2.8500000000000001E-2</v>
      </c>
      <c r="H60" s="49">
        <v>0.97701526480640899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>
      <c r="B61" s="4" t="s">
        <v>20</v>
      </c>
      <c r="C61" s="43">
        <v>-8.0000000000000004E-4</v>
      </c>
      <c r="D61" s="44">
        <v>2.8507286257924098E-2</v>
      </c>
      <c r="E61" s="50">
        <v>-1.9E-3</v>
      </c>
      <c r="F61" s="51">
        <v>2.3021913297045699E-2</v>
      </c>
      <c r="G61" s="43">
        <v>-2.0999999999999999E-3</v>
      </c>
      <c r="H61" s="44">
        <v>2.2984735193590799E-2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>
      <c r="B62" s="5" t="s">
        <v>25</v>
      </c>
      <c r="C62" s="45">
        <v>4.0000000000000001E-3</v>
      </c>
      <c r="D62" s="46">
        <v>1</v>
      </c>
      <c r="E62" s="52">
        <v>2.23E-2</v>
      </c>
      <c r="F62" s="53">
        <v>1</v>
      </c>
      <c r="G62" s="45">
        <v>2.64E-2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>
      <c r="B64" s="3" t="s">
        <v>21</v>
      </c>
      <c r="C64" s="48">
        <v>4.0000000000000001E-3</v>
      </c>
      <c r="D64" s="49">
        <v>1.0000000002081699</v>
      </c>
      <c r="E64" s="55">
        <v>2.23E-2</v>
      </c>
      <c r="F64" s="56">
        <v>1.0000000000098701</v>
      </c>
      <c r="G64" s="48">
        <v>2.64E-2</v>
      </c>
      <c r="H64" s="49">
        <v>1.0000000006905401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>
      <c r="B65" s="4" t="s">
        <v>22</v>
      </c>
      <c r="C65" s="43">
        <v>0</v>
      </c>
      <c r="D65" s="44">
        <v>-2.0817282120333401E-10</v>
      </c>
      <c r="E65" s="50">
        <v>0</v>
      </c>
      <c r="F65" s="51">
        <v>-9.8732755304809007E-12</v>
      </c>
      <c r="G65" s="43">
        <v>0</v>
      </c>
      <c r="H65" s="44">
        <v>-6.9053555762366204E-10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>
      <c r="B66" s="10" t="s">
        <v>25</v>
      </c>
      <c r="C66" s="45">
        <v>4.0000000000000001E-3</v>
      </c>
      <c r="D66" s="46">
        <v>1</v>
      </c>
      <c r="E66" s="52">
        <v>2.23E-2</v>
      </c>
      <c r="F66" s="53">
        <v>1</v>
      </c>
      <c r="G66" s="45">
        <v>2.64E-2</v>
      </c>
      <c r="H66" s="46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Katz Tatyana</cp:lastModifiedBy>
  <cp:lastPrinted>2021-05-27T06:23:48Z</cp:lastPrinted>
  <dcterms:created xsi:type="dcterms:W3CDTF">2016-08-07T08:05:35Z</dcterms:created>
  <dcterms:modified xsi:type="dcterms:W3CDTF">2026-10-19T06:33:02Z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