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Rofim\092026\"/>
    </mc:Choice>
  </mc:AlternateContent>
  <xr:revisionPtr revIDLastSave="0" documentId="13_ncr:1_{C5D78D57-11EA-4E0A-B3D6-7A5BBCCC8F10}" xr6:coauthVersionLast="47" xr6:coauthVersionMax="47" xr10:uidLastSave="{00000000-0000-0000-0000-000000000000}"/>
  <workbookProtection workbookPassword="8F07" lockStructure="1"/>
  <bookViews>
    <workbookView xWindow="28680" yWindow="-1425" windowWidth="19440" windowHeight="1515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3" i="6"/>
  <c r="B3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<sst xmlns="http://schemas.openxmlformats.org/spreadsheetml/2006/main" count="5109" uniqueCount="1412">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</sst>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3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topLeftCell="A10" workbookViewId="0">
      <selection activeCell="B39" sqref="B39"/>
    </sheetView>
  </sheetViews>
  <sheetFormatPr defaultRowHeight="14.25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>
      <c r="A1" s="17" t="s">
        <v>903</v>
      </c>
      <c r="B1" s="17" t="s">
        <v>63</v>
      </c>
      <c r="C1" s="17" t="s">
        <v>64</v>
      </c>
      <c r="D1" s="20" t="s">
        <v>72</v>
      </c>
    </row>
    <row r="2" spans="1:4">
      <c r="A2" s="115" t="s">
        <v>65</v>
      </c>
      <c r="B2" s="18">
        <v>1</v>
      </c>
      <c r="C2" s="18" t="s">
        <v>66</v>
      </c>
      <c r="D2" s="19" t="s">
        <v>76</v>
      </c>
    </row>
    <row r="3" spans="1:4">
      <c r="A3" s="117"/>
      <c r="B3" s="18">
        <v>2</v>
      </c>
      <c r="C3" s="18" t="s">
        <v>67</v>
      </c>
      <c r="D3" s="19" t="s">
        <v>1395</v>
      </c>
    </row>
    <row r="4" spans="1:4">
      <c r="A4" s="117"/>
      <c r="B4" s="18">
        <v>3</v>
      </c>
      <c r="C4" s="18" t="s">
        <v>68</v>
      </c>
      <c r="D4" s="19" t="s">
        <v>69</v>
      </c>
    </row>
    <row r="5" spans="1:4">
      <c r="A5" s="117"/>
      <c r="B5" s="113">
        <v>4</v>
      </c>
      <c r="C5" s="18" t="s">
        <v>1397</v>
      </c>
      <c r="D5" s="19" t="s">
        <v>1398</v>
      </c>
    </row>
    <row r="6" spans="1:4">
      <c r="A6" s="117"/>
      <c r="B6" s="114"/>
      <c r="C6" s="18"/>
      <c r="D6" s="101" t="s">
        <v>1399</v>
      </c>
    </row>
    <row r="7" spans="1:4">
      <c r="A7" s="117"/>
      <c r="B7" s="114"/>
      <c r="C7" s="18"/>
      <c r="D7" s="100" t="s">
        <v>1402</v>
      </c>
    </row>
    <row r="8" spans="1:4">
      <c r="A8" s="117"/>
      <c r="B8" s="114"/>
      <c r="C8" s="18"/>
      <c r="D8" s="102" t="s">
        <v>1403</v>
      </c>
    </row>
    <row r="9" spans="1:4">
      <c r="A9" s="117"/>
      <c r="B9" s="114"/>
      <c r="C9" s="18"/>
      <c r="D9" s="19" t="s">
        <v>73</v>
      </c>
    </row>
    <row r="10" spans="1:4">
      <c r="A10" s="117"/>
      <c r="B10" s="114"/>
      <c r="C10" s="18"/>
      <c r="D10" s="101" t="s">
        <v>74</v>
      </c>
    </row>
    <row r="11" spans="1:4">
      <c r="A11" s="117"/>
      <c r="B11" s="114"/>
      <c r="C11" s="18"/>
      <c r="D11" s="100" t="s">
        <v>75</v>
      </c>
    </row>
    <row r="12" spans="1:4">
      <c r="A12" s="117"/>
      <c r="B12" s="114"/>
      <c r="C12" s="18"/>
      <c r="D12" s="19" t="s">
        <v>1410</v>
      </c>
    </row>
    <row r="13" spans="1:4">
      <c r="A13" s="117"/>
      <c r="B13" s="114"/>
      <c r="C13" s="18"/>
      <c r="D13" s="19" t="s">
        <v>1407</v>
      </c>
    </row>
    <row r="14" spans="1:4">
      <c r="A14" s="117"/>
      <c r="B14" s="114"/>
      <c r="C14" s="18"/>
      <c r="D14" s="19" t="s">
        <v>1408</v>
      </c>
    </row>
    <row r="15" spans="1:4">
      <c r="A15" s="117"/>
      <c r="B15" s="114"/>
      <c r="C15" s="18" t="s">
        <v>1400</v>
      </c>
      <c r="D15" s="19" t="s">
        <v>1401</v>
      </c>
    </row>
    <row r="16" spans="1:4">
      <c r="A16" s="117"/>
      <c r="B16" s="114"/>
      <c r="C16" s="18"/>
      <c r="D16" s="100" t="s">
        <v>1406</v>
      </c>
    </row>
    <row r="17" spans="1:4">
      <c r="A17" s="117"/>
      <c r="B17" s="114"/>
      <c r="C17" s="18"/>
      <c r="D17" s="101" t="s">
        <v>1396</v>
      </c>
    </row>
    <row r="18" spans="1:4">
      <c r="A18" s="117"/>
      <c r="B18" s="114"/>
      <c r="C18" s="18"/>
      <c r="D18" s="19" t="s">
        <v>73</v>
      </c>
    </row>
    <row r="19" spans="1:4">
      <c r="A19" s="117"/>
      <c r="B19" s="114"/>
      <c r="C19" s="18"/>
      <c r="D19" s="101" t="s">
        <v>74</v>
      </c>
    </row>
    <row r="20" spans="1:4">
      <c r="A20" s="117"/>
      <c r="B20" s="114"/>
      <c r="C20" s="18"/>
      <c r="D20" s="100" t="s">
        <v>75</v>
      </c>
    </row>
    <row r="21" spans="1:4">
      <c r="A21" s="117"/>
      <c r="B21" s="114"/>
      <c r="C21" s="18"/>
      <c r="D21" s="19" t="s">
        <v>1410</v>
      </c>
    </row>
    <row r="22" spans="1:4">
      <c r="A22" s="117"/>
      <c r="B22" s="114"/>
      <c r="C22" s="18"/>
      <c r="D22" s="19" t="s">
        <v>1404</v>
      </c>
    </row>
    <row r="23" spans="1:4">
      <c r="A23" s="116"/>
      <c r="B23" s="112"/>
      <c r="C23" s="18"/>
      <c r="D23" s="19" t="s">
        <v>1405</v>
      </c>
    </row>
    <row r="24" spans="1:4">
      <c r="A24" s="118" t="s">
        <v>901</v>
      </c>
      <c r="B24" s="112">
        <v>5</v>
      </c>
      <c r="C24" s="18" t="s">
        <v>70</v>
      </c>
      <c r="D24" s="19" t="s">
        <v>71</v>
      </c>
    </row>
    <row r="25" spans="1:4">
      <c r="A25" s="119"/>
      <c r="B25" s="18">
        <v>6</v>
      </c>
      <c r="C25" s="18"/>
      <c r="D25" s="57" t="s">
        <v>1409</v>
      </c>
    </row>
    <row r="26" spans="1:4" ht="28.5">
      <c r="A26" s="120"/>
      <c r="B26" s="61">
        <v>7</v>
      </c>
      <c r="C26" s="61"/>
      <c r="D26" s="103" t="s">
        <v>1394</v>
      </c>
    </row>
    <row r="28" spans="1:4" ht="16.899999999999999" customHeight="1">
      <c r="A28" s="22" t="s">
        <v>882</v>
      </c>
      <c r="B28" s="62">
        <v>2026</v>
      </c>
      <c r="C28" s="58"/>
    </row>
    <row r="29" spans="1:4" ht="15">
      <c r="A29" s="24" t="s">
        <v>886</v>
      </c>
      <c r="B29" s="62" t="s">
        <v>85</v>
      </c>
      <c r="C29" s="111" t="str">
        <f>VLOOKUP(B29,Tab_Type,2,0)</f>
        <v>TabB</v>
      </c>
    </row>
    <row r="30" spans="1:4" ht="15">
      <c r="A30" s="24" t="s">
        <v>887</v>
      </c>
      <c r="B30" s="62">
        <v>12435</v>
      </c>
      <c r="C30" s="58"/>
    </row>
    <row r="31" spans="1:4" ht="15">
      <c r="A31" s="24" t="s">
        <v>883</v>
      </c>
      <c r="B31" s="62" t="s">
        <v>1411</v>
      </c>
      <c r="C31" s="58"/>
    </row>
    <row r="32" spans="1:4" ht="16.899999999999999" customHeight="1">
      <c r="A32" s="26" t="s">
        <v>899</v>
      </c>
      <c r="B32" s="63" t="str">
        <f ca="1">IFERROR(VLOOKUP($B$30,INDIRECT($C$29),C32,0), "שם מסלול")</f>
        <v xml:space="preserve">השתלמות רופאים מניות </v>
      </c>
      <c r="C32" s="58">
        <v>3</v>
      </c>
    </row>
    <row r="33" spans="1:4">
      <c r="A33" s="24" t="s">
        <v>893</v>
      </c>
      <c r="B33" s="63" t="str">
        <f ca="1">IFERROR(VLOOKUP($B$30,INDIRECT($C$29),C33,0),"שם חברה")</f>
        <v>יהב רופאים - חברה לניהול קופות גמל בע"מ</v>
      </c>
      <c r="C33" s="58">
        <v>4</v>
      </c>
    </row>
    <row r="34" spans="1:4">
      <c r="A34" s="24" t="s">
        <v>885</v>
      </c>
      <c r="B34" s="63">
        <f ca="1">IFERROR(VLOOKUP($B$30,INDIRECT($C$29),C34,0),"מספר ח.פ.")</f>
        <v>510930654</v>
      </c>
      <c r="C34" s="58">
        <v>5</v>
      </c>
    </row>
    <row r="35" spans="1:4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510930654_g12435_Yield326.xlsx</v>
      </c>
      <c r="C35" s="58"/>
    </row>
    <row r="36" spans="1:4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topLeftCell="E19" zoomScale="95" zoomScaleNormal="95" workbookViewId="0">
      <selection activeCell="M39" sqref="M39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818</v>
      </c>
      <c r="C2" s="42">
        <f>הנחיות!B30</f>
        <v>12435</v>
      </c>
      <c r="D2" s="122"/>
      <c r="E2" s="122"/>
    </row>
    <row r="3" spans="2:31" ht="18.75">
      <c r="B3" s="16" t="s">
        <v>28</v>
      </c>
      <c r="C3" s="41" t="str">
        <f ca="1">הנחיות!B32</f>
        <v xml:space="preserve">השתלמות רופאים מניות </v>
      </c>
      <c r="D3" s="41"/>
    </row>
    <row r="4" spans="2:31" ht="18.75">
      <c r="B4" s="15" t="s">
        <v>27</v>
      </c>
      <c r="C4" s="41" t="str">
        <f ca="1">הנחיות!B33</f>
        <v>יהב רופאים - חברה לניהול קופות גמל בע"מ</v>
      </c>
      <c r="D4" s="41"/>
    </row>
    <row r="5" spans="2:31" ht="18.75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-1E-4</v>
      </c>
      <c r="D7" s="44">
        <v>4.65421610500064E-2</v>
      </c>
      <c r="E7" s="50">
        <v>0</v>
      </c>
      <c r="F7" s="51">
        <v>-2.4148095649061002E-3</v>
      </c>
      <c r="G7" s="43">
        <v>2.9999999999999997E-4</v>
      </c>
      <c r="H7" s="44">
        <v>3.2797776741855598E-2</v>
      </c>
      <c r="I7" s="50">
        <v>2.0000000000000001E-4</v>
      </c>
      <c r="J7" s="51">
        <v>3.36039536042642E-2</v>
      </c>
      <c r="K7" s="43">
        <v>-2.9999999999999997E-4</v>
      </c>
      <c r="L7" s="44">
        <v>5.7096552941608501E-2</v>
      </c>
      <c r="M7" s="50">
        <v>6.9999999999999999E-4</v>
      </c>
      <c r="N7" s="51">
        <v>4.5429292768103501E-2</v>
      </c>
      <c r="O7" s="43">
        <v>1E-4</v>
      </c>
      <c r="P7" s="44">
        <v>2.1113017529903001E-2</v>
      </c>
      <c r="Q7" s="50">
        <v>-2.0000000000000001E-4</v>
      </c>
      <c r="R7" s="51">
        <v>9.1558473918805696E-3</v>
      </c>
      <c r="S7" s="43">
        <v>1E-4</v>
      </c>
      <c r="T7" s="44">
        <v>1.6444023831248801E-2</v>
      </c>
      <c r="U7" s="50"/>
      <c r="V7" s="51"/>
      <c r="W7" s="43"/>
      <c r="X7" s="44"/>
      <c r="Y7" s="50"/>
      <c r="Z7" s="51"/>
      <c r="AE7" s="2"/>
    </row>
    <row r="8" spans="2:31" ht="30">
      <c r="B8" s="59" t="s">
        <v>904</v>
      </c>
      <c r="C8" s="43">
        <v>1E-4</v>
      </c>
      <c r="D8" s="44">
        <v>1.7142606507007399E-2</v>
      </c>
      <c r="E8" s="50">
        <v>1E-4</v>
      </c>
      <c r="F8" s="51">
        <v>1.7061230957209999E-2</v>
      </c>
      <c r="G8" s="43">
        <v>0</v>
      </c>
      <c r="H8" s="44">
        <v>0</v>
      </c>
      <c r="I8" s="50">
        <v>0</v>
      </c>
      <c r="J8" s="51">
        <v>0</v>
      </c>
      <c r="K8" s="43">
        <v>0</v>
      </c>
      <c r="L8" s="44">
        <v>0</v>
      </c>
      <c r="M8" s="50">
        <v>0</v>
      </c>
      <c r="N8" s="51">
        <v>0</v>
      </c>
      <c r="O8" s="43">
        <v>0</v>
      </c>
      <c r="P8" s="44">
        <v>0</v>
      </c>
      <c r="Q8" s="50">
        <v>0</v>
      </c>
      <c r="R8" s="51">
        <v>0</v>
      </c>
      <c r="S8" s="43">
        <v>0</v>
      </c>
      <c r="T8" s="44">
        <v>0</v>
      </c>
      <c r="U8" s="50"/>
      <c r="V8" s="51"/>
      <c r="W8" s="43"/>
      <c r="X8" s="44"/>
      <c r="Y8" s="50"/>
      <c r="Z8" s="51"/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/>
      <c r="V10" s="51"/>
      <c r="W10" s="43"/>
      <c r="X10" s="44"/>
      <c r="Y10" s="50"/>
      <c r="Z10" s="51"/>
      <c r="AE10" s="2"/>
    </row>
    <row r="11" spans="2:31">
      <c r="B11" s="4" t="s">
        <v>4</v>
      </c>
      <c r="C11" s="43">
        <v>0</v>
      </c>
      <c r="D11" s="44">
        <v>4.8690190530662897E-3</v>
      </c>
      <c r="E11" s="50">
        <v>-1E-4</v>
      </c>
      <c r="F11" s="51">
        <v>4.7689568118537999E-3</v>
      </c>
      <c r="G11" s="43">
        <v>1E-4</v>
      </c>
      <c r="H11" s="44">
        <v>5.0589900166682598E-3</v>
      </c>
      <c r="I11" s="50">
        <v>0</v>
      </c>
      <c r="J11" s="51">
        <v>4.5521491959566E-3</v>
      </c>
      <c r="K11" s="43">
        <v>-1E-4</v>
      </c>
      <c r="L11" s="44">
        <v>4.2101785972137604E-3</v>
      </c>
      <c r="M11" s="50">
        <v>2.0000000000000001E-4</v>
      </c>
      <c r="N11" s="51">
        <v>4.2224886264777897E-3</v>
      </c>
      <c r="O11" s="43">
        <v>1E-4</v>
      </c>
      <c r="P11" s="44">
        <v>4.3882995375112499E-3</v>
      </c>
      <c r="Q11" s="50">
        <v>-1E-4</v>
      </c>
      <c r="R11" s="51">
        <v>4.1973956646763197E-3</v>
      </c>
      <c r="S11" s="43">
        <v>1E-4</v>
      </c>
      <c r="T11" s="44">
        <v>4.2515527205753099E-3</v>
      </c>
      <c r="U11" s="50"/>
      <c r="V11" s="51"/>
      <c r="W11" s="43"/>
      <c r="X11" s="44"/>
      <c r="Y11" s="50"/>
      <c r="Z11" s="51"/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/>
      <c r="V12" s="51"/>
      <c r="W12" s="43"/>
      <c r="X12" s="44"/>
      <c r="Y12" s="50"/>
      <c r="Z12" s="51"/>
      <c r="AE12" s="2"/>
    </row>
    <row r="13" spans="2:31">
      <c r="B13" s="4" t="s">
        <v>6</v>
      </c>
      <c r="C13" s="43">
        <v>1.4800000000000001E-2</v>
      </c>
      <c r="D13" s="44">
        <v>0.33101683934357101</v>
      </c>
      <c r="E13" s="50">
        <v>2.5999999999999999E-3</v>
      </c>
      <c r="F13" s="51">
        <v>0.35942329107969301</v>
      </c>
      <c r="G13" s="43">
        <v>-3.5000000000000001E-3</v>
      </c>
      <c r="H13" s="44">
        <v>0.39690725918950898</v>
      </c>
      <c r="I13" s="50">
        <v>3.09E-2</v>
      </c>
      <c r="J13" s="51">
        <v>0.39853866968252799</v>
      </c>
      <c r="K13" s="43">
        <v>2.01E-2</v>
      </c>
      <c r="L13" s="44">
        <v>0.39691512399765599</v>
      </c>
      <c r="M13" s="50">
        <v>-7.9000000000000008E-3</v>
      </c>
      <c r="N13" s="51">
        <v>0.38713361281410302</v>
      </c>
      <c r="O13" s="43">
        <v>-8.0000000000000004E-4</v>
      </c>
      <c r="P13" s="44">
        <v>0.40484836386115403</v>
      </c>
      <c r="Q13" s="50">
        <v>1.2200000000000001E-2</v>
      </c>
      <c r="R13" s="51">
        <v>0.40803513300780803</v>
      </c>
      <c r="S13" s="43">
        <v>5.0000000000000001E-3</v>
      </c>
      <c r="T13" s="44">
        <v>0.40430279967606603</v>
      </c>
      <c r="U13" s="50"/>
      <c r="V13" s="51"/>
      <c r="W13" s="43"/>
      <c r="X13" s="44"/>
      <c r="Y13" s="50"/>
      <c r="Z13" s="51"/>
      <c r="AE13" s="2"/>
    </row>
    <row r="14" spans="2:31">
      <c r="B14" s="4" t="s">
        <v>62</v>
      </c>
      <c r="C14" s="43">
        <v>5.3E-3</v>
      </c>
      <c r="D14" s="44">
        <v>0.558096709758096</v>
      </c>
      <c r="E14" s="50">
        <v>5.3E-3</v>
      </c>
      <c r="F14" s="51">
        <v>0.57677820501107002</v>
      </c>
      <c r="G14" s="43">
        <v>-2.9000000000000001E-2</v>
      </c>
      <c r="H14" s="44">
        <v>0.53292525668579005</v>
      </c>
      <c r="I14" s="50">
        <v>2.0400000000000001E-2</v>
      </c>
      <c r="J14" s="51">
        <v>0.51153707097455303</v>
      </c>
      <c r="K14" s="43">
        <v>2.7000000000000001E-3</v>
      </c>
      <c r="L14" s="44">
        <v>0.50293743140173797</v>
      </c>
      <c r="M14" s="50">
        <v>7.3000000000000001E-3</v>
      </c>
      <c r="N14" s="51">
        <v>0.53372676407398301</v>
      </c>
      <c r="O14" s="43">
        <v>7.4999999999999997E-3</v>
      </c>
      <c r="P14" s="44">
        <v>0.54599345153692203</v>
      </c>
      <c r="Q14" s="50">
        <v>5.8999999999999999E-3</v>
      </c>
      <c r="R14" s="51">
        <v>0.53671573474126899</v>
      </c>
      <c r="S14" s="43">
        <v>3.2000000000000002E-3</v>
      </c>
      <c r="T14" s="44">
        <v>0.53301312694477898</v>
      </c>
      <c r="U14" s="50"/>
      <c r="V14" s="51"/>
      <c r="W14" s="43"/>
      <c r="X14" s="44"/>
      <c r="Y14" s="50"/>
      <c r="Z14" s="51"/>
      <c r="AE14" s="2"/>
    </row>
    <row r="15" spans="2:31">
      <c r="B15" s="4" t="s">
        <v>7</v>
      </c>
      <c r="C15" s="43">
        <v>1E-4</v>
      </c>
      <c r="D15" s="44">
        <v>3.3454266572807298E-2</v>
      </c>
      <c r="E15" s="50">
        <v>1.1000000000000001E-3</v>
      </c>
      <c r="F15" s="51">
        <v>3.69020338366121E-2</v>
      </c>
      <c r="G15" s="43">
        <v>-3.8999999999999998E-3</v>
      </c>
      <c r="H15" s="44">
        <v>2.9038392928296599E-2</v>
      </c>
      <c r="I15" s="50">
        <v>1E-3</v>
      </c>
      <c r="J15" s="51">
        <v>3.2443677092292199E-2</v>
      </c>
      <c r="K15" s="43">
        <v>-2.0000000000000001E-4</v>
      </c>
      <c r="L15" s="44">
        <v>3.0662165675671E-2</v>
      </c>
      <c r="M15" s="50">
        <v>2.0999999999999999E-3</v>
      </c>
      <c r="N15" s="51">
        <v>3.25931939281573E-2</v>
      </c>
      <c r="O15" s="43">
        <v>1E-3</v>
      </c>
      <c r="P15" s="44">
        <v>3.4235917517857602E-2</v>
      </c>
      <c r="Q15" s="50">
        <v>5.0000000000000001E-4</v>
      </c>
      <c r="R15" s="51">
        <v>3.7040505777660201E-2</v>
      </c>
      <c r="S15" s="43">
        <v>-6.9999999999999999E-4</v>
      </c>
      <c r="T15" s="44">
        <v>4.1310284673425103E-2</v>
      </c>
      <c r="U15" s="50"/>
      <c r="V15" s="51"/>
      <c r="W15" s="43"/>
      <c r="X15" s="44"/>
      <c r="Y15" s="50"/>
      <c r="Z15" s="51"/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9.8169720395181806E-3</v>
      </c>
      <c r="S16" s="43">
        <v>-5.9999999999999995E-4</v>
      </c>
      <c r="T16" s="44">
        <v>9.1596350955317606E-3</v>
      </c>
      <c r="U16" s="50"/>
      <c r="V16" s="51"/>
      <c r="W16" s="43"/>
      <c r="X16" s="44"/>
      <c r="Y16" s="50"/>
      <c r="Z16" s="51"/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7.8092726020924597E-5</v>
      </c>
      <c r="K17" s="43">
        <v>0</v>
      </c>
      <c r="L17" s="44">
        <v>1.0497365608135E-4</v>
      </c>
      <c r="M17" s="50">
        <v>0</v>
      </c>
      <c r="N17" s="51">
        <v>1.05809182680287E-4</v>
      </c>
      <c r="O17" s="43">
        <v>0</v>
      </c>
      <c r="P17" s="44">
        <v>9.62938814850059E-5</v>
      </c>
      <c r="Q17" s="50">
        <v>0</v>
      </c>
      <c r="R17" s="51">
        <v>8.8439471486660706E-5</v>
      </c>
      <c r="S17" s="43">
        <v>-1E-4</v>
      </c>
      <c r="T17" s="44">
        <v>0</v>
      </c>
      <c r="U17" s="50"/>
      <c r="V17" s="51"/>
      <c r="W17" s="43"/>
      <c r="X17" s="44"/>
      <c r="Y17" s="50"/>
      <c r="Z17" s="51"/>
      <c r="AE17" s="2"/>
    </row>
    <row r="18" spans="2:31">
      <c r="B18" s="4" t="s">
        <v>10</v>
      </c>
      <c r="C18" s="43">
        <v>5.4999999999999997E-3</v>
      </c>
      <c r="D18" s="44">
        <v>7.15790637963156E-3</v>
      </c>
      <c r="E18" s="50">
        <v>-1E-3</v>
      </c>
      <c r="F18" s="51">
        <v>6.0903449934052801E-3</v>
      </c>
      <c r="G18" s="43">
        <v>-2.2000000000000001E-3</v>
      </c>
      <c r="H18" s="44">
        <v>4.1012874488800402E-3</v>
      </c>
      <c r="I18" s="50">
        <v>1.37E-2</v>
      </c>
      <c r="J18" s="51">
        <v>1.69510653629634E-2</v>
      </c>
      <c r="K18" s="43">
        <v>9.4999999999999998E-3</v>
      </c>
      <c r="L18" s="44">
        <v>6.7187935241896897E-3</v>
      </c>
      <c r="M18" s="50">
        <v>-9.2999999999999992E-3</v>
      </c>
      <c r="N18" s="51">
        <v>-2.4836387050734101E-3</v>
      </c>
      <c r="O18" s="43">
        <v>-6.1000000000000004E-3</v>
      </c>
      <c r="P18" s="44">
        <v>-8.7521626950085793E-3</v>
      </c>
      <c r="Q18" s="50">
        <v>4.4999999999999997E-3</v>
      </c>
      <c r="R18" s="51">
        <v>-4.0416423560008796E-3</v>
      </c>
      <c r="S18" s="43">
        <v>-3.5999999999999999E-3</v>
      </c>
      <c r="T18" s="44">
        <v>-7.6134032352586601E-3</v>
      </c>
      <c r="U18" s="50"/>
      <c r="V18" s="51"/>
      <c r="W18" s="43"/>
      <c r="X18" s="44"/>
      <c r="Y18" s="50"/>
      <c r="Z18" s="51"/>
      <c r="AE18" s="2"/>
    </row>
    <row r="19" spans="2:31">
      <c r="B19" s="4" t="s">
        <v>11</v>
      </c>
      <c r="C19" s="43">
        <v>6.9999999999999999E-4</v>
      </c>
      <c r="D19" s="44">
        <v>1.6395714927148601E-3</v>
      </c>
      <c r="E19" s="50">
        <v>-4.0000000000000002E-4</v>
      </c>
      <c r="F19" s="51">
        <v>1.25683938220616E-3</v>
      </c>
      <c r="G19" s="43">
        <v>-5.9999999999999995E-4</v>
      </c>
      <c r="H19" s="44">
        <v>-8.2896291666007004E-4</v>
      </c>
      <c r="I19" s="50">
        <v>3.3E-3</v>
      </c>
      <c r="J19" s="51">
        <v>2.2262387872340099E-3</v>
      </c>
      <c r="K19" s="43">
        <v>1.5E-3</v>
      </c>
      <c r="L19" s="44">
        <v>1.1989171466567201E-3</v>
      </c>
      <c r="M19" s="50">
        <v>-2E-3</v>
      </c>
      <c r="N19" s="51">
        <v>-7.27522616624179E-4</v>
      </c>
      <c r="O19" s="43">
        <v>-1.2999999999999999E-3</v>
      </c>
      <c r="P19" s="44">
        <v>-2.0323238108774901E-3</v>
      </c>
      <c r="Q19" s="50">
        <v>8.9999999999999998E-4</v>
      </c>
      <c r="R19" s="51">
        <v>-1.1332712522419801E-3</v>
      </c>
      <c r="S19" s="43">
        <v>-1.1999999999999999E-3</v>
      </c>
      <c r="T19" s="44">
        <v>-8.6801939723236E-4</v>
      </c>
      <c r="U19" s="50"/>
      <c r="V19" s="51"/>
      <c r="W19" s="43"/>
      <c r="X19" s="44"/>
      <c r="Y19" s="50"/>
      <c r="Z19" s="51"/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/>
      <c r="V20" s="51"/>
      <c r="W20" s="43"/>
      <c r="X20" s="44"/>
      <c r="Y20" s="50"/>
      <c r="Z20" s="51"/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/>
      <c r="V21" s="51"/>
      <c r="W21" s="43"/>
      <c r="X21" s="44"/>
      <c r="Y21" s="50"/>
      <c r="Z21" s="51"/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/>
      <c r="V22" s="51"/>
      <c r="W22" s="43"/>
      <c r="X22" s="44"/>
      <c r="Y22" s="50"/>
      <c r="Z22" s="51"/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>
      <c r="B25" s="4" t="s">
        <v>17</v>
      </c>
      <c r="C25" s="43">
        <v>-1.0000000000000099E-4</v>
      </c>
      <c r="D25" s="44">
        <v>8.0919843099237697E-5</v>
      </c>
      <c r="E25" s="50">
        <v>9.9999999999999707E-5</v>
      </c>
      <c r="F25" s="51">
        <v>1.33907492856257E-4</v>
      </c>
      <c r="G25" s="43">
        <v>0</v>
      </c>
      <c r="H25" s="44">
        <v>0</v>
      </c>
      <c r="I25" s="50">
        <v>1.00000000000004E-4</v>
      </c>
      <c r="J25" s="51">
        <v>6.9082574187286503E-5</v>
      </c>
      <c r="K25" s="43">
        <v>0</v>
      </c>
      <c r="L25" s="44">
        <v>1.5586305918483399E-4</v>
      </c>
      <c r="M25" s="50">
        <v>-2.0000000000000001E-4</v>
      </c>
      <c r="N25" s="51">
        <v>0</v>
      </c>
      <c r="O25" s="43">
        <v>2.0000000000000001E-4</v>
      </c>
      <c r="P25" s="44">
        <v>1.0914264105380199E-4</v>
      </c>
      <c r="Q25" s="50">
        <v>0</v>
      </c>
      <c r="R25" s="51">
        <v>1.2488551394405201E-4</v>
      </c>
      <c r="S25" s="43">
        <v>0</v>
      </c>
      <c r="T25" s="44">
        <v>0</v>
      </c>
      <c r="U25" s="50"/>
      <c r="V25" s="51"/>
      <c r="W25" s="43"/>
      <c r="X25" s="44"/>
      <c r="Y25" s="50"/>
      <c r="Z25" s="51"/>
    </row>
    <row r="26" spans="2:31">
      <c r="B26" s="5" t="s">
        <v>18</v>
      </c>
      <c r="C26" s="45">
        <v>2.63E-2</v>
      </c>
      <c r="D26" s="46">
        <v>1</v>
      </c>
      <c r="E26" s="52">
        <v>7.7000000000000002E-3</v>
      </c>
      <c r="F26" s="53">
        <v>1</v>
      </c>
      <c r="G26" s="45">
        <v>-3.8800000000000001E-2</v>
      </c>
      <c r="H26" s="46">
        <v>1</v>
      </c>
      <c r="I26" s="52">
        <v>6.9599999999999995E-2</v>
      </c>
      <c r="J26" s="53">
        <v>1</v>
      </c>
      <c r="K26" s="45">
        <v>3.32E-2</v>
      </c>
      <c r="L26" s="46">
        <v>1</v>
      </c>
      <c r="M26" s="52">
        <v>-9.1000000000000004E-3</v>
      </c>
      <c r="N26" s="53">
        <v>1</v>
      </c>
      <c r="O26" s="45">
        <v>6.9999999999999999E-4</v>
      </c>
      <c r="P26" s="46">
        <v>1</v>
      </c>
      <c r="Q26" s="52">
        <v>2.3699999999999999E-2</v>
      </c>
      <c r="R26" s="53">
        <v>1</v>
      </c>
      <c r="S26" s="45">
        <v>2.2000000000000001E-3</v>
      </c>
      <c r="T26" s="46">
        <v>1</v>
      </c>
      <c r="U26" s="52"/>
      <c r="V26" s="53"/>
      <c r="W26" s="45"/>
      <c r="X26" s="46"/>
      <c r="Y26" s="52"/>
      <c r="Z26" s="53"/>
    </row>
    <row r="27" spans="2:31">
      <c r="B27" s="9" t="s">
        <v>24</v>
      </c>
      <c r="C27" s="47">
        <v>558.86373999999898</v>
      </c>
      <c r="D27" s="66"/>
      <c r="E27" s="54">
        <v>174.823970000005</v>
      </c>
      <c r="F27" s="66"/>
      <c r="G27" s="47">
        <v>-901.58708999999897</v>
      </c>
      <c r="H27" s="66"/>
      <c r="I27" s="54">
        <v>1556.7120299999999</v>
      </c>
      <c r="J27" s="66"/>
      <c r="K27" s="47">
        <v>795.83882000000006</v>
      </c>
      <c r="L27" s="66"/>
      <c r="M27" s="54">
        <v>-226.86588999999901</v>
      </c>
      <c r="N27" s="66"/>
      <c r="O27" s="47">
        <v>9.3226400000022807</v>
      </c>
      <c r="P27" s="66"/>
      <c r="Q27" s="54">
        <v>586.94866999999999</v>
      </c>
      <c r="R27" s="66"/>
      <c r="S27" s="47">
        <v>57.801539999999399</v>
      </c>
      <c r="T27" s="66"/>
      <c r="U27" s="54"/>
      <c r="V27" s="66"/>
      <c r="W27" s="47"/>
      <c r="X27" s="66"/>
      <c r="Y27" s="54"/>
      <c r="Z27" s="66"/>
    </row>
    <row r="28" spans="2:31"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2:31">
      <c r="B29" s="3" t="s">
        <v>19</v>
      </c>
      <c r="C29" s="48">
        <v>2.3900000000000001E-2</v>
      </c>
      <c r="D29" s="49">
        <v>0.51149228521733803</v>
      </c>
      <c r="E29" s="55">
        <v>6.9999999999999999E-4</v>
      </c>
      <c r="F29" s="56">
        <v>0.47188989310350299</v>
      </c>
      <c r="G29" s="48">
        <v>-1.46E-2</v>
      </c>
      <c r="H29" s="49">
        <v>0.48745074197160698</v>
      </c>
      <c r="I29" s="55">
        <v>5.0099999999999999E-2</v>
      </c>
      <c r="J29" s="56">
        <v>0.49604957936980598</v>
      </c>
      <c r="K29" s="48">
        <v>2.8299999999999999E-2</v>
      </c>
      <c r="L29" s="49">
        <v>0.51661689464655403</v>
      </c>
      <c r="M29" s="55">
        <v>-3.7400000000000003E-2</v>
      </c>
      <c r="N29" s="56">
        <v>0.48599461471020899</v>
      </c>
      <c r="O29" s="48">
        <v>-5.8999999999999999E-3</v>
      </c>
      <c r="P29" s="49">
        <v>0.47601169269023802</v>
      </c>
      <c r="Q29" s="55">
        <v>1.7100000000000001E-2</v>
      </c>
      <c r="R29" s="56">
        <v>0.485928105559014</v>
      </c>
      <c r="S29" s="48">
        <v>-3.5000000000000001E-3</v>
      </c>
      <c r="T29" s="49">
        <v>0.487983503534894</v>
      </c>
      <c r="U29" s="55"/>
      <c r="V29" s="56"/>
      <c r="W29" s="48"/>
      <c r="X29" s="49"/>
      <c r="Y29" s="55"/>
      <c r="Z29" s="56"/>
    </row>
    <row r="30" spans="2:31">
      <c r="B30" s="4" t="s">
        <v>20</v>
      </c>
      <c r="C30" s="43">
        <v>2.3999999999999998E-3</v>
      </c>
      <c r="D30" s="44">
        <v>0.48850771478266197</v>
      </c>
      <c r="E30" s="50">
        <v>7.0000000000000001E-3</v>
      </c>
      <c r="F30" s="51">
        <v>0.52811010689649696</v>
      </c>
      <c r="G30" s="43">
        <v>-2.4199999999999999E-2</v>
      </c>
      <c r="H30" s="44">
        <v>0.51254925802839302</v>
      </c>
      <c r="I30" s="50">
        <v>1.95E-2</v>
      </c>
      <c r="J30" s="51">
        <v>0.50395042063019402</v>
      </c>
      <c r="K30" s="43">
        <v>4.8999999999999998E-3</v>
      </c>
      <c r="L30" s="44">
        <v>0.48338310535344597</v>
      </c>
      <c r="M30" s="50">
        <v>2.8299999999999999E-2</v>
      </c>
      <c r="N30" s="51">
        <v>0.51400538528979101</v>
      </c>
      <c r="O30" s="43">
        <v>6.6E-3</v>
      </c>
      <c r="P30" s="44">
        <v>0.52398830730976198</v>
      </c>
      <c r="Q30" s="50">
        <v>6.6E-3</v>
      </c>
      <c r="R30" s="51">
        <v>0.514071894440986</v>
      </c>
      <c r="S30" s="43">
        <v>5.7000000000000002E-3</v>
      </c>
      <c r="T30" s="44">
        <v>0.51201649646510605</v>
      </c>
      <c r="U30" s="50"/>
      <c r="V30" s="51"/>
      <c r="W30" s="43"/>
      <c r="X30" s="44"/>
      <c r="Y30" s="50"/>
      <c r="Z30" s="51"/>
    </row>
    <row r="31" spans="2:31">
      <c r="B31" s="5" t="s">
        <v>18</v>
      </c>
      <c r="C31" s="45">
        <v>2.63E-2</v>
      </c>
      <c r="D31" s="46">
        <v>1</v>
      </c>
      <c r="E31" s="52">
        <v>7.7000000000000002E-3</v>
      </c>
      <c r="F31" s="53">
        <v>1</v>
      </c>
      <c r="G31" s="45">
        <v>-3.8800000000000001E-2</v>
      </c>
      <c r="H31" s="46">
        <v>1</v>
      </c>
      <c r="I31" s="52">
        <v>6.9599999999999995E-2</v>
      </c>
      <c r="J31" s="53">
        <v>1</v>
      </c>
      <c r="K31" s="45">
        <v>3.32E-2</v>
      </c>
      <c r="L31" s="46">
        <v>1</v>
      </c>
      <c r="M31" s="52">
        <v>-9.1000000000000004E-3</v>
      </c>
      <c r="N31" s="53">
        <v>1</v>
      </c>
      <c r="O31" s="45">
        <v>6.9999999999999999E-4</v>
      </c>
      <c r="P31" s="46">
        <v>1</v>
      </c>
      <c r="Q31" s="52">
        <v>2.3699999999999999E-2</v>
      </c>
      <c r="R31" s="53">
        <v>1</v>
      </c>
      <c r="S31" s="45">
        <v>2.2000000000000001E-3</v>
      </c>
      <c r="T31" s="46">
        <v>1</v>
      </c>
      <c r="U31" s="52"/>
      <c r="V31" s="53"/>
      <c r="W31" s="45"/>
      <c r="X31" s="46"/>
      <c r="Y31" s="52"/>
      <c r="Z31" s="53"/>
    </row>
    <row r="32" spans="2:31">
      <c r="B32" s="1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2:26">
      <c r="B33" s="3" t="s">
        <v>21</v>
      </c>
      <c r="C33" s="48">
        <v>2.07E-2</v>
      </c>
      <c r="D33" s="49">
        <v>0.99276117377727002</v>
      </c>
      <c r="E33" s="55">
        <v>8.6E-3</v>
      </c>
      <c r="F33" s="56">
        <v>0.99377574751373798</v>
      </c>
      <c r="G33" s="48">
        <v>-3.6499999999999998E-2</v>
      </c>
      <c r="H33" s="49">
        <v>0.99589871264546004</v>
      </c>
      <c r="I33" s="55">
        <v>5.5500000000000001E-2</v>
      </c>
      <c r="J33" s="56">
        <v>0.982901759336828</v>
      </c>
      <c r="K33" s="48">
        <v>2.35E-2</v>
      </c>
      <c r="L33" s="49">
        <v>0.99302036976054497</v>
      </c>
      <c r="M33" s="55">
        <v>2.9999999999999997E-4</v>
      </c>
      <c r="N33" s="56">
        <v>1.0023778295942001</v>
      </c>
      <c r="O33" s="48">
        <v>6.7000000000000002E-3</v>
      </c>
      <c r="P33" s="49">
        <v>1.00857659902992</v>
      </c>
      <c r="Q33" s="55">
        <v>1.9099999999999999E-2</v>
      </c>
      <c r="R33" s="56">
        <v>0.99401134533105195</v>
      </c>
      <c r="S33" s="48">
        <v>6.7000000000000002E-3</v>
      </c>
      <c r="T33" s="49">
        <v>0.99845376844886202</v>
      </c>
      <c r="U33" s="55"/>
      <c r="V33" s="56"/>
      <c r="W33" s="48"/>
      <c r="X33" s="49"/>
      <c r="Y33" s="55"/>
      <c r="Z33" s="56"/>
    </row>
    <row r="34" spans="2:26">
      <c r="B34" s="4" t="s">
        <v>22</v>
      </c>
      <c r="C34" s="43">
        <v>5.5999999999999999E-3</v>
      </c>
      <c r="D34" s="44">
        <v>7.2388262227298297E-3</v>
      </c>
      <c r="E34" s="50">
        <v>-8.9999999999999998E-4</v>
      </c>
      <c r="F34" s="51">
        <v>6.2242524862616E-3</v>
      </c>
      <c r="G34" s="43">
        <v>-2.3E-3</v>
      </c>
      <c r="H34" s="44">
        <v>4.1012873545404303E-3</v>
      </c>
      <c r="I34" s="50">
        <v>1.41E-2</v>
      </c>
      <c r="J34" s="51">
        <v>1.7098240663171602E-2</v>
      </c>
      <c r="K34" s="43">
        <v>9.7000000000000003E-3</v>
      </c>
      <c r="L34" s="44">
        <v>6.9796302394551602E-3</v>
      </c>
      <c r="M34" s="50">
        <v>-9.4000000000000004E-3</v>
      </c>
      <c r="N34" s="51">
        <v>-2.37782959420142E-3</v>
      </c>
      <c r="O34" s="43">
        <v>-6.0000000000000001E-3</v>
      </c>
      <c r="P34" s="44">
        <v>-8.5765990299164607E-3</v>
      </c>
      <c r="Q34" s="50">
        <v>4.5999999999999999E-3</v>
      </c>
      <c r="R34" s="51">
        <v>5.9886546689477101E-3</v>
      </c>
      <c r="S34" s="43">
        <v>-4.4999999999999997E-3</v>
      </c>
      <c r="T34" s="44">
        <v>1.5462315511382699E-3</v>
      </c>
      <c r="U34" s="50"/>
      <c r="V34" s="51"/>
      <c r="W34" s="43"/>
      <c r="X34" s="44"/>
      <c r="Y34" s="50"/>
      <c r="Z34" s="51"/>
    </row>
    <row r="35" spans="2:26">
      <c r="B35" s="10" t="s">
        <v>18</v>
      </c>
      <c r="C35" s="45">
        <v>2.63E-2</v>
      </c>
      <c r="D35" s="46">
        <v>1</v>
      </c>
      <c r="E35" s="52">
        <v>7.7000000000000002E-3</v>
      </c>
      <c r="F35" s="53">
        <v>1</v>
      </c>
      <c r="G35" s="45">
        <v>-3.8800000000000001E-2</v>
      </c>
      <c r="H35" s="46">
        <v>1</v>
      </c>
      <c r="I35" s="52">
        <v>6.9599999999999995E-2</v>
      </c>
      <c r="J35" s="53">
        <v>1</v>
      </c>
      <c r="K35" s="45">
        <v>3.32E-2</v>
      </c>
      <c r="L35" s="46">
        <v>1</v>
      </c>
      <c r="M35" s="52">
        <v>-9.1000000000000004E-3</v>
      </c>
      <c r="N35" s="53">
        <v>1</v>
      </c>
      <c r="O35" s="45">
        <v>6.9999999999999999E-4</v>
      </c>
      <c r="P35" s="46">
        <v>1</v>
      </c>
      <c r="Q35" s="52">
        <v>2.3699999999999999E-2</v>
      </c>
      <c r="R35" s="53">
        <v>1</v>
      </c>
      <c r="S35" s="45">
        <v>2.2000000000000001E-3</v>
      </c>
      <c r="T35" s="46">
        <v>1</v>
      </c>
      <c r="U35" s="52"/>
      <c r="V35" s="53"/>
      <c r="W35" s="45"/>
      <c r="X35" s="46"/>
      <c r="Y35" s="52"/>
      <c r="Z35" s="53"/>
    </row>
    <row r="36" spans="2:26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>
      <c r="B38" s="3" t="s">
        <v>1</v>
      </c>
      <c r="C38" s="43">
        <v>1E-4</v>
      </c>
      <c r="D38" s="44">
        <v>3.2797776741855598E-2</v>
      </c>
      <c r="E38" s="50">
        <v>5.9999999999999995E-4</v>
      </c>
      <c r="F38" s="51">
        <v>4.5429292768103501E-2</v>
      </c>
      <c r="G38" s="43">
        <v>6.9999999999999999E-4</v>
      </c>
      <c r="H38" s="44">
        <v>1.6444023831248801E-2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>
      <c r="B39" s="59" t="s">
        <v>904</v>
      </c>
      <c r="C39" s="43">
        <v>1E-4</v>
      </c>
      <c r="D39" s="44">
        <v>0</v>
      </c>
      <c r="E39" s="50">
        <v>2.0000000000000001E-4</v>
      </c>
      <c r="F39" s="51">
        <v>0</v>
      </c>
      <c r="G39" s="43">
        <v>2.9999999999999997E-4</v>
      </c>
      <c r="H39" s="44">
        <v>0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>
      <c r="B42" s="4" t="s">
        <v>4</v>
      </c>
      <c r="C42" s="43">
        <v>0</v>
      </c>
      <c r="D42" s="44">
        <v>5.0589900166682598E-3</v>
      </c>
      <c r="E42" s="50">
        <v>0</v>
      </c>
      <c r="F42" s="51">
        <v>4.2224886264777897E-3</v>
      </c>
      <c r="G42" s="43">
        <v>2.0000000000000001E-4</v>
      </c>
      <c r="H42" s="44">
        <v>4.2515527205753099E-3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>
      <c r="B44" s="4" t="s">
        <v>6</v>
      </c>
      <c r="C44" s="43">
        <v>1.37E-2</v>
      </c>
      <c r="D44" s="44">
        <v>0.39690725918950898</v>
      </c>
      <c r="E44" s="50">
        <v>5.7599999999999998E-2</v>
      </c>
      <c r="F44" s="51">
        <v>0.38713361281410302</v>
      </c>
      <c r="G44" s="43">
        <v>7.51E-2</v>
      </c>
      <c r="H44" s="44">
        <v>0.40430279967606603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>
      <c r="B45" s="14" t="s">
        <v>62</v>
      </c>
      <c r="C45" s="43">
        <v>-1.8800000000000001E-2</v>
      </c>
      <c r="D45" s="44">
        <v>0.53292525668579005</v>
      </c>
      <c r="E45" s="50">
        <v>1.1299999999999999E-2</v>
      </c>
      <c r="F45" s="51">
        <v>0.53372676407398301</v>
      </c>
      <c r="G45" s="43">
        <v>2.8299999999999999E-2</v>
      </c>
      <c r="H45" s="44">
        <v>0.53301312694477898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>
      <c r="B46" s="4" t="s">
        <v>7</v>
      </c>
      <c r="C46" s="43">
        <v>-2.8E-3</v>
      </c>
      <c r="D46" s="44">
        <v>2.9038392928296599E-2</v>
      </c>
      <c r="E46" s="50">
        <v>0</v>
      </c>
      <c r="F46" s="51">
        <v>3.25931939281573E-2</v>
      </c>
      <c r="G46" s="43">
        <v>1E-3</v>
      </c>
      <c r="H46" s="44">
        <v>4.1310284673425103E-2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-4.0000000000000002E-4</v>
      </c>
      <c r="H47" s="44">
        <v>9.1596350955317606E-3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>
      <c r="B48" s="4" t="s">
        <v>9</v>
      </c>
      <c r="C48" s="43">
        <v>0</v>
      </c>
      <c r="D48" s="44">
        <v>0</v>
      </c>
      <c r="E48" s="50">
        <v>1E-4</v>
      </c>
      <c r="F48" s="51">
        <v>1.05809182680287E-4</v>
      </c>
      <c r="G48" s="43">
        <v>1E-4</v>
      </c>
      <c r="H48" s="44">
        <v>0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>
      <c r="B49" s="4" t="s">
        <v>10</v>
      </c>
      <c r="C49" s="43">
        <v>2.2000000000000001E-3</v>
      </c>
      <c r="D49" s="44">
        <v>4.1012874488800402E-3</v>
      </c>
      <c r="E49" s="50">
        <v>1.61E-2</v>
      </c>
      <c r="F49" s="51">
        <v>-2.4836387050734101E-3</v>
      </c>
      <c r="G49" s="43">
        <v>1.09E-2</v>
      </c>
      <c r="H49" s="44">
        <v>-7.6134032352586601E-3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>
      <c r="B50" s="4" t="s">
        <v>11</v>
      </c>
      <c r="C50" s="43">
        <v>-2.9999999999999997E-4</v>
      </c>
      <c r="D50" s="44">
        <v>-8.2896291666007004E-4</v>
      </c>
      <c r="E50" s="50">
        <v>2.5000000000000001E-3</v>
      </c>
      <c r="F50" s="51">
        <v>-7.27522616624179E-4</v>
      </c>
      <c r="G50" s="43">
        <v>8.9999999999999998E-4</v>
      </c>
      <c r="H50" s="44">
        <v>-8.6801939723236E-4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>
      <c r="B56" s="4" t="s">
        <v>17</v>
      </c>
      <c r="C56" s="43">
        <v>-1.0000000000000099E-4</v>
      </c>
      <c r="D56" s="44">
        <v>-9.4339400814923499E-11</v>
      </c>
      <c r="E56" s="50">
        <v>1.9999999999997499E-4</v>
      </c>
      <c r="F56" s="51">
        <v>-7.1807761204203999E-11</v>
      </c>
      <c r="G56" s="43">
        <v>5.0000000000000001E-4</v>
      </c>
      <c r="H56" s="44">
        <v>-3.0913494475197398E-10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>
      <c r="B57" s="5" t="s">
        <v>25</v>
      </c>
      <c r="C57" s="45">
        <v>-5.8999999999999999E-3</v>
      </c>
      <c r="D57" s="46">
        <v>1</v>
      </c>
      <c r="E57" s="52">
        <v>8.8599999999999998E-2</v>
      </c>
      <c r="F57" s="53">
        <v>1</v>
      </c>
      <c r="G57" s="45">
        <v>0.1176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>
      <c r="B58" s="9" t="s">
        <v>24</v>
      </c>
      <c r="C58" s="47">
        <v>-167.89937999999501</v>
      </c>
      <c r="D58" s="66"/>
      <c r="E58" s="54">
        <v>1957.78558</v>
      </c>
      <c r="F58" s="66"/>
      <c r="G58" s="47">
        <v>2611.8584300000098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>
      <c r="B59" s="6"/>
      <c r="C59" s="73"/>
      <c r="D59" s="73"/>
      <c r="E59" s="73"/>
      <c r="F59" s="73"/>
      <c r="G59" s="73"/>
      <c r="H59" s="73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>
      <c r="B60" s="3" t="s">
        <v>19</v>
      </c>
      <c r="C60" s="48">
        <v>9.4000000000000004E-3</v>
      </c>
      <c r="D60" s="49">
        <v>0.48745074197160698</v>
      </c>
      <c r="E60" s="55">
        <v>5.0200000000000002E-2</v>
      </c>
      <c r="F60" s="56">
        <v>0.48599461471020899</v>
      </c>
      <c r="G60" s="48">
        <v>5.8799999999999998E-2</v>
      </c>
      <c r="H60" s="49">
        <v>0.487983503534894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>
      <c r="B61" s="4" t="s">
        <v>20</v>
      </c>
      <c r="C61" s="43">
        <v>-1.5299999999999999E-2</v>
      </c>
      <c r="D61" s="44">
        <v>0.51254925802839302</v>
      </c>
      <c r="E61" s="50">
        <v>3.8399999999999997E-2</v>
      </c>
      <c r="F61" s="51">
        <v>0.51400538528979101</v>
      </c>
      <c r="G61" s="43">
        <v>5.8799999999999998E-2</v>
      </c>
      <c r="H61" s="44">
        <v>0.51201649646510605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>
      <c r="B62" s="5" t="s">
        <v>25</v>
      </c>
      <c r="C62" s="45">
        <v>-5.8999999999999999E-3</v>
      </c>
      <c r="D62" s="46">
        <v>1</v>
      </c>
      <c r="E62" s="52">
        <v>8.8599999999999998E-2</v>
      </c>
      <c r="F62" s="53">
        <v>1</v>
      </c>
      <c r="G62" s="45">
        <v>0.1176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>
      <c r="B63" s="6"/>
      <c r="C63" s="73"/>
      <c r="D63" s="73"/>
      <c r="E63" s="73"/>
      <c r="F63" s="73"/>
      <c r="G63" s="73"/>
      <c r="H63" s="73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>
      <c r="B64" s="3" t="s">
        <v>21</v>
      </c>
      <c r="C64" s="48">
        <v>-8.2000000000000007E-3</v>
      </c>
      <c r="D64" s="49">
        <v>0.99589871264545904</v>
      </c>
      <c r="E64" s="55">
        <v>7.2099999999999997E-2</v>
      </c>
      <c r="F64" s="56">
        <v>1.0023778295942001</v>
      </c>
      <c r="G64" s="48">
        <v>0.1071</v>
      </c>
      <c r="H64" s="49">
        <v>0.99845376844886202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>
      <c r="B65" s="4" t="s">
        <v>22</v>
      </c>
      <c r="C65" s="43">
        <v>2.3E-3</v>
      </c>
      <c r="D65" s="44">
        <v>4.1012873545408597E-3</v>
      </c>
      <c r="E65" s="50">
        <v>1.6500000000000001E-2</v>
      </c>
      <c r="F65" s="51">
        <v>-2.3778295942009902E-3</v>
      </c>
      <c r="G65" s="43">
        <v>1.0500000000000001E-2</v>
      </c>
      <c r="H65" s="44">
        <v>1.5462315511382699E-3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>
      <c r="B66" s="10" t="s">
        <v>25</v>
      </c>
      <c r="C66" s="45">
        <v>-5.8999999999999999E-3</v>
      </c>
      <c r="D66" s="46">
        <v>1</v>
      </c>
      <c r="E66" s="52">
        <v>8.8599999999999998E-2</v>
      </c>
      <c r="F66" s="53">
        <v>1</v>
      </c>
      <c r="G66" s="45">
        <v>0.1176</v>
      </c>
      <c r="H66" s="46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>
      <c r="G700" s="107">
        <v>200000</v>
      </c>
      <c r="H700" s="107" t="s">
        <v>83</v>
      </c>
      <c r="I700" s="107" t="s">
        <v>1387</v>
      </c>
      <c r="J700" s="107" t="s">
        <v>80</v>
      </c>
      <c r="K700" s="108">
        <v>123456789</v>
      </c>
      <c r="L700" s="77" t="s">
        <v>85</v>
      </c>
    </row>
    <row r="701" spans="7:1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Katz Tatyana</cp:lastModifiedBy>
  <cp:lastPrinted>2021-05-27T06:23:48Z</cp:lastPrinted>
  <dcterms:created xsi:type="dcterms:W3CDTF">2016-08-07T08:05:35Z</dcterms:created>
  <dcterms:modified xsi:type="dcterms:W3CDTF">2026-10-19T06:34:43Z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