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Heb University\"/>
    </mc:Choice>
  </mc:AlternateContent>
  <xr:revisionPtr revIDLastSave="0" documentId="13_ncr:1_{1FDE6DAF-4DF7-4DE3-9BA9-0528FDBFFF4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5" l="1"/>
  <c r="C29" i="6" l="1"/>
  <c r="B32" i="6"/>
  <c r="AA4" i="8" l="1"/>
  <c r="B33" i="6"/>
  <c r="B3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<sst xmlns="http://schemas.openxmlformats.org/spreadsheetml/2006/main" count="5109" uniqueCount="1412">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</sst>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31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3" fontId="3" fillId="2" borderId="15" xfId="421" applyNumberFormat="1" applyFont="1" applyFill="1" applyBorder="1" applyAlignment="1" applyProtection="1">
      <alignment horizontal="center"/>
      <protection locked="0"/>
    </xf>
    <xf numFmtId="3" fontId="3" fillId="2" borderId="30" xfId="421" applyNumberFormat="1" applyFont="1" applyFill="1" applyBorder="1" applyAlignment="1" applyProtection="1">
      <alignment horizontal="center"/>
      <protection locked="0"/>
    </xf>
    <xf numFmtId="3" fontId="3" fillId="5" borderId="15" xfId="421" applyNumberFormat="1" applyFont="1" applyFill="1" applyBorder="1" applyAlignment="1" applyProtection="1">
      <alignment horizontal="center"/>
      <protection locked="0"/>
    </xf>
    <xf numFmtId="3" fontId="3" fillId="5" borderId="30" xfId="421" applyNumberFormat="1" applyFont="1" applyFill="1" applyBorder="1" applyAlignment="1" applyProtection="1">
      <alignment horizontal="center"/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2" borderId="32" xfId="421" applyNumberFormat="1" applyFont="1" applyFill="1" applyBorder="1" applyProtection="1">
      <protection locked="0"/>
    </xf>
    <xf numFmtId="10" fontId="3" fillId="2" borderId="4" xfId="421" applyNumberFormat="1" applyFont="1" applyFill="1" applyBorder="1" applyProtection="1">
      <protection locked="0"/>
    </xf>
    <xf numFmtId="10" fontId="3" fillId="2" borderId="2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1" sqref="B31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7228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תגמולים האוניברסיטה העברית עד 50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חברת הגמל לעובדי האוניברסיטה העברית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510960586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510960586_g7228_Yield326.xlsx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F49" sqref="F49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7228</v>
      </c>
      <c r="D2" s="130"/>
      <c r="E2" s="130"/>
    </row>
    <row r="3" spans="2:31" ht="18.75">
      <c r="B3" s="16" t="s">
        <v>28</v>
      </c>
      <c r="C3" s="41" t="str">
        <f ca="1">הנחיות!B32</f>
        <v>תגמולים האוניברסיטה העברית עד 50</v>
      </c>
      <c r="D3" s="41"/>
    </row>
    <row r="4" spans="2:31" ht="18.75">
      <c r="B4" s="15" t="s">
        <v>27</v>
      </c>
      <c r="C4" s="41" t="str">
        <f ca="1">הנחיות!B33</f>
        <v>חברת הגמל לעובדי האוניברסיטה העברית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-5.0000000000000001E-4</v>
      </c>
      <c r="D7" s="44">
        <v>4.9305129897893797E-2</v>
      </c>
      <c r="E7" s="50">
        <v>0</v>
      </c>
      <c r="F7" s="51">
        <v>5.6068339713122799E-2</v>
      </c>
      <c r="G7" s="43">
        <v>-5.9999999999999995E-4</v>
      </c>
      <c r="H7" s="44">
        <v>5.1560898893251397E-2</v>
      </c>
      <c r="I7" s="50">
        <v>-5.0000000000000001E-4</v>
      </c>
      <c r="J7" s="51">
        <v>5.0473114195756702E-2</v>
      </c>
      <c r="K7" s="43">
        <v>-8.0000000000000004E-4</v>
      </c>
      <c r="L7" s="44">
        <v>4.3382309274911997E-2</v>
      </c>
      <c r="M7" s="50">
        <v>1.2999999999999999E-3</v>
      </c>
      <c r="N7" s="51">
        <v>5.1497013668674901E-2</v>
      </c>
      <c r="O7" s="43">
        <v>8.9999999999999998E-4</v>
      </c>
      <c r="P7" s="44">
        <v>4.9288537656201302E-2</v>
      </c>
      <c r="Q7" s="50">
        <v>-5.0000000000000001E-4</v>
      </c>
      <c r="R7" s="51">
        <v>2.6976941486585599E-2</v>
      </c>
      <c r="S7" s="43">
        <v>1E-4</v>
      </c>
      <c r="T7" s="44">
        <v>2.22644038966789E-2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-1E-4</v>
      </c>
      <c r="D8" s="44">
        <v>9.3773464483971003E-2</v>
      </c>
      <c r="E8" s="50">
        <v>0</v>
      </c>
      <c r="F8" s="51">
        <v>0.11584548834809601</v>
      </c>
      <c r="G8" s="43">
        <v>-1E-3</v>
      </c>
      <c r="H8" s="44">
        <v>0.117135037159981</v>
      </c>
      <c r="I8" s="50">
        <v>5.0000000000000001E-4</v>
      </c>
      <c r="J8" s="51">
        <v>0.113852003632611</v>
      </c>
      <c r="K8" s="43">
        <v>1.8E-3</v>
      </c>
      <c r="L8" s="44">
        <v>0.11352006751541401</v>
      </c>
      <c r="M8" s="50">
        <v>8.0000000000000004E-4</v>
      </c>
      <c r="N8" s="51">
        <v>0.13390416556062401</v>
      </c>
      <c r="O8" s="43">
        <v>-4.0000000000000002E-4</v>
      </c>
      <c r="P8" s="44">
        <v>0.13456245353517801</v>
      </c>
      <c r="Q8" s="50">
        <v>2.9999999999999997E-4</v>
      </c>
      <c r="R8" s="51">
        <v>0.15648464838455101</v>
      </c>
      <c r="S8" s="43">
        <v>-4.0000000000000002E-4</v>
      </c>
      <c r="T8" s="44">
        <v>0.15621696152235401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5.9999999999999995E-4</v>
      </c>
      <c r="D11" s="44">
        <v>0.104136569333453</v>
      </c>
      <c r="E11" s="50">
        <v>-1E-4</v>
      </c>
      <c r="F11" s="51">
        <v>0.105754445485328</v>
      </c>
      <c r="G11" s="43">
        <v>-5.0000000000000001E-4</v>
      </c>
      <c r="H11" s="44">
        <v>0.111087048037222</v>
      </c>
      <c r="I11" s="50">
        <v>1.1999999999999999E-3</v>
      </c>
      <c r="J11" s="51">
        <v>0.108091380917547</v>
      </c>
      <c r="K11" s="43">
        <v>1.4E-3</v>
      </c>
      <c r="L11" s="44">
        <v>0.107820884287188</v>
      </c>
      <c r="M11" s="50">
        <v>8.0000000000000004E-4</v>
      </c>
      <c r="N11" s="51">
        <v>0.10907343939156</v>
      </c>
      <c r="O11" s="43">
        <v>-2.9999999999999997E-4</v>
      </c>
      <c r="P11" s="44">
        <v>0.11018524507337001</v>
      </c>
      <c r="Q11" s="50">
        <v>5.0000000000000001E-4</v>
      </c>
      <c r="R11" s="51">
        <v>0.109386220672319</v>
      </c>
      <c r="S11" s="43">
        <v>-5.0000000000000001E-4</v>
      </c>
      <c r="T11" s="44">
        <v>0.113316568738188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1E-4</v>
      </c>
      <c r="D12" s="44">
        <v>2.0247580540667899E-3</v>
      </c>
      <c r="E12" s="50">
        <v>0</v>
      </c>
      <c r="F12" s="51">
        <v>2.0338422922421199E-3</v>
      </c>
      <c r="G12" s="43">
        <v>1E-4</v>
      </c>
      <c r="H12" s="44">
        <v>2.0631971544716301E-3</v>
      </c>
      <c r="I12" s="50">
        <v>0</v>
      </c>
      <c r="J12" s="51">
        <v>2.0152880180072598E-3</v>
      </c>
      <c r="K12" s="43">
        <v>0</v>
      </c>
      <c r="L12" s="44">
        <v>2.0127297963466102E-3</v>
      </c>
      <c r="M12" s="50">
        <v>0</v>
      </c>
      <c r="N12" s="51">
        <v>1.7146110831314299E-3</v>
      </c>
      <c r="O12" s="43">
        <v>0</v>
      </c>
      <c r="P12" s="44">
        <v>1.7395089974578499E-3</v>
      </c>
      <c r="Q12" s="50">
        <v>0</v>
      </c>
      <c r="R12" s="51">
        <v>1.73683278624051E-3</v>
      </c>
      <c r="S12" s="43">
        <v>0</v>
      </c>
      <c r="T12" s="44">
        <v>1.4337347074791899E-3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8.5000000000000006E-3</v>
      </c>
      <c r="D13" s="44">
        <v>0.243968837570604</v>
      </c>
      <c r="E13" s="50">
        <v>2.8999999999999998E-3</v>
      </c>
      <c r="F13" s="51">
        <v>0.26335180445293799</v>
      </c>
      <c r="G13" s="43">
        <v>-2.8E-3</v>
      </c>
      <c r="H13" s="44">
        <v>0.26540964782109</v>
      </c>
      <c r="I13" s="50">
        <v>2.0500000000000001E-2</v>
      </c>
      <c r="J13" s="51">
        <v>0.270081955583866</v>
      </c>
      <c r="K13" s="43">
        <v>1.17E-2</v>
      </c>
      <c r="L13" s="44">
        <v>0.27600370285808901</v>
      </c>
      <c r="M13" s="50">
        <v>-1.14E-2</v>
      </c>
      <c r="N13" s="51">
        <v>0.24642502154551399</v>
      </c>
      <c r="O13" s="43">
        <v>-4.7999999999999996E-3</v>
      </c>
      <c r="P13" s="44">
        <v>0.243734139398119</v>
      </c>
      <c r="Q13" s="50">
        <v>1.5E-3</v>
      </c>
      <c r="R13" s="51">
        <v>0.242795418536283</v>
      </c>
      <c r="S13" s="43">
        <v>4.7000000000000002E-3</v>
      </c>
      <c r="T13" s="44">
        <v>0.241119301770924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3.8E-3</v>
      </c>
      <c r="D14" s="44">
        <v>0.13663272800281301</v>
      </c>
      <c r="E14" s="50">
        <v>2.3E-3</v>
      </c>
      <c r="F14" s="51">
        <v>8.3938018759569799E-2</v>
      </c>
      <c r="G14" s="43">
        <v>-5.3E-3</v>
      </c>
      <c r="H14" s="44">
        <v>7.5364663965480999E-2</v>
      </c>
      <c r="I14" s="50">
        <v>2.7000000000000001E-3</v>
      </c>
      <c r="J14" s="51">
        <v>8.1304867227502894E-2</v>
      </c>
      <c r="K14" s="43">
        <v>4.0000000000000002E-4</v>
      </c>
      <c r="L14" s="44">
        <v>8.1814095144419396E-2</v>
      </c>
      <c r="M14" s="50">
        <v>7.9000000000000008E-3</v>
      </c>
      <c r="N14" s="51">
        <v>9.3119791896807205E-2</v>
      </c>
      <c r="O14" s="43">
        <v>-3.5999999999999999E-3</v>
      </c>
      <c r="P14" s="44">
        <v>9.4504411496534796E-2</v>
      </c>
      <c r="Q14" s="50">
        <v>1E-4</v>
      </c>
      <c r="R14" s="51">
        <v>9.8814575097130999E-2</v>
      </c>
      <c r="S14" s="43">
        <v>2.2000000000000001E-3</v>
      </c>
      <c r="T14" s="44">
        <v>0.10216247046358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-2.9999999999999997E-4</v>
      </c>
      <c r="D15" s="44">
        <v>3.1687297699673003E-2</v>
      </c>
      <c r="E15" s="50">
        <v>8.9999999999999998E-4</v>
      </c>
      <c r="F15" s="51">
        <v>3.5183571968371401E-2</v>
      </c>
      <c r="G15" s="43">
        <v>-1.8E-3</v>
      </c>
      <c r="H15" s="44">
        <v>3.4181045257855397E-2</v>
      </c>
      <c r="I15" s="50">
        <v>-8.0000000000000004E-4</v>
      </c>
      <c r="J15" s="51">
        <v>3.2303443101199703E-2</v>
      </c>
      <c r="K15" s="43">
        <v>-8.0000000000000004E-4</v>
      </c>
      <c r="L15" s="44">
        <v>3.09653404671358E-2</v>
      </c>
      <c r="M15" s="50">
        <v>2.7000000000000001E-3</v>
      </c>
      <c r="N15" s="51">
        <v>3.7777392867931997E-2</v>
      </c>
      <c r="O15" s="43">
        <v>1.1999999999999999E-3</v>
      </c>
      <c r="P15" s="44">
        <v>3.9615047585920798E-2</v>
      </c>
      <c r="Q15" s="50">
        <v>-2.0000000000000001E-4</v>
      </c>
      <c r="R15" s="51">
        <v>3.9117685280620998E-2</v>
      </c>
      <c r="S15" s="43">
        <v>-2.0000000000000001E-4</v>
      </c>
      <c r="T15" s="44">
        <v>3.8931085084388202E-2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-3.3999999999999998E-3</v>
      </c>
      <c r="D16" s="44">
        <v>0.171303674674746</v>
      </c>
      <c r="E16" s="50">
        <v>2.3E-3</v>
      </c>
      <c r="F16" s="51">
        <v>0.173038773683234</v>
      </c>
      <c r="G16" s="43">
        <v>4.8999999999999998E-3</v>
      </c>
      <c r="H16" s="44">
        <v>0.18299841925997601</v>
      </c>
      <c r="I16" s="50">
        <v>-8.9999999999999993E-3</v>
      </c>
      <c r="J16" s="51">
        <v>0.16807796960890301</v>
      </c>
      <c r="K16" s="43">
        <v>-4.7999999999999996E-3</v>
      </c>
      <c r="L16" s="44">
        <v>0.158170689973538</v>
      </c>
      <c r="M16" s="50">
        <v>7.1000000000000004E-3</v>
      </c>
      <c r="N16" s="51">
        <v>0.165803365397312</v>
      </c>
      <c r="O16" s="43">
        <v>6.1999999999999998E-3</v>
      </c>
      <c r="P16" s="44">
        <v>0.17169404355590401</v>
      </c>
      <c r="Q16" s="50">
        <v>-3.0000000000000001E-3</v>
      </c>
      <c r="R16" s="51">
        <v>0.16697768268062299</v>
      </c>
      <c r="S16" s="43">
        <f>0.45%</f>
        <v>4.5000000000000005E-3</v>
      </c>
      <c r="T16" s="44">
        <v>0.17405484594133899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4.1046642936292798E-4</v>
      </c>
      <c r="E17" s="50">
        <v>0</v>
      </c>
      <c r="F17" s="51">
        <v>4.2433768322585301E-4</v>
      </c>
      <c r="G17" s="43">
        <v>0</v>
      </c>
      <c r="H17" s="44">
        <v>3.61864211334022E-4</v>
      </c>
      <c r="I17" s="50">
        <v>2.0000000000000001E-4</v>
      </c>
      <c r="J17" s="51">
        <v>5.2181309932460603E-4</v>
      </c>
      <c r="K17" s="43">
        <v>-4.0000000000000002E-4</v>
      </c>
      <c r="L17" s="44">
        <v>8.5426044129075304E-5</v>
      </c>
      <c r="M17" s="50">
        <v>0</v>
      </c>
      <c r="N17" s="51">
        <v>7.4290090725639697E-5</v>
      </c>
      <c r="O17" s="43">
        <v>-1E-4</v>
      </c>
      <c r="P17" s="44">
        <v>5.5950794858180399E-5</v>
      </c>
      <c r="Q17" s="50">
        <v>0</v>
      </c>
      <c r="R17" s="51">
        <v>5.2398834225043898E-5</v>
      </c>
      <c r="S17" s="43">
        <v>-1E-4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8.2000000000000007E-3</v>
      </c>
      <c r="D18" s="44">
        <v>1.26238550054213E-2</v>
      </c>
      <c r="E18" s="50">
        <v>-2.0999999999999999E-3</v>
      </c>
      <c r="F18" s="51">
        <v>1.045811246264E-2</v>
      </c>
      <c r="G18" s="43">
        <v>-1.2E-2</v>
      </c>
      <c r="H18" s="44">
        <v>3.4864094342790999E-3</v>
      </c>
      <c r="I18" s="50">
        <v>2.5499999999999998E-2</v>
      </c>
      <c r="J18" s="51">
        <v>2.2015226810099299E-2</v>
      </c>
      <c r="K18" s="43">
        <v>1.52E-2</v>
      </c>
      <c r="L18" s="44">
        <v>3.7036034005193702E-2</v>
      </c>
      <c r="M18" s="50">
        <v>-1.1599999999999999E-2</v>
      </c>
      <c r="N18" s="51">
        <v>1.12047458471162E-2</v>
      </c>
      <c r="O18" s="43">
        <v>-8.6E-3</v>
      </c>
      <c r="P18" s="44">
        <v>2.6647550702787398E-3</v>
      </c>
      <c r="Q18" s="50">
        <v>9.1999999999999998E-3</v>
      </c>
      <c r="R18" s="51">
        <v>3.25383292190763E-3</v>
      </c>
      <c r="S18" s="43">
        <v>-6.3E-3</v>
      </c>
      <c r="T18" s="44">
        <v>-4.7121813678242704E-3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-1E-4</v>
      </c>
      <c r="H19" s="44">
        <v>1.33994862281624E-4</v>
      </c>
      <c r="I19" s="50">
        <v>5.0000000000000001E-4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1E-4</v>
      </c>
      <c r="D20" s="44">
        <v>1.2428583705753899E-3</v>
      </c>
      <c r="E20" s="50">
        <v>0</v>
      </c>
      <c r="F20" s="51">
        <v>1.14616696774584E-3</v>
      </c>
      <c r="G20" s="43">
        <v>1E-4</v>
      </c>
      <c r="H20" s="44">
        <v>1.14940438813985E-3</v>
      </c>
      <c r="I20" s="50">
        <v>0</v>
      </c>
      <c r="J20" s="51">
        <v>1.11478610194438E-3</v>
      </c>
      <c r="K20" s="43">
        <v>0</v>
      </c>
      <c r="L20" s="44">
        <v>1.08158576981527E-3</v>
      </c>
      <c r="M20" s="50">
        <v>0</v>
      </c>
      <c r="N20" s="51">
        <v>1.03429573491658E-3</v>
      </c>
      <c r="O20" s="43">
        <v>0</v>
      </c>
      <c r="P20" s="44">
        <v>1.0317862436836299E-3</v>
      </c>
      <c r="Q20" s="50">
        <v>0</v>
      </c>
      <c r="R20" s="51">
        <v>9.7898918025007397E-4</v>
      </c>
      <c r="S20" s="43">
        <v>0</v>
      </c>
      <c r="T20" s="44">
        <v>9.4088496200498198E-4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0</v>
      </c>
      <c r="D21" s="44">
        <v>1.40390569445262E-2</v>
      </c>
      <c r="E21" s="50">
        <v>2.0000000000000001E-4</v>
      </c>
      <c r="F21" s="51">
        <v>1.38525984519569E-2</v>
      </c>
      <c r="G21" s="43">
        <v>0</v>
      </c>
      <c r="H21" s="44">
        <v>1.36968450449518E-2</v>
      </c>
      <c r="I21" s="50">
        <v>1E-4</v>
      </c>
      <c r="J21" s="51">
        <v>1.3032993236565401E-2</v>
      </c>
      <c r="K21" s="43">
        <v>1E-4</v>
      </c>
      <c r="L21" s="44">
        <v>1.26992165448238E-2</v>
      </c>
      <c r="M21" s="50">
        <v>1E-4</v>
      </c>
      <c r="N21" s="51">
        <v>1.2267844638291401E-2</v>
      </c>
      <c r="O21" s="43">
        <v>-1E-4</v>
      </c>
      <c r="P21" s="44">
        <v>1.2408717556368701E-2</v>
      </c>
      <c r="Q21" s="50">
        <v>0</v>
      </c>
      <c r="R21" s="51">
        <v>1.3047420313362699E-2</v>
      </c>
      <c r="S21" s="43">
        <v>0</v>
      </c>
      <c r="T21" s="44">
        <v>1.29832682743912E-2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1.4418681305539301E-4</v>
      </c>
      <c r="E22" s="50">
        <v>0</v>
      </c>
      <c r="F22" s="51">
        <v>1.43849345112105E-4</v>
      </c>
      <c r="G22" s="43">
        <v>1E-4</v>
      </c>
      <c r="H22" s="44">
        <v>1.4611935601623101E-4</v>
      </c>
      <c r="I22" s="50">
        <v>0</v>
      </c>
      <c r="J22" s="51">
        <v>1.43675336614392E-4</v>
      </c>
      <c r="K22" s="43">
        <v>0</v>
      </c>
      <c r="L22" s="44">
        <v>1.4333981659483299E-4</v>
      </c>
      <c r="M22" s="50">
        <v>0</v>
      </c>
      <c r="N22" s="51">
        <v>1.4491931317238299E-4</v>
      </c>
      <c r="O22" s="43">
        <v>0</v>
      </c>
      <c r="P22" s="44">
        <v>1.471440572107E-4</v>
      </c>
      <c r="Q22" s="50">
        <v>0</v>
      </c>
      <c r="R22" s="51">
        <v>1.46651898780387E-4</v>
      </c>
      <c r="S22" s="43">
        <v>0</v>
      </c>
      <c r="T22" s="44">
        <v>1.47175628030747E-4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-2.0816681711721699E-19</v>
      </c>
      <c r="D24" s="44">
        <v>0.135973627997448</v>
      </c>
      <c r="E24" s="50">
        <v>0</v>
      </c>
      <c r="F24" s="51">
        <v>0.138753908983279</v>
      </c>
      <c r="G24" s="43">
        <v>-8.9999999999999998E-4</v>
      </c>
      <c r="H24" s="44">
        <v>0.137196635934936</v>
      </c>
      <c r="I24" s="50">
        <v>0</v>
      </c>
      <c r="J24" s="51">
        <v>0.13696477536633</v>
      </c>
      <c r="K24" s="43">
        <v>-3.00000000000001E-4</v>
      </c>
      <c r="L24" s="44">
        <v>0.13156914212596699</v>
      </c>
      <c r="M24" s="50">
        <v>-8.0000000000000297E-4</v>
      </c>
      <c r="N24" s="51">
        <v>0.131892337267842</v>
      </c>
      <c r="O24" s="43">
        <v>-2.0000000000000001E-4</v>
      </c>
      <c r="P24" s="44">
        <v>0.13472989460222401</v>
      </c>
      <c r="Q24" s="50">
        <v>1.8E-3</v>
      </c>
      <c r="R24" s="51">
        <v>0.13652317769414901</v>
      </c>
      <c r="S24" s="43">
        <v>2.9999999999999997E-4</v>
      </c>
      <c r="T24" s="44">
        <v>0.14113478346654501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0</v>
      </c>
      <c r="D25" s="44">
        <v>2.7334887223888801E-3</v>
      </c>
      <c r="E25" s="50">
        <v>2.0000000000000001E-4</v>
      </c>
      <c r="F25" s="51">
        <v>6.7414031392365501E-6</v>
      </c>
      <c r="G25" s="43">
        <v>0</v>
      </c>
      <c r="H25" s="44">
        <v>4.02876921873359E-3</v>
      </c>
      <c r="I25" s="50">
        <v>2.00000000000007E-4</v>
      </c>
      <c r="J25" s="51">
        <v>6.7077637282086904E-6</v>
      </c>
      <c r="K25" s="43">
        <v>0</v>
      </c>
      <c r="L25" s="44">
        <v>3.6954363764331302E-3</v>
      </c>
      <c r="M25" s="50">
        <v>0</v>
      </c>
      <c r="N25" s="51">
        <v>4.0667656963808002E-3</v>
      </c>
      <c r="O25" s="43">
        <v>0</v>
      </c>
      <c r="P25" s="44">
        <v>3.6383643766900401E-3</v>
      </c>
      <c r="Q25" s="50">
        <v>0</v>
      </c>
      <c r="R25" s="51">
        <v>3.7075242329713599E-3</v>
      </c>
      <c r="S25" s="44">
        <v>6.6969119205217996E-6</v>
      </c>
      <c r="T25" s="44">
        <v>6.6969119205217996E-6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1.7000000000000001E-2</v>
      </c>
      <c r="D26" s="46">
        <v>1</v>
      </c>
      <c r="E26" s="52">
        <v>6.6E-3</v>
      </c>
      <c r="F26" s="53">
        <v>1</v>
      </c>
      <c r="G26" s="45">
        <v>-1.9800000000000002E-2</v>
      </c>
      <c r="H26" s="46">
        <v>1</v>
      </c>
      <c r="I26" s="52">
        <v>4.1099999999999998E-2</v>
      </c>
      <c r="J26" s="53">
        <v>1</v>
      </c>
      <c r="K26" s="45">
        <v>2.35E-2</v>
      </c>
      <c r="L26" s="46">
        <v>1</v>
      </c>
      <c r="M26" s="52">
        <v>-3.0999999999999999E-3</v>
      </c>
      <c r="N26" s="53">
        <v>1</v>
      </c>
      <c r="O26" s="45">
        <v>-9.7999999999999997E-3</v>
      </c>
      <c r="P26" s="46">
        <v>1</v>
      </c>
      <c r="Q26" s="52">
        <v>9.7000000000000003E-3</v>
      </c>
      <c r="R26" s="53">
        <v>1</v>
      </c>
      <c r="S26" s="45">
        <v>4.3E-3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122">
        <v>44265.992929999898</v>
      </c>
      <c r="D27" s="123"/>
      <c r="E27" s="124">
        <v>17441.4037800103</v>
      </c>
      <c r="F27" s="125"/>
      <c r="G27" s="122">
        <v>-52116.116609989796</v>
      </c>
      <c r="H27" s="123"/>
      <c r="I27" s="124">
        <v>105808.12243</v>
      </c>
      <c r="J27" s="125"/>
      <c r="K27" s="122">
        <v>62404.650619999498</v>
      </c>
      <c r="L27" s="123"/>
      <c r="M27" s="124">
        <v>-8205.2231000098</v>
      </c>
      <c r="N27" s="125"/>
      <c r="O27" s="122">
        <v>-26161.21571</v>
      </c>
      <c r="P27" s="123"/>
      <c r="Q27" s="124">
        <v>25526.569150000301</v>
      </c>
      <c r="R27" s="125"/>
      <c r="S27" s="47">
        <v>11514.570149999499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1.52E-2</v>
      </c>
      <c r="D29" s="49">
        <v>0.66706639197122497</v>
      </c>
      <c r="E29" s="55">
        <v>5.1000000000000004E-3</v>
      </c>
      <c r="F29" s="56">
        <v>0.71468863132580895</v>
      </c>
      <c r="G29" s="48">
        <v>-5.4999999999999997E-3</v>
      </c>
      <c r="H29" s="49">
        <v>0.71546409165401603</v>
      </c>
      <c r="I29" s="55">
        <v>2.6200000000000001E-2</v>
      </c>
      <c r="J29" s="56">
        <v>0.70503320270574099</v>
      </c>
      <c r="K29" s="48">
        <v>1.78E-2</v>
      </c>
      <c r="L29" s="49">
        <v>0.70414053352814099</v>
      </c>
      <c r="M29" s="55">
        <v>-2.4E-2</v>
      </c>
      <c r="N29" s="56">
        <v>0.69438043616870004</v>
      </c>
      <c r="O29" s="48">
        <v>-4.1999999999999997E-3</v>
      </c>
      <c r="P29" s="49">
        <v>0.69629926575617296</v>
      </c>
      <c r="Q29" s="55">
        <v>7.3000000000000001E-3</v>
      </c>
      <c r="R29" s="56">
        <v>0.69142839152277902</v>
      </c>
      <c r="S29" s="48">
        <v>-2.8E-3</v>
      </c>
      <c r="T29" s="49">
        <v>0.68426648647056498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1.8E-3</v>
      </c>
      <c r="D30" s="44">
        <v>0.33293360802877497</v>
      </c>
      <c r="E30" s="50">
        <v>1.5E-3</v>
      </c>
      <c r="F30" s="51">
        <v>0.28531136867419099</v>
      </c>
      <c r="G30" s="43">
        <v>-1.43E-2</v>
      </c>
      <c r="H30" s="44">
        <v>0.28453590834598402</v>
      </c>
      <c r="I30" s="50">
        <v>1.49E-2</v>
      </c>
      <c r="J30" s="51">
        <v>0.29496679729425901</v>
      </c>
      <c r="K30" s="43">
        <v>5.7000000000000002E-3</v>
      </c>
      <c r="L30" s="44">
        <v>0.29585946647185901</v>
      </c>
      <c r="M30" s="50">
        <v>2.0899999999999998E-2</v>
      </c>
      <c r="N30" s="51">
        <v>0.30561956383130001</v>
      </c>
      <c r="O30" s="43">
        <v>-5.5999999999999999E-3</v>
      </c>
      <c r="P30" s="44">
        <v>0.30370073424382699</v>
      </c>
      <c r="Q30" s="50">
        <v>2.3999999999999998E-3</v>
      </c>
      <c r="R30" s="51">
        <v>0.30857160847722098</v>
      </c>
      <c r="S30" s="43">
        <v>7.1000000000000004E-3</v>
      </c>
      <c r="T30" s="44">
        <v>0.31573351352943502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1.7000000000000001E-2</v>
      </c>
      <c r="D31" s="46">
        <v>1</v>
      </c>
      <c r="E31" s="52">
        <v>6.6E-3</v>
      </c>
      <c r="F31" s="53">
        <v>1</v>
      </c>
      <c r="G31" s="45">
        <v>-1.9800000000000002E-2</v>
      </c>
      <c r="H31" s="46">
        <v>1</v>
      </c>
      <c r="I31" s="52">
        <v>4.1099999999999998E-2</v>
      </c>
      <c r="J31" s="53">
        <v>1</v>
      </c>
      <c r="K31" s="45">
        <v>2.35E-2</v>
      </c>
      <c r="L31" s="46">
        <v>1</v>
      </c>
      <c r="M31" s="52">
        <v>-3.0999999999999999E-3</v>
      </c>
      <c r="N31" s="53">
        <v>1</v>
      </c>
      <c r="O31" s="45">
        <v>-9.7999999999999997E-3</v>
      </c>
      <c r="P31" s="46">
        <v>1</v>
      </c>
      <c r="Q31" s="52">
        <v>9.7000000000000003E-3</v>
      </c>
      <c r="R31" s="53">
        <v>1</v>
      </c>
      <c r="S31" s="45">
        <v>4.3E-3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1.43E-2</v>
      </c>
      <c r="D33" s="49">
        <v>0.64235418579004999</v>
      </c>
      <c r="E33" s="55">
        <v>5.0000000000000001E-3</v>
      </c>
      <c r="F33" s="56">
        <v>0.64195330062141998</v>
      </c>
      <c r="G33" s="48">
        <v>-2.1600000000000001E-2</v>
      </c>
      <c r="H33" s="49">
        <v>0.63133186583196699</v>
      </c>
      <c r="I33" s="55">
        <v>3.9199999999999999E-2</v>
      </c>
      <c r="J33" s="56">
        <v>0.64768575328668798</v>
      </c>
      <c r="K33" s="48">
        <v>0.02</v>
      </c>
      <c r="L33" s="49">
        <v>0.65195086263651203</v>
      </c>
      <c r="M33" s="55">
        <v>4.0000000000000002E-4</v>
      </c>
      <c r="N33" s="56">
        <v>0.65414769344467005</v>
      </c>
      <c r="O33" s="48">
        <v>-9.9000000000000008E-3</v>
      </c>
      <c r="P33" s="49">
        <v>0.65060219445802003</v>
      </c>
      <c r="Q33" s="55">
        <v>6.4000000000000003E-3</v>
      </c>
      <c r="R33" s="56">
        <v>0.65741764281275095</v>
      </c>
      <c r="S33" s="48">
        <v>3.2000000000000002E-3</v>
      </c>
      <c r="T33" s="49">
        <v>0.65359282398389995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2.7000000000000001E-3</v>
      </c>
      <c r="D34" s="44">
        <v>0.35764581420995001</v>
      </c>
      <c r="E34" s="50">
        <v>1.6000000000000001E-3</v>
      </c>
      <c r="F34" s="51">
        <v>0.35804669937858002</v>
      </c>
      <c r="G34" s="43">
        <v>1.8E-3</v>
      </c>
      <c r="H34" s="44">
        <v>0.36866813416803301</v>
      </c>
      <c r="I34" s="50">
        <v>1.9E-3</v>
      </c>
      <c r="J34" s="51">
        <v>0.35231424671331202</v>
      </c>
      <c r="K34" s="43">
        <v>3.5000000000000001E-3</v>
      </c>
      <c r="L34" s="44">
        <v>0.34804913736348803</v>
      </c>
      <c r="M34" s="50">
        <v>-3.5000000000000001E-3</v>
      </c>
      <c r="N34" s="51">
        <v>0.34585230655533</v>
      </c>
      <c r="O34" s="43">
        <v>1E-4</v>
      </c>
      <c r="P34" s="44">
        <v>0.34939780554198002</v>
      </c>
      <c r="Q34" s="50">
        <v>3.3E-3</v>
      </c>
      <c r="R34" s="51">
        <v>0.342582357187249</v>
      </c>
      <c r="S34" s="43">
        <v>1.1000000000000001E-3</v>
      </c>
      <c r="T34" s="44">
        <v>0.34640717601609999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1.7000000000000001E-2</v>
      </c>
      <c r="D35" s="46">
        <v>1</v>
      </c>
      <c r="E35" s="52">
        <v>6.6E-3</v>
      </c>
      <c r="F35" s="53">
        <v>1</v>
      </c>
      <c r="G35" s="45">
        <v>-1.9800000000000002E-2</v>
      </c>
      <c r="H35" s="46">
        <v>1</v>
      </c>
      <c r="I35" s="52">
        <v>4.1099999999999998E-2</v>
      </c>
      <c r="J35" s="53">
        <v>1</v>
      </c>
      <c r="K35" s="45">
        <v>2.35E-2</v>
      </c>
      <c r="L35" s="46">
        <v>1</v>
      </c>
      <c r="M35" s="52">
        <v>-3.0999999999999999E-3</v>
      </c>
      <c r="N35" s="53">
        <v>1</v>
      </c>
      <c r="O35" s="45">
        <v>-9.7999999999999997E-3</v>
      </c>
      <c r="P35" s="46">
        <v>1</v>
      </c>
      <c r="Q35" s="52">
        <v>9.7000000000000003E-3</v>
      </c>
      <c r="R35" s="53">
        <v>1</v>
      </c>
      <c r="S35" s="126">
        <v>4.3E-3</v>
      </c>
      <c r="T35" s="127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-1.1000000000000001E-3</v>
      </c>
      <c r="D38" s="44">
        <v>5.1560898893251397E-2</v>
      </c>
      <c r="E38" s="50">
        <v>-1.1000000000000001E-3</v>
      </c>
      <c r="F38" s="51">
        <v>5.1497013668674901E-2</v>
      </c>
      <c r="G38" s="43">
        <v>-1.0095959395056741E-4</v>
      </c>
      <c r="H38" s="44">
        <v>2.22644038966789E-2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-1.1000000000000001E-3</v>
      </c>
      <c r="D39" s="44">
        <v>0.117135037159981</v>
      </c>
      <c r="E39" s="50">
        <v>2E-3</v>
      </c>
      <c r="F39" s="51">
        <v>0.13390416556062401</v>
      </c>
      <c r="G39" s="43">
        <v>1.4989198880959176E-3</v>
      </c>
      <c r="H39" s="44">
        <v>0.15621696152235401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0</v>
      </c>
      <c r="D42" s="44">
        <v>0.111087048037222</v>
      </c>
      <c r="E42" s="50">
        <v>3.5999999999999999E-3</v>
      </c>
      <c r="F42" s="51">
        <v>0.10907343939156</v>
      </c>
      <c r="G42" s="43">
        <v>3.298669175269886E-3</v>
      </c>
      <c r="H42" s="44">
        <v>0.113316568738188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1E-4</v>
      </c>
      <c r="D43" s="44">
        <v>2.0631971544716301E-3</v>
      </c>
      <c r="E43" s="50">
        <v>2.9999999999999997E-4</v>
      </c>
      <c r="F43" s="51">
        <v>1.7146110831314299E-3</v>
      </c>
      <c r="G43" s="43">
        <v>2.9999999999996696E-4</v>
      </c>
      <c r="H43" s="44">
        <v>1.4337347074791899E-3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8.6E-3</v>
      </c>
      <c r="D44" s="44">
        <v>0.26540964782109</v>
      </c>
      <c r="E44" s="50">
        <v>0.03</v>
      </c>
      <c r="F44" s="51">
        <v>0.24642502154551399</v>
      </c>
      <c r="G44" s="43">
        <v>3.1418573844799846E-2</v>
      </c>
      <c r="H44" s="44">
        <v>0.241119301770924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8.0000000000000004E-4</v>
      </c>
      <c r="D45" s="44">
        <v>7.5364663965480999E-2</v>
      </c>
      <c r="E45" s="50">
        <v>1.1900000000000001E-2</v>
      </c>
      <c r="F45" s="51">
        <v>9.3119791896807205E-2</v>
      </c>
      <c r="G45" s="43">
        <v>1.0576373284575169E-2</v>
      </c>
      <c r="H45" s="44">
        <v>0.10216247046358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-1.2999999999999999E-3</v>
      </c>
      <c r="D46" s="44">
        <v>3.4181045257855397E-2</v>
      </c>
      <c r="E46" s="50">
        <v>-6.9999999999999999E-4</v>
      </c>
      <c r="F46" s="51">
        <v>3.7777392867931997E-2</v>
      </c>
      <c r="G46" s="43">
        <v>9.9000355966660791E-5</v>
      </c>
      <c r="H46" s="44">
        <v>3.8931085084388202E-2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3.7000000000000002E-3</v>
      </c>
      <c r="D47" s="44">
        <v>0.18299841925997501</v>
      </c>
      <c r="E47" s="50">
        <v>-3.0000000000000001E-3</v>
      </c>
      <c r="F47" s="51">
        <v>0.165803365397312</v>
      </c>
      <c r="G47" s="43">
        <v>4.6726291510998941E-3</v>
      </c>
      <c r="H47" s="44">
        <v>0.17405484594133899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0</v>
      </c>
      <c r="D48" s="44">
        <v>3.61864211334022E-4</v>
      </c>
      <c r="E48" s="50">
        <v>-2.0000000000000001E-4</v>
      </c>
      <c r="F48" s="51">
        <v>7.4290090725639697E-5</v>
      </c>
      <c r="G48" s="43">
        <v>-3.9995000199999353E-4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-6.1000000000000004E-3</v>
      </c>
      <c r="D49" s="44">
        <v>3.4864094342790999E-3</v>
      </c>
      <c r="E49" s="50">
        <v>2.2800000000000001E-2</v>
      </c>
      <c r="F49" s="51">
        <v>1.12047458471162E-2</v>
      </c>
      <c r="G49" s="43">
        <v>1.6885759700796754E-2</v>
      </c>
      <c r="H49" s="44">
        <v>-4.7121813678242704E-3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0</v>
      </c>
      <c r="D50" s="44">
        <v>1.33994862281624E-4</v>
      </c>
      <c r="E50" s="50">
        <v>5.9999999999999995E-4</v>
      </c>
      <c r="F50" s="51">
        <v>0</v>
      </c>
      <c r="G50" s="43">
        <v>5.9999999999993392E-4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1E-4</v>
      </c>
      <c r="D51" s="44">
        <v>1.14940438813985E-3</v>
      </c>
      <c r="E51" s="50">
        <v>2.0000000000000001E-4</v>
      </c>
      <c r="F51" s="51">
        <v>1.03429573491658E-3</v>
      </c>
      <c r="G51" s="43">
        <v>1.9999999999997797E-4</v>
      </c>
      <c r="H51" s="44">
        <v>9.4088496200498198E-4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2.0000000000000001E-4</v>
      </c>
      <c r="D52" s="44">
        <v>1.36968450449518E-2</v>
      </c>
      <c r="E52" s="50">
        <v>5.0000000000000001E-4</v>
      </c>
      <c r="F52" s="51">
        <v>1.2267844638291401E-2</v>
      </c>
      <c r="G52" s="43">
        <v>3.9995000000003778E-4</v>
      </c>
      <c r="H52" s="44">
        <v>1.29832682743912E-2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1E-4</v>
      </c>
      <c r="D53" s="44">
        <v>1.4611935601623101E-4</v>
      </c>
      <c r="E53" s="50">
        <v>2.0000000000000001E-4</v>
      </c>
      <c r="F53" s="51">
        <v>1.4491931317238299E-4</v>
      </c>
      <c r="G53" s="43">
        <v>1.9999999999997797E-4</v>
      </c>
      <c r="H53" s="44">
        <v>1.47175628030747E-4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-8.0000000000000004E-4</v>
      </c>
      <c r="D55" s="44">
        <v>0.1412184796615</v>
      </c>
      <c r="E55" s="50">
        <v>-1.4E-3</v>
      </c>
      <c r="F55" s="51">
        <v>0.13595244888863001</v>
      </c>
      <c r="G55" s="43">
        <v>4.9745972415116135E-4</v>
      </c>
      <c r="H55" s="44">
        <v>0.14113478346654501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2.0000000000000001E-4</v>
      </c>
      <c r="D56" s="44">
        <v>6.9254921693795401E-6</v>
      </c>
      <c r="E56" s="50">
        <v>3.00000000000001E-4</v>
      </c>
      <c r="F56" s="51">
        <v>6.6540755926841603E-6</v>
      </c>
      <c r="G56" s="43">
        <v>3.0669892099410845E-4</v>
      </c>
      <c r="H56" s="44">
        <v>6.6969119205217996E-6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3.3999999999999998E-3</v>
      </c>
      <c r="D57" s="46">
        <v>1</v>
      </c>
      <c r="E57" s="52">
        <v>6.6000000000000003E-2</v>
      </c>
      <c r="F57" s="53">
        <v>1</v>
      </c>
      <c r="G57" s="128">
        <v>7.0453124449798732E-2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122">
        <v>9591.2801000203999</v>
      </c>
      <c r="D58" s="123"/>
      <c r="E58" s="124">
        <v>169598.83005001</v>
      </c>
      <c r="F58" s="125"/>
      <c r="G58" s="122">
        <v>180478.75364000982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1.46E-2</v>
      </c>
      <c r="D60" s="49">
        <v>0.71546409165401603</v>
      </c>
      <c r="E60" s="55">
        <v>3.5000000000000003E-2</v>
      </c>
      <c r="F60" s="56">
        <v>0.69438043616870004</v>
      </c>
      <c r="G60" s="43">
        <v>3.5269871952680054E-2</v>
      </c>
      <c r="H60" s="49">
        <v>0.68426648647056498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-1.12E-2</v>
      </c>
      <c r="D61" s="44">
        <v>0.28453590834598402</v>
      </c>
      <c r="E61" s="50">
        <v>3.1E-2</v>
      </c>
      <c r="F61" s="51">
        <v>0.30561956383130001</v>
      </c>
      <c r="G61" s="43">
        <v>3.5083520657855929E-2</v>
      </c>
      <c r="H61" s="44">
        <v>0.31573351352943502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3.3999999999999998E-3</v>
      </c>
      <c r="D62" s="46">
        <v>1</v>
      </c>
      <c r="E62" s="52">
        <v>6.6000000000000003E-2</v>
      </c>
      <c r="F62" s="53">
        <v>1</v>
      </c>
      <c r="G62" s="129">
        <v>7.0353392610535984E-2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-2.7000000000000001E-3</v>
      </c>
      <c r="D64" s="49">
        <v>0.63133186583196699</v>
      </c>
      <c r="E64" s="55">
        <v>5.7799999999999997E-2</v>
      </c>
      <c r="F64" s="56">
        <v>0.65414769344466905</v>
      </c>
      <c r="G64" s="43">
        <v>5.7403575960934594E-2</v>
      </c>
      <c r="H64" s="49">
        <v>0.65359282398389995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6.1000000000000004E-3</v>
      </c>
      <c r="D65" s="44">
        <v>0.36866813416803301</v>
      </c>
      <c r="E65" s="50">
        <v>8.2000000000000007E-3</v>
      </c>
      <c r="F65" s="51">
        <v>0.345852306555331</v>
      </c>
      <c r="G65" s="43">
        <v>1.3041003739976664E-2</v>
      </c>
      <c r="H65" s="44">
        <v>0.34640717601609999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3.3999999999999998E-3</v>
      </c>
      <c r="D66" s="46">
        <v>1</v>
      </c>
      <c r="E66" s="52">
        <v>6.6000000000000003E-2</v>
      </c>
      <c r="F66" s="53">
        <v>1</v>
      </c>
      <c r="G66" s="129">
        <v>7.0444579700911253E-2</v>
      </c>
      <c r="H66" s="127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Hila Sharabi</cp:lastModifiedBy>
  <cp:lastPrinted>2021-05-27T06:23:48Z</cp:lastPrinted>
  <dcterms:created xsi:type="dcterms:W3CDTF">2016-08-07T08:05:35Z</dcterms:created>
  <dcterms:modified xsi:type="dcterms:W3CDTF">2026-10-19T08:22:59Z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