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C657F065-ED74-4DDF-9F2C-6C51081BF6E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<sst xmlns="http://schemas.openxmlformats.org/spreadsheetml/2006/main" count="5109" uniqueCount="1412">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</sst>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2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1" sqref="B31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1182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קרן השתלמות של עובדי האוניברסיטה העברית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חברת הגמל לעובדי האוניברסיטה העברית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510960586_g1182_Yield326.xlsx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49" sqref="G49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1182</v>
      </c>
      <c r="D2" s="131"/>
      <c r="E2" s="131"/>
    </row>
    <row r="3" spans="2:31" ht="18.75">
      <c r="B3" s="16" t="s">
        <v>28</v>
      </c>
      <c r="C3" s="41" t="str">
        <f ca="1">הנחיות!B32</f>
        <v>קרן השתלמות של עובדי האוניברסיטה העברית</v>
      </c>
      <c r="D3" s="41"/>
    </row>
    <row r="4" spans="2:31" ht="18.75">
      <c r="B4" s="15" t="s">
        <v>27</v>
      </c>
      <c r="C4" s="41" t="str">
        <f ca="1">הנחיות!B33</f>
        <v>חברת הגמל לעובדי האוניברסיטה העברית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-1E-4</v>
      </c>
      <c r="D7" s="44">
        <v>3.9888970234777797E-2</v>
      </c>
      <c r="E7" s="50">
        <v>4.0000000000000002E-4</v>
      </c>
      <c r="F7" s="51">
        <v>5.6466417268827999E-2</v>
      </c>
      <c r="G7" s="43">
        <v>1E-4</v>
      </c>
      <c r="H7" s="44">
        <v>5.3791696924663401E-2</v>
      </c>
      <c r="I7" s="50">
        <v>-5.9999999999999995E-4</v>
      </c>
      <c r="J7" s="51">
        <v>5.4740613116665698E-2</v>
      </c>
      <c r="K7" s="43">
        <v>-8.0000000000000004E-4</v>
      </c>
      <c r="L7" s="44">
        <v>4.8789256878672298E-2</v>
      </c>
      <c r="M7" s="50">
        <v>1.2999999999999999E-3</v>
      </c>
      <c r="N7" s="51">
        <v>5.6932926583341897E-2</v>
      </c>
      <c r="O7" s="43">
        <v>8.9999999999999998E-4</v>
      </c>
      <c r="P7" s="44">
        <v>5.6596569807503203E-2</v>
      </c>
      <c r="Q7" s="50">
        <v>-4.0000000000000002E-4</v>
      </c>
      <c r="R7" s="51">
        <v>3.4251296960695898E-2</v>
      </c>
      <c r="S7" s="43">
        <v>1E-4</v>
      </c>
      <c r="T7" s="44">
        <v>2.5437537618681103E-2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0</v>
      </c>
      <c r="D8" s="44">
        <v>9.5995283234094494E-2</v>
      </c>
      <c r="E8" s="50">
        <v>1E-4</v>
      </c>
      <c r="F8" s="51">
        <v>0.108003034020644</v>
      </c>
      <c r="G8" s="43">
        <v>-6.9999999999999999E-4</v>
      </c>
      <c r="H8" s="44">
        <v>0.11091069100840301</v>
      </c>
      <c r="I8" s="50">
        <v>5.9999999999999995E-4</v>
      </c>
      <c r="J8" s="51">
        <v>0.107129641318748</v>
      </c>
      <c r="K8" s="43">
        <v>1.4E-3</v>
      </c>
      <c r="L8" s="44">
        <v>0.106136304525365</v>
      </c>
      <c r="M8" s="50">
        <v>6.9999999999999999E-4</v>
      </c>
      <c r="N8" s="51">
        <v>0.12427781624084799</v>
      </c>
      <c r="O8" s="43">
        <v>-2.9999999999999997E-4</v>
      </c>
      <c r="P8" s="44">
        <v>0.133564521169691</v>
      </c>
      <c r="Q8" s="50">
        <v>4.0000000000000002E-4</v>
      </c>
      <c r="R8" s="51">
        <v>0.15136543634622099</v>
      </c>
      <c r="S8" s="43">
        <v>-5.9999999999999995E-4</v>
      </c>
      <c r="T8" s="44">
        <v>0.150781264540569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5.9999999999999995E-4</v>
      </c>
      <c r="D11" s="44">
        <v>0.103111268458334</v>
      </c>
      <c r="E11" s="50">
        <v>-1E-4</v>
      </c>
      <c r="F11" s="51">
        <v>0.105404739380108</v>
      </c>
      <c r="G11" s="43">
        <v>-5.0000000000000001E-4</v>
      </c>
      <c r="H11" s="44">
        <v>0.111747877096755</v>
      </c>
      <c r="I11" s="50">
        <v>1.2999999999999999E-3</v>
      </c>
      <c r="J11" s="51">
        <v>0.10833733704526401</v>
      </c>
      <c r="K11" s="43">
        <v>1.4E-3</v>
      </c>
      <c r="L11" s="44">
        <v>0.107619416586949</v>
      </c>
      <c r="M11" s="50">
        <v>8.0000000000000004E-4</v>
      </c>
      <c r="N11" s="51">
        <v>0.10900343094202999</v>
      </c>
      <c r="O11" s="43">
        <v>-2.0000000000000001E-4</v>
      </c>
      <c r="P11" s="44">
        <v>0.108330105299153</v>
      </c>
      <c r="Q11" s="50">
        <v>5.0000000000000001E-4</v>
      </c>
      <c r="R11" s="51">
        <v>0.107399276492472</v>
      </c>
      <c r="S11" s="43">
        <v>-5.0000000000000001E-4</v>
      </c>
      <c r="T11" s="44">
        <v>0.11151664361131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1.94539659062847E-3</v>
      </c>
      <c r="E12" s="50">
        <v>0</v>
      </c>
      <c r="F12" s="51">
        <v>1.9620478947781901E-3</v>
      </c>
      <c r="G12" s="43">
        <v>0</v>
      </c>
      <c r="H12" s="44">
        <v>2.0092505813466902E-3</v>
      </c>
      <c r="I12" s="50">
        <v>0</v>
      </c>
      <c r="J12" s="51">
        <v>1.9570376848312E-3</v>
      </c>
      <c r="K12" s="43">
        <v>1E-4</v>
      </c>
      <c r="L12" s="44">
        <v>1.96606354960383E-3</v>
      </c>
      <c r="M12" s="50">
        <v>0</v>
      </c>
      <c r="N12" s="51">
        <v>1.7585496895431501E-3</v>
      </c>
      <c r="O12" s="43">
        <v>0</v>
      </c>
      <c r="P12" s="44">
        <v>1.7691728195672199E-3</v>
      </c>
      <c r="Q12" s="50">
        <v>0</v>
      </c>
      <c r="R12" s="51">
        <v>1.77066352974194E-3</v>
      </c>
      <c r="S12" s="43">
        <v>0</v>
      </c>
      <c r="T12" s="44">
        <v>1.57505454575381E-3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9.1000000000000004E-3</v>
      </c>
      <c r="D13" s="44">
        <v>0.25588396235558097</v>
      </c>
      <c r="E13" s="50">
        <v>3.0999999999999999E-3</v>
      </c>
      <c r="F13" s="51">
        <v>0.26373630023089201</v>
      </c>
      <c r="G13" s="43">
        <v>-3.0999999999999999E-3</v>
      </c>
      <c r="H13" s="44">
        <v>0.26088138690978802</v>
      </c>
      <c r="I13" s="50">
        <v>2.0799999999999999E-2</v>
      </c>
      <c r="J13" s="51">
        <v>0.26492395814030401</v>
      </c>
      <c r="K13" s="43">
        <v>1.1900000000000001E-2</v>
      </c>
      <c r="L13" s="44">
        <v>0.26921063706057702</v>
      </c>
      <c r="M13" s="50">
        <v>-1.2200000000000001E-2</v>
      </c>
      <c r="N13" s="51">
        <v>0.24007400744794399</v>
      </c>
      <c r="O13" s="43">
        <v>-4.7000000000000002E-3</v>
      </c>
      <c r="P13" s="44">
        <v>0.233914006336636</v>
      </c>
      <c r="Q13" s="50">
        <v>1.6000000000000001E-3</v>
      </c>
      <c r="R13" s="51">
        <v>0.233527975636864</v>
      </c>
      <c r="S13" s="43">
        <v>5.3E-3</v>
      </c>
      <c r="T13" s="44">
        <v>0.23205317481863999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2.0999999999999999E-3</v>
      </c>
      <c r="D14" s="44">
        <v>0.141969620922928</v>
      </c>
      <c r="E14" s="50">
        <v>2.0999999999999999E-3</v>
      </c>
      <c r="F14" s="51">
        <v>9.87242904290144E-2</v>
      </c>
      <c r="G14" s="43">
        <v>-6.3E-3</v>
      </c>
      <c r="H14" s="44">
        <v>8.6075142781110003E-2</v>
      </c>
      <c r="I14" s="50">
        <v>3.5000000000000001E-3</v>
      </c>
      <c r="J14" s="51">
        <v>9.3160154661154904E-2</v>
      </c>
      <c r="K14" s="43">
        <v>6.9999999999999999E-4</v>
      </c>
      <c r="L14" s="44">
        <v>9.4481311460809195E-2</v>
      </c>
      <c r="M14" s="50">
        <v>8.3999999999999995E-3</v>
      </c>
      <c r="N14" s="51">
        <v>0.106304952648146</v>
      </c>
      <c r="O14" s="43">
        <v>-3.5000000000000001E-3</v>
      </c>
      <c r="P14" s="44">
        <v>0.10631297098277701</v>
      </c>
      <c r="Q14" s="50">
        <v>2.0000000000000001E-4</v>
      </c>
      <c r="R14" s="51">
        <v>0.115507731385784</v>
      </c>
      <c r="S14" s="43">
        <v>2.3999999999999998E-3</v>
      </c>
      <c r="T14" s="44">
        <v>0.122518396050566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-2.9999999999999997E-4</v>
      </c>
      <c r="D15" s="44">
        <v>3.0749477477248498E-2</v>
      </c>
      <c r="E15" s="50">
        <v>6.9999999999999999E-4</v>
      </c>
      <c r="F15" s="51">
        <v>3.4304240646005998E-2</v>
      </c>
      <c r="G15" s="43">
        <v>-1.6000000000000001E-3</v>
      </c>
      <c r="H15" s="44">
        <v>3.3871295620793898E-2</v>
      </c>
      <c r="I15" s="50">
        <v>-8.9999999999999998E-4</v>
      </c>
      <c r="J15" s="51">
        <v>3.1633025878614399E-2</v>
      </c>
      <c r="K15" s="43">
        <v>-8.0000000000000004E-4</v>
      </c>
      <c r="L15" s="44">
        <v>3.0191500222564501E-2</v>
      </c>
      <c r="M15" s="50">
        <v>2.5000000000000001E-3</v>
      </c>
      <c r="N15" s="51">
        <v>3.6662238127699497E-2</v>
      </c>
      <c r="O15" s="43">
        <v>1.1000000000000001E-3</v>
      </c>
      <c r="P15" s="44">
        <v>3.78021181334975E-2</v>
      </c>
      <c r="Q15" s="50">
        <v>-2.0000000000000001E-4</v>
      </c>
      <c r="R15" s="51">
        <v>3.7377534653559898E-2</v>
      </c>
      <c r="S15" s="43">
        <v>-1E-4</v>
      </c>
      <c r="T15" s="44">
        <v>3.72794415450022E-2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-3.0000000000000001E-3</v>
      </c>
      <c r="D16" s="44">
        <v>0.162433543680156</v>
      </c>
      <c r="E16" s="50">
        <v>2E-3</v>
      </c>
      <c r="F16" s="51">
        <v>0.16502583253184799</v>
      </c>
      <c r="G16" s="43">
        <v>4.5999999999999999E-3</v>
      </c>
      <c r="H16" s="44">
        <v>0.17618928472433301</v>
      </c>
      <c r="I16" s="50">
        <v>-7.1999999999999998E-3</v>
      </c>
      <c r="J16" s="51">
        <v>0.161802972238478</v>
      </c>
      <c r="K16" s="43">
        <v>-4.4999999999999997E-3</v>
      </c>
      <c r="L16" s="44">
        <v>0.15239442898531499</v>
      </c>
      <c r="M16" s="50">
        <v>6.7000000000000002E-3</v>
      </c>
      <c r="N16" s="51">
        <v>0.15959438680927299</v>
      </c>
      <c r="O16" s="43">
        <v>5.7000000000000002E-3</v>
      </c>
      <c r="P16" s="44">
        <v>0.163142015995453</v>
      </c>
      <c r="Q16" s="50">
        <v>-2.8E-3</v>
      </c>
      <c r="R16" s="51">
        <v>0.15919044979407901</v>
      </c>
      <c r="S16" s="43">
        <v>4.5999999999999999E-3</v>
      </c>
      <c r="T16" s="44">
        <v>0.166332823594634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3.98242011023465E-4</v>
      </c>
      <c r="E17" s="50">
        <v>0</v>
      </c>
      <c r="F17" s="51">
        <v>4.13789752759137E-4</v>
      </c>
      <c r="G17" s="43">
        <v>-1E-4</v>
      </c>
      <c r="H17" s="44">
        <v>3.5580773697464399E-4</v>
      </c>
      <c r="I17" s="50">
        <v>2.0000000000000001E-4</v>
      </c>
      <c r="J17" s="51">
        <v>5.0953396199546804E-4</v>
      </c>
      <c r="K17" s="43">
        <v>-4.0000000000000002E-4</v>
      </c>
      <c r="L17" s="44">
        <v>8.3549702996238597E-5</v>
      </c>
      <c r="M17" s="50">
        <v>0</v>
      </c>
      <c r="N17" s="51">
        <v>7.2436903129436601E-5</v>
      </c>
      <c r="O17" s="43">
        <v>0</v>
      </c>
      <c r="P17" s="44">
        <v>5.3844781739956698E-5</v>
      </c>
      <c r="Q17" s="50">
        <v>0</v>
      </c>
      <c r="R17" s="51">
        <v>5.02440061632405E-5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7.6E-3</v>
      </c>
      <c r="D18" s="44">
        <v>1.18994977255609E-2</v>
      </c>
      <c r="E18" s="50">
        <v>-1.9E-3</v>
      </c>
      <c r="F18" s="51">
        <v>1.00666122187029E-2</v>
      </c>
      <c r="G18" s="43">
        <v>-1.11E-2</v>
      </c>
      <c r="H18" s="44">
        <v>4.0126352364906999E-3</v>
      </c>
      <c r="I18" s="50">
        <v>2.3699999999999999E-2</v>
      </c>
      <c r="J18" s="51">
        <v>2.1785370412415999E-2</v>
      </c>
      <c r="K18" s="43">
        <v>1.43E-2</v>
      </c>
      <c r="L18" s="44">
        <v>3.5831883591418701E-2</v>
      </c>
      <c r="M18" s="50">
        <v>-1.09E-2</v>
      </c>
      <c r="N18" s="51">
        <v>1.23158626966912E-2</v>
      </c>
      <c r="O18" s="43">
        <v>-7.7999999999999996E-3</v>
      </c>
      <c r="P18" s="44">
        <v>4.4712687352984797E-3</v>
      </c>
      <c r="Q18" s="50">
        <v>8.3999999999999995E-3</v>
      </c>
      <c r="R18" s="51">
        <v>3.2618982481508602E-3</v>
      </c>
      <c r="S18" s="43">
        <v>-6.1000000000000004E-3</v>
      </c>
      <c r="T18" s="44">
        <v>-4.6559550972655002E-3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-1E-4</v>
      </c>
      <c r="H19" s="44">
        <v>1.2926230016299401E-4</v>
      </c>
      <c r="I19" s="50">
        <v>5.0000000000000001E-4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1.19098578903865E-3</v>
      </c>
      <c r="E20" s="50">
        <v>0</v>
      </c>
      <c r="F20" s="51">
        <v>1.1039163904471201E-3</v>
      </c>
      <c r="G20" s="43">
        <v>0</v>
      </c>
      <c r="H20" s="44">
        <v>1.1156607815503499E-3</v>
      </c>
      <c r="I20" s="50">
        <v>0</v>
      </c>
      <c r="J20" s="51">
        <v>1.07427947027163E-3</v>
      </c>
      <c r="K20" s="43">
        <v>0</v>
      </c>
      <c r="L20" s="44">
        <v>1.0377058022237001E-3</v>
      </c>
      <c r="M20" s="50">
        <v>0</v>
      </c>
      <c r="N20" s="51">
        <v>9.9137488883627601E-4</v>
      </c>
      <c r="O20" s="43">
        <v>0</v>
      </c>
      <c r="P20" s="44">
        <v>9.7379199906478099E-4</v>
      </c>
      <c r="Q20" s="50">
        <v>0</v>
      </c>
      <c r="R20" s="51">
        <v>9.2549088970668805E-4</v>
      </c>
      <c r="S20" s="43">
        <v>0</v>
      </c>
      <c r="T20" s="44">
        <v>8.8845794930065398E-4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-1E-4</v>
      </c>
      <c r="D21" s="44">
        <v>1.6166710140463E-2</v>
      </c>
      <c r="E21" s="50">
        <v>2.0000000000000001E-4</v>
      </c>
      <c r="F21" s="51">
        <v>1.5664210734385699E-2</v>
      </c>
      <c r="G21" s="43">
        <v>0</v>
      </c>
      <c r="H21" s="44">
        <v>1.6210883656752301E-2</v>
      </c>
      <c r="I21" s="50">
        <v>2.0000000000000001E-4</v>
      </c>
      <c r="J21" s="51">
        <v>1.55402770785514E-2</v>
      </c>
      <c r="K21" s="43">
        <v>1E-4</v>
      </c>
      <c r="L21" s="44">
        <v>1.7160677878780201E-2</v>
      </c>
      <c r="M21" s="50">
        <v>0</v>
      </c>
      <c r="N21" s="51">
        <v>1.6352381429976599E-2</v>
      </c>
      <c r="O21" s="43">
        <v>-1E-4</v>
      </c>
      <c r="P21" s="44">
        <v>1.71249607111463E-2</v>
      </c>
      <c r="Q21" s="50">
        <v>0</v>
      </c>
      <c r="R21" s="51">
        <v>1.73695981920024E-2</v>
      </c>
      <c r="S21" s="43">
        <v>-1E-4</v>
      </c>
      <c r="T21" s="44">
        <v>1.7932294167892899E-2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9.9999999999999503E-5</v>
      </c>
      <c r="D24" s="44">
        <v>0.137940830551326</v>
      </c>
      <c r="E24" s="50">
        <v>-9.9999999999999802E-5</v>
      </c>
      <c r="F24" s="51">
        <v>0.138700576037491</v>
      </c>
      <c r="G24" s="43">
        <v>-8.9999999999999802E-4</v>
      </c>
      <c r="H24" s="44">
        <v>0.142250652706533</v>
      </c>
      <c r="I24" s="50">
        <v>9.9999999999994597E-5</v>
      </c>
      <c r="J24" s="51">
        <v>0.137024701745529</v>
      </c>
      <c r="K24" s="43">
        <v>-1.24791670053082E-18</v>
      </c>
      <c r="L24" s="44">
        <v>0.13470854738223201</v>
      </c>
      <c r="M24" s="50">
        <v>-8.0000000000000004E-4</v>
      </c>
      <c r="N24" s="51">
        <v>0.13523306682782901</v>
      </c>
      <c r="O24" s="43">
        <v>-5.9999999999999995E-4</v>
      </c>
      <c r="P24" s="44">
        <v>0.13551686200417201</v>
      </c>
      <c r="Q24" s="50">
        <v>1.6999999999999999E-3</v>
      </c>
      <c r="R24" s="51">
        <v>0.13760904137331201</v>
      </c>
      <c r="S24" s="43">
        <v>5.0000000000000001E-4</v>
      </c>
      <c r="T24" s="44">
        <v>0.13831946789368399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4.2621082883948202E-4</v>
      </c>
      <c r="E25" s="50">
        <v>0</v>
      </c>
      <c r="F25" s="51">
        <v>4.2399246409502997E-4</v>
      </c>
      <c r="G25" s="43">
        <v>0</v>
      </c>
      <c r="H25" s="44">
        <v>4.4847193434367999E-4</v>
      </c>
      <c r="I25" s="50">
        <v>0</v>
      </c>
      <c r="J25" s="51">
        <v>3.8109724717696699E-4</v>
      </c>
      <c r="K25" s="43">
        <v>0</v>
      </c>
      <c r="L25" s="44">
        <v>3.8871637249218802E-4</v>
      </c>
      <c r="M25" s="50">
        <v>0</v>
      </c>
      <c r="N25" s="51">
        <v>4.2656876471195701E-4</v>
      </c>
      <c r="O25" s="43">
        <v>0</v>
      </c>
      <c r="P25" s="44">
        <v>4.2779122430169003E-4</v>
      </c>
      <c r="Q25" s="50">
        <v>0</v>
      </c>
      <c r="R25" s="51">
        <v>3.9336249124847302E-4</v>
      </c>
      <c r="S25" s="43">
        <v>0</v>
      </c>
      <c r="T25" s="44">
        <v>2.1398761231416986E-5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1.6E-2</v>
      </c>
      <c r="D26" s="46">
        <v>1</v>
      </c>
      <c r="E26" s="52">
        <v>6.4999999999999997E-3</v>
      </c>
      <c r="F26" s="53">
        <v>1</v>
      </c>
      <c r="G26" s="45">
        <v>-1.9699999999999999E-2</v>
      </c>
      <c r="H26" s="46">
        <v>1</v>
      </c>
      <c r="I26" s="52">
        <v>4.2200000000000001E-2</v>
      </c>
      <c r="J26" s="53">
        <v>1</v>
      </c>
      <c r="K26" s="45">
        <v>2.3400000000000001E-2</v>
      </c>
      <c r="L26" s="46">
        <v>1</v>
      </c>
      <c r="M26" s="52">
        <v>-3.5000000000000001E-3</v>
      </c>
      <c r="N26" s="53">
        <v>1</v>
      </c>
      <c r="O26" s="45">
        <v>-9.4999999999999998E-3</v>
      </c>
      <c r="P26" s="46">
        <v>1</v>
      </c>
      <c r="Q26" s="52">
        <v>9.4000000000000004E-3</v>
      </c>
      <c r="R26" s="53">
        <v>1</v>
      </c>
      <c r="S26" s="45">
        <v>5.4000000000000003E-3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2">
        <v>7476.5361499999799</v>
      </c>
      <c r="D27" s="123"/>
      <c r="E27" s="124">
        <v>3114.62907000004</v>
      </c>
      <c r="F27" s="125"/>
      <c r="G27" s="122">
        <v>-9188.1238400000002</v>
      </c>
      <c r="H27" s="123"/>
      <c r="I27" s="124">
        <v>19188.188819999999</v>
      </c>
      <c r="J27" s="125"/>
      <c r="K27" s="122">
        <v>11022.723249999999</v>
      </c>
      <c r="L27" s="123"/>
      <c r="M27" s="124">
        <v>-1683.1581100000201</v>
      </c>
      <c r="N27" s="125"/>
      <c r="O27" s="122">
        <v>-4553.15066999999</v>
      </c>
      <c r="P27" s="123"/>
      <c r="Q27" s="124">
        <v>4515.6601999999803</v>
      </c>
      <c r="R27" s="125"/>
      <c r="S27" s="47">
        <v>2594.2784100000299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1.49E-2</v>
      </c>
      <c r="D29" s="49">
        <v>0.68485809820885202</v>
      </c>
      <c r="E29" s="55">
        <v>4.3E-3</v>
      </c>
      <c r="F29" s="56">
        <v>0.71557280419493097</v>
      </c>
      <c r="G29" s="48">
        <v>-5.4999999999999997E-3</v>
      </c>
      <c r="H29" s="49">
        <v>0.71878289505762905</v>
      </c>
      <c r="I29" s="55">
        <v>2.76E-2</v>
      </c>
      <c r="J29" s="56">
        <v>0.70799956425421895</v>
      </c>
      <c r="K29" s="48">
        <v>1.84E-2</v>
      </c>
      <c r="L29" s="49">
        <v>0.70809143211530901</v>
      </c>
      <c r="M29" s="55">
        <v>-2.35E-2</v>
      </c>
      <c r="N29" s="56">
        <v>0.69747626622178605</v>
      </c>
      <c r="O29" s="48">
        <v>-5.1000000000000004E-3</v>
      </c>
      <c r="P29" s="49">
        <v>0.702618596007348</v>
      </c>
      <c r="Q29" s="55">
        <v>7.4000000000000003E-3</v>
      </c>
      <c r="R29" s="56">
        <v>0.69746971346071396</v>
      </c>
      <c r="S29" s="48">
        <v>-1.6000000000000001E-3</v>
      </c>
      <c r="T29" s="49">
        <v>0.68903651539953203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1.1000000000000001E-3</v>
      </c>
      <c r="D30" s="44">
        <v>0.31514190179114798</v>
      </c>
      <c r="E30" s="50">
        <v>2.2000000000000001E-3</v>
      </c>
      <c r="F30" s="51">
        <v>0.28442719580506898</v>
      </c>
      <c r="G30" s="43">
        <v>-1.4200000000000001E-2</v>
      </c>
      <c r="H30" s="44">
        <v>0.28121710494237101</v>
      </c>
      <c r="I30" s="50">
        <v>1.46E-2</v>
      </c>
      <c r="J30" s="51">
        <v>0.292000435745781</v>
      </c>
      <c r="K30" s="43">
        <v>5.0000000000000001E-3</v>
      </c>
      <c r="L30" s="44">
        <v>0.29190856788469099</v>
      </c>
      <c r="M30" s="50">
        <v>0.02</v>
      </c>
      <c r="N30" s="51">
        <v>0.30252373377821401</v>
      </c>
      <c r="O30" s="43">
        <v>-4.4000000000000003E-3</v>
      </c>
      <c r="P30" s="44">
        <v>0.297381403992652</v>
      </c>
      <c r="Q30" s="50">
        <v>2E-3</v>
      </c>
      <c r="R30" s="51">
        <v>0.30253028653928599</v>
      </c>
      <c r="S30" s="43">
        <v>7.0000000000000001E-3</v>
      </c>
      <c r="T30" s="44">
        <v>0.31096348460046802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1.6E-2</v>
      </c>
      <c r="D31" s="46">
        <v>1</v>
      </c>
      <c r="E31" s="52">
        <v>6.4999999999999997E-3</v>
      </c>
      <c r="F31" s="53">
        <v>1</v>
      </c>
      <c r="G31" s="45">
        <v>-1.9699999999999999E-2</v>
      </c>
      <c r="H31" s="46">
        <v>1</v>
      </c>
      <c r="I31" s="52">
        <v>4.2200000000000001E-2</v>
      </c>
      <c r="J31" s="53">
        <v>1</v>
      </c>
      <c r="K31" s="45">
        <v>2.3400000000000001E-2</v>
      </c>
      <c r="L31" s="46">
        <v>1</v>
      </c>
      <c r="M31" s="52">
        <v>-3.5000000000000001E-3</v>
      </c>
      <c r="N31" s="53">
        <v>1</v>
      </c>
      <c r="O31" s="45">
        <v>-9.4999999999999998E-3</v>
      </c>
      <c r="P31" s="46">
        <v>1</v>
      </c>
      <c r="Q31" s="52">
        <v>9.4000000000000004E-3</v>
      </c>
      <c r="R31" s="53">
        <v>1</v>
      </c>
      <c r="S31" s="45">
        <v>5.4000000000000003E-3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1.3100000000000001E-2</v>
      </c>
      <c r="D33" s="49">
        <v>0.65329968598488497</v>
      </c>
      <c r="E33" s="55">
        <v>5.3E-3</v>
      </c>
      <c r="F33" s="56">
        <v>0.65134067952968999</v>
      </c>
      <c r="G33" s="48">
        <v>-2.1100000000000001E-2</v>
      </c>
      <c r="H33" s="49">
        <v>0.63730230713298297</v>
      </c>
      <c r="I33" s="55">
        <v>3.8699999999999998E-2</v>
      </c>
      <c r="J33" s="56">
        <v>0.65347789491842501</v>
      </c>
      <c r="K33" s="48">
        <v>1.9400000000000001E-2</v>
      </c>
      <c r="L33" s="49">
        <v>0.65603224507357205</v>
      </c>
      <c r="M33" s="55">
        <v>8.0000000000000004E-4</v>
      </c>
      <c r="N33" s="56">
        <v>0.65937312436161899</v>
      </c>
      <c r="O33" s="48">
        <v>-9.1999999999999998E-3</v>
      </c>
      <c r="P33" s="49">
        <v>0.66007900998353497</v>
      </c>
      <c r="Q33" s="55">
        <v>6.0000000000000001E-3</v>
      </c>
      <c r="R33" s="56">
        <v>0.66733338706755796</v>
      </c>
      <c r="S33" s="48">
        <v>4.1999999999999997E-3</v>
      </c>
      <c r="T33" s="49">
        <v>0.66277714029369905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2.8999999999999998E-3</v>
      </c>
      <c r="D34" s="44">
        <v>0.34670031401511497</v>
      </c>
      <c r="E34" s="50">
        <v>1.1999999999999999E-3</v>
      </c>
      <c r="F34" s="51">
        <v>0.34865932047031001</v>
      </c>
      <c r="G34" s="43">
        <v>1.4E-3</v>
      </c>
      <c r="H34" s="44">
        <v>0.36269769286701697</v>
      </c>
      <c r="I34" s="50">
        <v>3.5000000000000001E-3</v>
      </c>
      <c r="J34" s="51">
        <v>0.34652210508157499</v>
      </c>
      <c r="K34" s="43">
        <v>4.0000000000000001E-3</v>
      </c>
      <c r="L34" s="44">
        <v>0.343967754926428</v>
      </c>
      <c r="M34" s="50">
        <v>-4.3E-3</v>
      </c>
      <c r="N34" s="51">
        <v>0.34062687563838101</v>
      </c>
      <c r="O34" s="43">
        <v>-2.99999999999999E-4</v>
      </c>
      <c r="P34" s="44">
        <v>0.33992099001646497</v>
      </c>
      <c r="Q34" s="50">
        <v>3.3999999999999998E-3</v>
      </c>
      <c r="R34" s="51">
        <v>0.33266661293244199</v>
      </c>
      <c r="S34" s="43">
        <v>1.1999999999999999E-3</v>
      </c>
      <c r="T34" s="44">
        <v>0.337222859706301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1.6E-2</v>
      </c>
      <c r="D35" s="46">
        <v>1</v>
      </c>
      <c r="E35" s="52">
        <v>6.4999999999999997E-3</v>
      </c>
      <c r="F35" s="53">
        <v>1</v>
      </c>
      <c r="G35" s="45">
        <v>-1.9699999999999999E-2</v>
      </c>
      <c r="H35" s="46">
        <v>1</v>
      </c>
      <c r="I35" s="52">
        <v>4.2200000000000001E-2</v>
      </c>
      <c r="J35" s="53">
        <v>1</v>
      </c>
      <c r="K35" s="45">
        <v>2.3400000000000001E-2</v>
      </c>
      <c r="L35" s="46">
        <v>1</v>
      </c>
      <c r="M35" s="52">
        <v>-3.5000000000000001E-3</v>
      </c>
      <c r="N35" s="53">
        <v>1</v>
      </c>
      <c r="O35" s="45">
        <v>-9.4999999999999998E-3</v>
      </c>
      <c r="P35" s="46">
        <v>1</v>
      </c>
      <c r="Q35" s="52">
        <v>9.4000000000000004E-3</v>
      </c>
      <c r="R35" s="53">
        <v>1</v>
      </c>
      <c r="S35" s="127">
        <v>5.4000000000000003E-3</v>
      </c>
      <c r="T35" s="128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2.9999999999999997E-4</v>
      </c>
      <c r="D38" s="44">
        <v>5.3791696924663401E-2</v>
      </c>
      <c r="E38" s="50">
        <v>2.9999999999999997E-4</v>
      </c>
      <c r="F38" s="51">
        <v>5.6932926583341897E-2</v>
      </c>
      <c r="G38" s="43">
        <v>8.9986987098900073E-4</v>
      </c>
      <c r="H38" s="44">
        <v>2.5037537618681101E-2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-5.9999999999999995E-4</v>
      </c>
      <c r="D39" s="44">
        <v>0.11091069100840301</v>
      </c>
      <c r="E39" s="50">
        <v>2.0999999999999999E-3</v>
      </c>
      <c r="F39" s="51">
        <v>0.12427781624084799</v>
      </c>
      <c r="G39" s="43">
        <v>1.5987696941512919E-3</v>
      </c>
      <c r="H39" s="44">
        <v>0.150781264540569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0</v>
      </c>
      <c r="D42" s="44">
        <v>0.111747877096755</v>
      </c>
      <c r="E42" s="50">
        <v>3.5000000000000001E-3</v>
      </c>
      <c r="F42" s="51">
        <v>0.10900343094202999</v>
      </c>
      <c r="G42" s="43">
        <v>3.299049175174984E-3</v>
      </c>
      <c r="H42" s="44">
        <v>0.11151664361131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2.0092505813466902E-3</v>
      </c>
      <c r="E43" s="50">
        <v>2.0000000000000001E-4</v>
      </c>
      <c r="F43" s="51">
        <v>1.7585496895431501E-3</v>
      </c>
      <c r="G43" s="43">
        <v>1.9999999999997797E-4</v>
      </c>
      <c r="H43" s="44">
        <v>1.57505454575381E-3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9.1000000000000004E-3</v>
      </c>
      <c r="D44" s="44">
        <v>0.26088138690978802</v>
      </c>
      <c r="E44" s="50">
        <v>3.0099999999999998E-2</v>
      </c>
      <c r="F44" s="51">
        <v>0.24007400744794399</v>
      </c>
      <c r="G44" s="43">
        <v>3.2341508049334333E-2</v>
      </c>
      <c r="H44" s="44">
        <v>0.23205317481863999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-2.0999999999999999E-3</v>
      </c>
      <c r="D45" s="44">
        <v>8.6075142781110003E-2</v>
      </c>
      <c r="E45" s="50">
        <v>1.06E-2</v>
      </c>
      <c r="F45" s="51">
        <v>0.106304952648146</v>
      </c>
      <c r="G45" s="43">
        <v>9.6817469301919701E-3</v>
      </c>
      <c r="H45" s="44">
        <v>0.122518396050566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-1.1999999999999999E-3</v>
      </c>
      <c r="D46" s="44">
        <v>3.3871295620793898E-2</v>
      </c>
      <c r="E46" s="50">
        <v>-8.0000000000000004E-4</v>
      </c>
      <c r="F46" s="51">
        <v>3.6662238127699497E-2</v>
      </c>
      <c r="G46" s="43">
        <v>-9.4973001751874619E-7</v>
      </c>
      <c r="H46" s="44">
        <v>3.72794415450022E-2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3.5999999999999999E-3</v>
      </c>
      <c r="D47" s="44">
        <v>0.17618928472433301</v>
      </c>
      <c r="E47" s="50">
        <v>-1.4E-3</v>
      </c>
      <c r="F47" s="51">
        <v>0.15959438680927299</v>
      </c>
      <c r="G47" s="43">
        <v>6.0868103547824237E-3</v>
      </c>
      <c r="H47" s="44">
        <v>0.166332823594634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-1E-4</v>
      </c>
      <c r="D48" s="44">
        <v>3.5580773697464399E-4</v>
      </c>
      <c r="E48" s="50">
        <v>-2.9999999999999997E-4</v>
      </c>
      <c r="F48" s="51">
        <v>7.2436903129436601E-5</v>
      </c>
      <c r="G48" s="43">
        <v>1.0003000000008378E-4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-5.4000000000000003E-3</v>
      </c>
      <c r="D49" s="44">
        <v>4.0126352364907103E-3</v>
      </c>
      <c r="E49" s="50">
        <v>2.1499999999999998E-2</v>
      </c>
      <c r="F49" s="51">
        <v>1.23158626966912E-2</v>
      </c>
      <c r="G49" s="43">
        <v>1.5811490894948044E-2</v>
      </c>
      <c r="H49" s="44">
        <v>-4.6559550972655002E-3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-1E-4</v>
      </c>
      <c r="D50" s="44">
        <v>1.2926230016299401E-4</v>
      </c>
      <c r="E50" s="50">
        <v>5.0000000000000001E-4</v>
      </c>
      <c r="F50" s="51">
        <v>0</v>
      </c>
      <c r="G50" s="43">
        <v>4.9999999999994493E-4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1.1156607815503499E-3</v>
      </c>
      <c r="E51" s="50">
        <v>1E-4</v>
      </c>
      <c r="F51" s="51">
        <v>9.9137488883627601E-4</v>
      </c>
      <c r="G51" s="43">
        <v>9.9999999999988987E-5</v>
      </c>
      <c r="H51" s="44">
        <v>8.8845794930065398E-4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1.6210883656752301E-2</v>
      </c>
      <c r="E52" s="50">
        <v>4.0000000000000002E-4</v>
      </c>
      <c r="F52" s="51">
        <v>1.6352381429976599E-2</v>
      </c>
      <c r="G52" s="43">
        <v>1.9993000400009286E-4</v>
      </c>
      <c r="H52" s="44">
        <v>1.7932294167892899E-2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-1E-3</v>
      </c>
      <c r="D55" s="44">
        <v>0.142250652706533</v>
      </c>
      <c r="E55" s="50">
        <v>-1.2999999999999999E-3</v>
      </c>
      <c r="F55" s="51">
        <v>0.13523306682782901</v>
      </c>
      <c r="G55" s="43">
        <v>2.9745010166304375E-4</v>
      </c>
      <c r="H55" s="44">
        <v>0.13831946789368399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0</v>
      </c>
      <c r="D56" s="44">
        <v>4.4847193434367999E-4</v>
      </c>
      <c r="E56" s="50">
        <v>0</v>
      </c>
      <c r="F56" s="51">
        <v>4.2656876471195701E-4</v>
      </c>
      <c r="G56" s="43">
        <v>0</v>
      </c>
      <c r="H56" s="44">
        <v>4.2139876123141701E-4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2.5000000000000001E-3</v>
      </c>
      <c r="D57" s="46">
        <v>1</v>
      </c>
      <c r="E57" s="52">
        <v>6.5500000000000003E-2</v>
      </c>
      <c r="F57" s="53">
        <v>1</v>
      </c>
      <c r="G57" s="129">
        <v>7.1115705345217661E-2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2">
        <v>1403.0413800000199</v>
      </c>
      <c r="D58" s="123"/>
      <c r="E58" s="124">
        <v>29930.795340000001</v>
      </c>
      <c r="F58" s="125"/>
      <c r="G58" s="122">
        <v>32487.583280000021</v>
      </c>
      <c r="H58" s="123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126"/>
      <c r="D59" s="126"/>
      <c r="E59" s="126"/>
      <c r="F59" s="126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1.3599999999999999E-2</v>
      </c>
      <c r="D60" s="49">
        <v>0.71878289505762905</v>
      </c>
      <c r="E60" s="55">
        <v>3.6499999999999998E-2</v>
      </c>
      <c r="F60" s="56">
        <v>0.69747626622178605</v>
      </c>
      <c r="G60" s="43">
        <v>3.7182680758015785E-2</v>
      </c>
      <c r="H60" s="49">
        <v>0.68903651539953303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-1.11E-2</v>
      </c>
      <c r="D61" s="44">
        <v>0.28121710494237101</v>
      </c>
      <c r="E61" s="50">
        <v>2.9000000000000001E-2</v>
      </c>
      <c r="F61" s="51">
        <v>0.30252373377821401</v>
      </c>
      <c r="G61" s="43">
        <v>3.3906994213600126E-2</v>
      </c>
      <c r="H61" s="44">
        <v>0.31096348460046702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2.5000000000000001E-3</v>
      </c>
      <c r="D62" s="46">
        <v>1</v>
      </c>
      <c r="E62" s="52">
        <v>6.5500000000000003E-2</v>
      </c>
      <c r="F62" s="53">
        <v>1</v>
      </c>
      <c r="G62" s="130">
        <v>7.1089674971615918E-2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-3.0000000000000001E-3</v>
      </c>
      <c r="D64" s="49">
        <v>0.63730230713298297</v>
      </c>
      <c r="E64" s="55">
        <v>5.67E-2</v>
      </c>
      <c r="F64" s="56">
        <v>0.65937312436161899</v>
      </c>
      <c r="G64" s="43">
        <v>5.7683923126671921E-2</v>
      </c>
      <c r="H64" s="49">
        <v>0.66277714029369805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5.4999999999999997E-3</v>
      </c>
      <c r="D65" s="44">
        <v>0.36269769286701697</v>
      </c>
      <c r="E65" s="50">
        <v>8.8000000000000005E-3</v>
      </c>
      <c r="F65" s="51">
        <v>0.34062687563838101</v>
      </c>
      <c r="G65" s="43">
        <v>1.3440562525228994E-2</v>
      </c>
      <c r="H65" s="44">
        <v>0.337222859706302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2.5000000000000001E-3</v>
      </c>
      <c r="D66" s="46">
        <v>1</v>
      </c>
      <c r="E66" s="52">
        <v>6.5500000000000003E-2</v>
      </c>
      <c r="F66" s="53">
        <v>1</v>
      </c>
      <c r="G66" s="130">
        <v>7.1124485651900909E-2</v>
      </c>
      <c r="H66" s="128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2026-10-19T08:22:03Z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