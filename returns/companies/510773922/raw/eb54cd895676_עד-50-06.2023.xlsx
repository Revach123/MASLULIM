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9"/>
  <workbookPr defaultThemeVersion="124226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3\30.06.2023\פועלים סהר\ארם\סופי\"/>
    </mc:Choice>
  </mc:AlternateContent>
  <xr:revisionPtr revIDLastSave="0" documentId="13_ncr:1_{F3BBE65B-F410-496E-9844-E8ECF7961F5D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<sst xmlns="http://schemas.openxmlformats.org/spreadsheetml/2006/main" count="113" uniqueCount="70">
  <si>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</si>
  <si>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</si>
  <si>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</si>
  <si>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</si>
  <si>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</si>
  <si>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</si>
  <si>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</si>
  <si>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</si>
  <si>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</si>
  <si>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</si>
  <si>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</si>
  <si>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</si>
  <si>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</si>
  <si>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</si>
  <si>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</si>
  <si>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</si>
  <si>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</si>
  <si>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</si>
  <si>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</si>
  <si>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</si>
  <si>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</si>
  <si>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</si>
  <si>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</si>
  <si>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</si>
  <si>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</si>
  <si>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</si>
  <si>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</si>
  <si>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</si>
  <si>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</si>
  <si>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</si>
  <si>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</si>
  <si>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</si>
  <si>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</si>
  <si>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</si>
  <si>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</si>
  <si>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</si>
  <si>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</si>
  <si>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</si>
  <si>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</si>
  <si>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</si>
  <si>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</si>
  <si>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</si>
  <si>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</si>
  <si>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</si>
  <si>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</si>
  <si>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</si>
  <si>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</si>
  <si>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</si>
  <si>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</si>
  <si>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</si>
  <si>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</si>
  <si>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</si>
  <si>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</si>
  <si>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</si>
  <si>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</si>
  <si>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</si>
  <si>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</si>
  <si>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</si>
  <si>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</si>
  <si>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</si>
  <si>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</si>
  <si>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</si>
  <si>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</si>
  <si>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</si>
  <si>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</si>
  <si>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</si>
  <si>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</si>
  <si>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ארם גמולים חברה לניהול קופות גמל בע"מ</t>
  </si>
  <si>
    <t>ארם עד 50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</si>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</sst>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4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91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8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19" xfId="421" applyNumberFormat="1" applyFont="1" applyFill="1" applyBorder="1"/>
    <xf numFmtId="3" fontId="17" fillId="2" borderId="20" xfId="421" applyNumberFormat="1" applyFont="1" applyFill="1" applyBorder="1"/>
    <xf numFmtId="10" fontId="17" fillId="4" borderId="21" xfId="421" applyNumberFormat="1" applyFont="1" applyFill="1" applyBorder="1"/>
    <xf numFmtId="3" fontId="17" fillId="5" borderId="20" xfId="421" applyNumberFormat="1" applyFont="1" applyFill="1" applyBorder="1"/>
    <xf numFmtId="10" fontId="17" fillId="4" borderId="22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7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19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19" fillId="0" borderId="0" xfId="421" applyNumberFormat="1" applyFont="1" applyFill="1"/>
    <xf numFmtId="10" fontId="17" fillId="2" borderId="15" xfId="421" applyNumberFormat="1" applyFont="1" applyFill="1" applyBorder="1"/>
    <xf numFmtId="10" fontId="17" fillId="2" borderId="16" xfId="421" applyNumberFormat="1" applyFont="1" applyFill="1" applyBorder="1"/>
    <xf numFmtId="10" fontId="17" fillId="5" borderId="15" xfId="421" applyNumberFormat="1" applyFont="1" applyFill="1" applyBorder="1"/>
    <xf numFmtId="10" fontId="17" fillId="5" borderId="16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9" borderId="0" xfId="0" applyFont="1" applyFill="1" applyAlignment="1">
      <alignment horizontal="right"/>
    </xf>
    <xf numFmtId="14" fontId="22" fillId="9" borderId="0" xfId="0" applyNumberFormat="1" applyFont="1" applyFill="1" applyAlignment="1">
      <alignment horizontal="right"/>
    </xf>
    <xf numFmtId="43" fontId="16" fillId="2" borderId="4" xfId="504" applyFont="1" applyFill="1" applyBorder="1"/>
    <xf numFmtId="43" fontId="16" fillId="2" borderId="5" xfId="504" applyFont="1" applyFill="1" applyBorder="1"/>
    <xf numFmtId="43" fontId="16" fillId="5" borderId="4" xfId="504" applyFont="1" applyFill="1" applyBorder="1"/>
    <xf numFmtId="43" fontId="16" fillId="5" borderId="5" xfId="504" applyFont="1" applyFill="1" applyBorder="1"/>
    <xf numFmtId="43" fontId="17" fillId="2" borderId="9" xfId="504" applyFont="1" applyFill="1" applyBorder="1"/>
    <xf numFmtId="43" fontId="17" fillId="2" borderId="10" xfId="504" applyFont="1" applyFill="1" applyBorder="1"/>
    <xf numFmtId="43" fontId="17" fillId="5" borderId="9" xfId="504" applyFont="1" applyFill="1" applyBorder="1"/>
    <xf numFmtId="43" fontId="17" fillId="5" borderId="10" xfId="504" applyFont="1" applyFill="1" applyBorder="1"/>
    <xf numFmtId="43" fontId="17" fillId="2" borderId="11" xfId="504" applyFont="1" applyFill="1" applyBorder="1"/>
    <xf numFmtId="43" fontId="17" fillId="5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5" borderId="1" xfId="421" applyNumberFormat="1" applyFont="1" applyFill="1" applyBorder="1"/>
    <xf numFmtId="2" fontId="16" fillId="5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5" borderId="4" xfId="421" applyNumberFormat="1" applyFont="1" applyFill="1" applyBorder="1"/>
    <xf numFmtId="2" fontId="16" fillId="5" borderId="5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5" borderId="9" xfId="421" applyNumberFormat="1" applyFont="1" applyFill="1" applyBorder="1"/>
    <xf numFmtId="2" fontId="17" fillId="5" borderId="10" xfId="421" applyNumberFormat="1" applyFont="1" applyFill="1" applyBorder="1"/>
    <xf numFmtId="0" fontId="23" fillId="9" borderId="0" xfId="0" applyFont="1" applyFill="1" applyAlignment="1">
      <alignment horizontal="right"/>
    </xf>
    <xf numFmtId="4" fontId="16" fillId="11" borderId="23" xfId="0" applyNumberFormat="1" applyFont="1" applyFill="1" applyBorder="1" applyAlignment="1" applyProtection="1">
      <alignment horizontal="right"/>
      <protection locked="0"/>
    </xf>
    <xf numFmtId="4" fontId="16" fillId="10" borderId="23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4" fontId="16" fillId="11" borderId="24" xfId="0" applyNumberFormat="1" applyFont="1" applyFill="1" applyBorder="1" applyAlignment="1" applyProtection="1">
      <alignment horizontal="right"/>
      <protection locked="0"/>
    </xf>
    <xf numFmtId="4" fontId="16" fillId="10" borderId="24" xfId="0" applyNumberFormat="1" applyFont="1" applyFill="1" applyBorder="1" applyAlignment="1" applyProtection="1">
      <alignment horizontal="right"/>
      <protection locked="0"/>
    </xf>
    <xf numFmtId="4" fontId="17" fillId="11" borderId="25" xfId="0" applyNumberFormat="1" applyFont="1" applyFill="1" applyBorder="1" applyAlignment="1" applyProtection="1">
      <alignment horizontal="right"/>
      <protection locked="0"/>
    </xf>
    <xf numFmtId="4" fontId="17" fillId="10" borderId="25" xfId="0" applyNumberFormat="1" applyFont="1" applyFill="1" applyBorder="1" applyAlignment="1" applyProtection="1">
      <alignment horizontal="right"/>
      <protection locked="0"/>
    </xf>
    <xf numFmtId="0" fontId="16" fillId="9" borderId="25" xfId="0" applyFont="1" applyFill="1" applyBorder="1" applyAlignment="1" applyProtection="1">
      <alignment horizontal="right" wrapText="1"/>
      <protection locked="0"/>
    </xf>
    <xf numFmtId="4" fontId="17" fillId="11" borderId="10" xfId="0" applyNumberFormat="1" applyFont="1" applyFill="1" applyBorder="1" applyAlignment="1" applyProtection="1">
      <alignment horizontal="right"/>
      <protection locked="0"/>
    </xf>
    <xf numFmtId="0" fontId="16" fillId="9" borderId="26" xfId="0" applyFont="1" applyFill="1" applyBorder="1" applyAlignment="1" applyProtection="1">
      <alignment horizontal="right" wrapText="1"/>
      <protection locked="0"/>
    </xf>
    <xf numFmtId="2" fontId="16" fillId="2" borderId="28" xfId="421" applyNumberFormat="1" applyFont="1" applyFill="1" applyBorder="1"/>
    <xf numFmtId="2" fontId="16" fillId="2" borderId="29" xfId="421" applyNumberFormat="1" applyFont="1" applyFill="1" applyBorder="1"/>
    <xf numFmtId="10" fontId="16" fillId="2" borderId="30" xfId="421" applyNumberFormat="1" applyFont="1" applyFill="1" applyBorder="1"/>
    <xf numFmtId="10" fontId="16" fillId="2" borderId="31" xfId="421" applyNumberFormat="1" applyFont="1" applyFill="1" applyBorder="1"/>
    <xf numFmtId="4" fontId="17" fillId="11" borderId="27" xfId="0" applyNumberFormat="1" applyFont="1" applyFill="1" applyBorder="1" applyAlignment="1" applyProtection="1">
      <alignment horizontal="right"/>
      <protection locked="0"/>
    </xf>
    <xf numFmtId="0" fontId="13" fillId="7" borderId="14" xfId="0" applyFont="1" applyFill="1" applyBorder="1" applyAlignment="1">
      <alignment horizontal="center"/>
    </xf>
    <xf numFmtId="0" fontId="20" fillId="8" borderId="0" xfId="0" applyFont="1" applyFill="1" applyAlignment="1">
      <alignment horizontal="center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acov_p/AppData/Local/Microsoft/Windows/INetCache/Content.Outlook/CO35KMQG/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8" totalsRowShown="0" headerRowDxfId="39" dataDxfId="38" tableBorderDxfId="37">
  <autoFilter ref="B38:J68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autoFilter ref="B6:Z36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69"/>
  <sheetViews>
    <sheetView rightToLeft="1" tabSelected="1" topLeftCell="I1" workbookViewId="0">
      <selection activeCell="O11" sqref="O11"/>
    </sheetView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customWidth="1"/>
    <col min="16" max="16" width="19.125" style="16" customWidth="1"/>
    <col min="17" max="17" width="18" style="16" customWidth="1"/>
    <col min="18" max="18" width="19.125" style="16" customWidth="1"/>
    <col min="19" max="19" width="18" style="16" customWidth="1"/>
    <col min="20" max="20" width="19.125" style="16" customWidth="1"/>
    <col min="21" max="21" width="18" style="16" customWidth="1"/>
    <col min="22" max="22" width="19.125" style="16" customWidth="1"/>
    <col min="23" max="23" width="18" style="16" customWidth="1"/>
    <col min="24" max="24" width="19.125" style="16" customWidth="1"/>
    <col min="25" max="25" width="18" style="16" customWidth="1"/>
    <col min="26" max="26" width="19.125" style="16" customWidth="1"/>
    <col min="27" max="16384" width="9.125" style="16"/>
  </cols>
  <sheetData>
    <row r="1" spans="2:26" ht="18" x14ac:dyDescent="0.25">
      <c r="B1" s="15" t="s">
        <v>0</v>
      </c>
    </row>
    <row r="2" spans="2:26" ht="18.75" x14ac:dyDescent="0.3">
      <c r="B2" s="47" t="s">
        <v>62</v>
      </c>
      <c r="C2" s="49">
        <v>9922</v>
      </c>
      <c r="D2" s="49"/>
      <c r="E2" s="49"/>
    </row>
    <row r="3" spans="2:26" ht="18.75" x14ac:dyDescent="0.3">
      <c r="B3" s="48" t="s">
        <v>63</v>
      </c>
      <c r="C3" s="73" t="s">
        <v>68</v>
      </c>
      <c r="D3" s="49"/>
      <c r="E3" s="49"/>
    </row>
    <row r="4" spans="2:26" ht="18.75" x14ac:dyDescent="0.3">
      <c r="B4" s="47" t="s">
        <v>64</v>
      </c>
      <c r="C4" s="73" t="s">
        <v>67</v>
      </c>
      <c r="D4" s="49"/>
      <c r="E4" s="49"/>
    </row>
    <row r="5" spans="2:26" ht="18.75" x14ac:dyDescent="0.3">
      <c r="B5" s="48" t="s">
        <v>65</v>
      </c>
      <c r="C5" s="49">
        <f>[1]הנחיות!B19</f>
        <v>2023</v>
      </c>
      <c r="D5" s="49" t="s">
        <v>66</v>
      </c>
      <c r="E5" s="50">
        <v>45106</v>
      </c>
    </row>
    <row r="6" spans="2:26" ht="45" x14ac:dyDescent="0.2">
      <c r="B6" s="17" t="s">
        <v>27</v>
      </c>
      <c r="C6" s="18" t="s">
        <v>38</v>
      </c>
      <c r="D6" s="19" t="s">
        <v>50</v>
      </c>
      <c r="E6" s="20" t="s">
        <v>39</v>
      </c>
      <c r="F6" s="21" t="s">
        <v>51</v>
      </c>
      <c r="G6" s="18" t="s">
        <v>40</v>
      </c>
      <c r="H6" s="19" t="s">
        <v>52</v>
      </c>
      <c r="I6" s="20" t="s">
        <v>41</v>
      </c>
      <c r="J6" s="21" t="s">
        <v>53</v>
      </c>
      <c r="K6" s="18" t="s">
        <v>42</v>
      </c>
      <c r="L6" s="19" t="s">
        <v>54</v>
      </c>
      <c r="M6" s="20" t="s">
        <v>43</v>
      </c>
      <c r="N6" s="21" t="s">
        <v>55</v>
      </c>
      <c r="O6" s="18" t="s">
        <v>44</v>
      </c>
      <c r="P6" s="19" t="s">
        <v>56</v>
      </c>
      <c r="Q6" s="20" t="s">
        <v>45</v>
      </c>
      <c r="R6" s="21" t="s">
        <v>57</v>
      </c>
      <c r="S6" s="18" t="s">
        <v>46</v>
      </c>
      <c r="T6" s="19" t="s">
        <v>58</v>
      </c>
      <c r="U6" s="20" t="s">
        <v>47</v>
      </c>
      <c r="V6" s="21" t="s">
        <v>59</v>
      </c>
      <c r="W6" s="18" t="s">
        <v>48</v>
      </c>
      <c r="X6" s="19" t="s">
        <v>60</v>
      </c>
      <c r="Y6" s="20" t="s">
        <v>49</v>
      </c>
      <c r="Z6" s="21" t="s">
        <v>61</v>
      </c>
    </row>
    <row r="7" spans="2:26" x14ac:dyDescent="0.2">
      <c r="B7" s="22" t="s">
        <v>1</v>
      </c>
      <c r="C7" s="51">
        <v>1.2E-2</v>
      </c>
      <c r="D7" s="52">
        <v>7.7329999999999997</v>
      </c>
      <c r="E7" s="53">
        <v>3.6999999999999998E-2</v>
      </c>
      <c r="F7" s="54">
        <v>6.9829999999999997</v>
      </c>
      <c r="G7" s="51">
        <v>-3.0000000000000001E-3</v>
      </c>
      <c r="H7" s="52">
        <v>7.3979999999999997</v>
      </c>
      <c r="I7" s="74">
        <v>3.4000000000000002E-2</v>
      </c>
      <c r="J7" s="74">
        <v>7.3470000000000004</v>
      </c>
      <c r="K7" s="75">
        <v>2.5000000000000001E-2</v>
      </c>
      <c r="L7" s="75">
        <v>4.657</v>
      </c>
      <c r="M7" s="74">
        <v>3.0000000000000001E-3</v>
      </c>
      <c r="N7" s="74">
        <v>5.1589999999999998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</row>
    <row r="8" spans="2:26" x14ac:dyDescent="0.2">
      <c r="B8" s="23" t="s">
        <v>2</v>
      </c>
      <c r="C8" s="51">
        <v>0.112</v>
      </c>
      <c r="D8" s="52">
        <v>18.274000000000001</v>
      </c>
      <c r="E8" s="53">
        <v>-0.3</v>
      </c>
      <c r="F8" s="54">
        <v>18.327999999999999</v>
      </c>
      <c r="G8" s="51">
        <v>0.16600000000000001</v>
      </c>
      <c r="H8" s="52">
        <v>17.815999999999999</v>
      </c>
      <c r="I8" s="74">
        <v>-1.7000000000000001E-2</v>
      </c>
      <c r="J8" s="74">
        <v>19.041</v>
      </c>
      <c r="K8" s="75">
        <v>0.17699999999999999</v>
      </c>
      <c r="L8" s="75">
        <v>19.954000000000001</v>
      </c>
      <c r="M8" s="74">
        <v>3.6999999999999998E-2</v>
      </c>
      <c r="N8" s="74">
        <v>19.486999999999998</v>
      </c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</row>
    <row r="9" spans="2:26" x14ac:dyDescent="0.2">
      <c r="B9" s="23" t="s">
        <v>3</v>
      </c>
      <c r="C9" s="51">
        <v>0</v>
      </c>
      <c r="D9" s="52">
        <v>0</v>
      </c>
      <c r="E9" s="53">
        <v>0</v>
      </c>
      <c r="F9" s="54">
        <v>0</v>
      </c>
      <c r="G9" s="51">
        <v>0</v>
      </c>
      <c r="H9" s="52">
        <v>0</v>
      </c>
      <c r="I9" s="74">
        <v>0</v>
      </c>
      <c r="J9" s="74">
        <v>0</v>
      </c>
      <c r="K9" s="75">
        <v>0</v>
      </c>
      <c r="L9" s="75">
        <v>0</v>
      </c>
      <c r="M9" s="74">
        <v>0</v>
      </c>
      <c r="N9" s="74">
        <v>0</v>
      </c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</row>
    <row r="10" spans="2:26" x14ac:dyDescent="0.2">
      <c r="B10" s="23" t="s">
        <v>4</v>
      </c>
      <c r="C10" s="51">
        <v>0</v>
      </c>
      <c r="D10" s="52">
        <v>0</v>
      </c>
      <c r="E10" s="53">
        <v>0</v>
      </c>
      <c r="F10" s="54">
        <v>0</v>
      </c>
      <c r="G10" s="51">
        <v>0</v>
      </c>
      <c r="H10" s="52">
        <v>0</v>
      </c>
      <c r="I10" s="74">
        <v>0</v>
      </c>
      <c r="J10" s="74">
        <v>0</v>
      </c>
      <c r="K10" s="75">
        <v>0</v>
      </c>
      <c r="L10" s="75">
        <v>0</v>
      </c>
      <c r="M10" s="74">
        <v>0</v>
      </c>
      <c r="N10" s="74">
        <v>0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</row>
    <row r="11" spans="2:26" x14ac:dyDescent="0.2">
      <c r="B11" s="23" t="s">
        <v>5</v>
      </c>
      <c r="C11" s="51">
        <v>0.187</v>
      </c>
      <c r="D11" s="52">
        <v>11.135999999999999</v>
      </c>
      <c r="E11" s="53">
        <v>-0.15</v>
      </c>
      <c r="F11" s="54">
        <v>11.487</v>
      </c>
      <c r="G11" s="51">
        <v>0.1</v>
      </c>
      <c r="H11" s="52">
        <v>11.603</v>
      </c>
      <c r="I11" s="74">
        <v>8.5999999999999993E-2</v>
      </c>
      <c r="J11" s="74">
        <v>11.188000000000001</v>
      </c>
      <c r="K11" s="75">
        <v>0.13500000000000001</v>
      </c>
      <c r="L11" s="75">
        <v>11.474</v>
      </c>
      <c r="M11" s="74">
        <v>4.2999999999999997E-2</v>
      </c>
      <c r="N11" s="74">
        <v>11.919</v>
      </c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</row>
    <row r="12" spans="2:26" x14ac:dyDescent="0.2">
      <c r="B12" s="23" t="s">
        <v>6</v>
      </c>
      <c r="C12" s="51">
        <v>1E-3</v>
      </c>
      <c r="D12" s="52">
        <v>1E-3</v>
      </c>
      <c r="E12" s="53">
        <v>0</v>
      </c>
      <c r="F12" s="54">
        <v>1E-3</v>
      </c>
      <c r="G12" s="51">
        <v>0</v>
      </c>
      <c r="H12" s="52">
        <v>1E-3</v>
      </c>
      <c r="I12" s="74">
        <v>0</v>
      </c>
      <c r="J12" s="74">
        <v>1E-3</v>
      </c>
      <c r="K12" s="75">
        <v>0</v>
      </c>
      <c r="L12" s="75">
        <v>0</v>
      </c>
      <c r="M12" s="74">
        <v>0</v>
      </c>
      <c r="N12" s="74">
        <v>0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</row>
    <row r="13" spans="2:26" x14ac:dyDescent="0.2">
      <c r="B13" s="23" t="s">
        <v>7</v>
      </c>
      <c r="C13" s="51">
        <v>0.47399999999999998</v>
      </c>
      <c r="D13" s="52">
        <v>20.702999999999999</v>
      </c>
      <c r="E13" s="53">
        <v>-0.22500000000000001</v>
      </c>
      <c r="F13" s="54">
        <v>18.167000000000002</v>
      </c>
      <c r="G13" s="51">
        <v>0.33500000000000002</v>
      </c>
      <c r="H13" s="52">
        <v>17.425000000000001</v>
      </c>
      <c r="I13" s="74">
        <v>0.45200000000000001</v>
      </c>
      <c r="J13" s="74">
        <v>16.954000000000001</v>
      </c>
      <c r="K13" s="75">
        <v>0.83599999999999997</v>
      </c>
      <c r="L13" s="75">
        <v>17.106000000000002</v>
      </c>
      <c r="M13" s="74">
        <v>0.4</v>
      </c>
      <c r="N13" s="74">
        <v>16.786999999999999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</row>
    <row r="14" spans="2:26" x14ac:dyDescent="0.2">
      <c r="B14" s="23" t="s">
        <v>29</v>
      </c>
      <c r="C14" s="51">
        <v>1.6819999999999999</v>
      </c>
      <c r="D14" s="52">
        <v>39.146999999999998</v>
      </c>
      <c r="E14" s="53">
        <v>0.61</v>
      </c>
      <c r="F14" s="54">
        <v>42.908000000000001</v>
      </c>
      <c r="G14" s="51">
        <v>0.20799999999999999</v>
      </c>
      <c r="H14" s="52">
        <v>43.134</v>
      </c>
      <c r="I14" s="74">
        <v>1.333</v>
      </c>
      <c r="J14" s="74">
        <v>42.683</v>
      </c>
      <c r="K14" s="75">
        <v>0.54700000000000004</v>
      </c>
      <c r="L14" s="75">
        <v>42.889000000000003</v>
      </c>
      <c r="M14" s="74">
        <v>1.6479999999999999</v>
      </c>
      <c r="N14" s="74">
        <v>42.662999999999997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</row>
    <row r="15" spans="2:26" x14ac:dyDescent="0.2">
      <c r="B15" s="23" t="s">
        <v>8</v>
      </c>
      <c r="C15" s="51">
        <v>-1E-3</v>
      </c>
      <c r="D15" s="52">
        <v>0.79900000000000004</v>
      </c>
      <c r="E15" s="53">
        <v>4.2000000000000003E-2</v>
      </c>
      <c r="F15" s="54">
        <v>0.85</v>
      </c>
      <c r="G15" s="51">
        <v>-2.5000000000000001E-2</v>
      </c>
      <c r="H15" s="52">
        <v>1.173</v>
      </c>
      <c r="I15" s="74">
        <v>4.2000000000000003E-2</v>
      </c>
      <c r="J15" s="74">
        <v>1.1599999999999999</v>
      </c>
      <c r="K15" s="75">
        <v>3.5999999999999997E-2</v>
      </c>
      <c r="L15" s="75">
        <v>1.1759999999999999</v>
      </c>
      <c r="M15" s="74">
        <v>1.9E-2</v>
      </c>
      <c r="N15" s="74">
        <v>1.1579999999999999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</row>
    <row r="16" spans="2:26" x14ac:dyDescent="0.2">
      <c r="B16" s="23" t="s">
        <v>9</v>
      </c>
      <c r="C16" s="51">
        <v>-1.4E-2</v>
      </c>
      <c r="D16" s="52">
        <v>1.835</v>
      </c>
      <c r="E16" s="53">
        <v>5.6000000000000001E-2</v>
      </c>
      <c r="F16" s="54">
        <v>2.0619999999999998</v>
      </c>
      <c r="G16" s="51">
        <v>-1.4E-2</v>
      </c>
      <c r="H16" s="52">
        <v>2.7810000000000001</v>
      </c>
      <c r="I16" s="74">
        <v>5.6000000000000001E-2</v>
      </c>
      <c r="J16" s="74">
        <v>2.8980000000000001</v>
      </c>
      <c r="K16" s="75">
        <v>7.1999999999999995E-2</v>
      </c>
      <c r="L16" s="75">
        <v>3.1309999999999998</v>
      </c>
      <c r="M16" s="74">
        <v>-4.0000000000000001E-3</v>
      </c>
      <c r="N16" s="74">
        <v>3.1539999999999999</v>
      </c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</row>
    <row r="17" spans="2:26" x14ac:dyDescent="0.2">
      <c r="B17" s="23" t="s">
        <v>10</v>
      </c>
      <c r="C17" s="51">
        <v>0</v>
      </c>
      <c r="D17" s="52">
        <v>1.4E-2</v>
      </c>
      <c r="E17" s="53">
        <v>0</v>
      </c>
      <c r="F17" s="54">
        <v>1.4E-2</v>
      </c>
      <c r="G17" s="51">
        <v>0</v>
      </c>
      <c r="H17" s="52">
        <v>1.2999999999999999E-2</v>
      </c>
      <c r="I17" s="74">
        <v>0</v>
      </c>
      <c r="J17" s="74">
        <v>1.2999999999999999E-2</v>
      </c>
      <c r="K17" s="75">
        <v>-3.0000000000000001E-3</v>
      </c>
      <c r="L17" s="75">
        <v>1.0999999999999999E-2</v>
      </c>
      <c r="M17" s="74">
        <v>0</v>
      </c>
      <c r="N17" s="74">
        <v>0.01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</row>
    <row r="18" spans="2:26" x14ac:dyDescent="0.2">
      <c r="B18" s="23" t="s">
        <v>11</v>
      </c>
      <c r="C18" s="51">
        <v>0.25800000000000001</v>
      </c>
      <c r="D18" s="52">
        <v>0.224</v>
      </c>
      <c r="E18" s="53">
        <v>-1.139</v>
      </c>
      <c r="F18" s="54">
        <v>-1.006</v>
      </c>
      <c r="G18" s="51">
        <v>0.42099999999999999</v>
      </c>
      <c r="H18" s="52">
        <v>-1.464</v>
      </c>
      <c r="I18" s="74">
        <v>-0.35399999999999998</v>
      </c>
      <c r="J18" s="74">
        <v>-1.3779999999999999</v>
      </c>
      <c r="K18" s="75">
        <v>-0.42199999999999999</v>
      </c>
      <c r="L18" s="75">
        <v>-0.48699999999999999</v>
      </c>
      <c r="M18" s="74">
        <v>7.3999999999999996E-2</v>
      </c>
      <c r="N18" s="74">
        <v>-0.39100000000000001</v>
      </c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26" x14ac:dyDescent="0.2">
      <c r="B19" s="23" t="s">
        <v>12</v>
      </c>
      <c r="C19" s="51">
        <v>0</v>
      </c>
      <c r="D19" s="52">
        <v>0</v>
      </c>
      <c r="E19" s="53">
        <v>0</v>
      </c>
      <c r="F19" s="54">
        <v>0</v>
      </c>
      <c r="G19" s="51">
        <v>0</v>
      </c>
      <c r="H19" s="52">
        <v>0</v>
      </c>
      <c r="I19" s="74">
        <v>0</v>
      </c>
      <c r="J19" s="74">
        <v>0</v>
      </c>
      <c r="K19" s="75">
        <v>0</v>
      </c>
      <c r="L19" s="75">
        <v>0</v>
      </c>
      <c r="M19" s="74">
        <v>0</v>
      </c>
      <c r="N19" s="74">
        <v>0</v>
      </c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26" x14ac:dyDescent="0.2">
      <c r="B20" s="23" t="s">
        <v>13</v>
      </c>
      <c r="C20" s="51">
        <v>3.0000000000000001E-3</v>
      </c>
      <c r="D20" s="52">
        <v>0.22600000000000001</v>
      </c>
      <c r="E20" s="53">
        <v>4.0000000000000001E-3</v>
      </c>
      <c r="F20" s="54">
        <v>0.217</v>
      </c>
      <c r="G20" s="51">
        <v>0</v>
      </c>
      <c r="H20" s="52">
        <v>0.215</v>
      </c>
      <c r="I20" s="74">
        <v>2E-3</v>
      </c>
      <c r="J20" s="74">
        <v>0.21</v>
      </c>
      <c r="K20" s="75">
        <v>3.0000000000000001E-3</v>
      </c>
      <c r="L20" s="75">
        <v>0.20899999999999999</v>
      </c>
      <c r="M20" s="74">
        <v>0</v>
      </c>
      <c r="N20" s="74">
        <v>0.20399999999999999</v>
      </c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26" x14ac:dyDescent="0.2">
      <c r="B21" s="23" t="s">
        <v>14</v>
      </c>
      <c r="C21" s="51">
        <v>0</v>
      </c>
      <c r="D21" s="52">
        <v>0</v>
      </c>
      <c r="E21" s="53">
        <v>0</v>
      </c>
      <c r="F21" s="54">
        <v>0</v>
      </c>
      <c r="G21" s="51">
        <v>0</v>
      </c>
      <c r="H21" s="52">
        <v>0</v>
      </c>
      <c r="I21" s="74">
        <v>0</v>
      </c>
      <c r="J21" s="74">
        <v>0</v>
      </c>
      <c r="K21" s="75">
        <v>0</v>
      </c>
      <c r="L21" s="75">
        <v>0</v>
      </c>
      <c r="M21" s="74">
        <v>0</v>
      </c>
      <c r="N21" s="74">
        <v>0</v>
      </c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26" x14ac:dyDescent="0.2">
      <c r="B22" s="23" t="s">
        <v>15</v>
      </c>
      <c r="C22" s="51">
        <v>0</v>
      </c>
      <c r="D22" s="52">
        <v>0</v>
      </c>
      <c r="E22" s="53">
        <v>0</v>
      </c>
      <c r="F22" s="54">
        <v>0</v>
      </c>
      <c r="G22" s="51">
        <v>0</v>
      </c>
      <c r="H22" s="52">
        <v>0</v>
      </c>
      <c r="I22" s="74">
        <v>0</v>
      </c>
      <c r="J22" s="74">
        <v>0</v>
      </c>
      <c r="K22" s="75">
        <v>0</v>
      </c>
      <c r="L22" s="75">
        <v>0</v>
      </c>
      <c r="M22" s="74">
        <v>0</v>
      </c>
      <c r="N22" s="74">
        <v>0</v>
      </c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26" x14ac:dyDescent="0.2">
      <c r="B23" s="23" t="s">
        <v>16</v>
      </c>
      <c r="C23" s="51">
        <v>0</v>
      </c>
      <c r="D23" s="52">
        <v>0</v>
      </c>
      <c r="E23" s="53">
        <v>0</v>
      </c>
      <c r="F23" s="54">
        <v>0</v>
      </c>
      <c r="G23" s="51">
        <v>0</v>
      </c>
      <c r="H23" s="52">
        <v>0</v>
      </c>
      <c r="I23" s="74">
        <v>0</v>
      </c>
      <c r="J23" s="74">
        <v>0</v>
      </c>
      <c r="K23" s="75">
        <v>0</v>
      </c>
      <c r="L23" s="75">
        <v>0</v>
      </c>
      <c r="M23" s="74">
        <v>0</v>
      </c>
      <c r="N23" s="74">
        <v>0</v>
      </c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26" x14ac:dyDescent="0.2">
      <c r="B24" s="23" t="s">
        <v>17</v>
      </c>
      <c r="C24" s="51">
        <v>0</v>
      </c>
      <c r="D24" s="52">
        <v>0</v>
      </c>
      <c r="E24" s="53">
        <v>0</v>
      </c>
      <c r="F24" s="54">
        <v>0</v>
      </c>
      <c r="G24" s="51">
        <v>0</v>
      </c>
      <c r="H24" s="52">
        <v>0</v>
      </c>
      <c r="I24" s="74">
        <v>0</v>
      </c>
      <c r="J24" s="74">
        <v>0</v>
      </c>
      <c r="K24" s="75">
        <v>0</v>
      </c>
      <c r="L24" s="75">
        <v>0</v>
      </c>
      <c r="M24" s="74">
        <v>0</v>
      </c>
      <c r="N24" s="74">
        <v>0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26" x14ac:dyDescent="0.2">
      <c r="B25" s="23" t="s">
        <v>18</v>
      </c>
      <c r="C25" s="51">
        <v>0</v>
      </c>
      <c r="D25" s="52">
        <v>-0.09</v>
      </c>
      <c r="E25" s="53">
        <v>0</v>
      </c>
      <c r="F25" s="54">
        <v>-1.0999999999999999E-2</v>
      </c>
      <c r="G25" s="51">
        <v>0</v>
      </c>
      <c r="H25" s="52">
        <v>-9.5000000000000001E-2</v>
      </c>
      <c r="I25" s="74">
        <v>0</v>
      </c>
      <c r="J25" s="74">
        <v>-0.11700000000000001</v>
      </c>
      <c r="K25" s="75">
        <v>0</v>
      </c>
      <c r="L25" s="75">
        <v>-0.12</v>
      </c>
      <c r="M25" s="74">
        <v>0</v>
      </c>
      <c r="N25" s="74">
        <v>-0.151</v>
      </c>
      <c r="O25" s="1"/>
      <c r="P25" s="2"/>
      <c r="Q25" s="3"/>
      <c r="R25" s="4"/>
      <c r="S25" s="1"/>
      <c r="T25" s="2"/>
      <c r="U25" s="3"/>
      <c r="V25" s="4"/>
      <c r="W25" s="1"/>
      <c r="X25" s="2"/>
      <c r="Y25" s="3"/>
      <c r="Z25" s="5"/>
    </row>
    <row r="26" spans="2:26" s="76" customFormat="1" ht="15" x14ac:dyDescent="0.25">
      <c r="B26" s="24" t="s">
        <v>19</v>
      </c>
      <c r="C26" s="55">
        <v>2.7120000000000002</v>
      </c>
      <c r="D26" s="56">
        <v>100.001</v>
      </c>
      <c r="E26" s="57">
        <v>-1.0660000000000001</v>
      </c>
      <c r="F26" s="58">
        <v>100</v>
      </c>
      <c r="G26" s="55">
        <v>1.1890000000000001</v>
      </c>
      <c r="H26" s="56">
        <v>100</v>
      </c>
      <c r="I26" s="79">
        <v>1.6339999999999999</v>
      </c>
      <c r="J26" s="79">
        <v>100</v>
      </c>
      <c r="K26" s="80">
        <v>1.407</v>
      </c>
      <c r="L26" s="80">
        <v>100</v>
      </c>
      <c r="M26" s="79">
        <v>2.2210000000000001</v>
      </c>
      <c r="N26" s="79">
        <v>100</v>
      </c>
      <c r="O26" s="6"/>
      <c r="P26" s="7"/>
      <c r="Q26" s="8"/>
      <c r="R26" s="9"/>
      <c r="S26" s="6"/>
      <c r="T26" s="7"/>
      <c r="U26" s="8"/>
      <c r="V26" s="9"/>
      <c r="W26" s="6"/>
      <c r="X26" s="7"/>
      <c r="Y26" s="8"/>
      <c r="Z26" s="10"/>
    </row>
    <row r="27" spans="2:26" s="76" customFormat="1" ht="15.75" thickBot="1" x14ac:dyDescent="0.3">
      <c r="B27" s="25" t="s">
        <v>25</v>
      </c>
      <c r="C27" s="59">
        <v>852.68</v>
      </c>
      <c r="D27" s="59"/>
      <c r="E27" s="60">
        <v>-341.96</v>
      </c>
      <c r="F27" s="60"/>
      <c r="G27" s="59">
        <v>388.36</v>
      </c>
      <c r="H27" s="59"/>
      <c r="I27" s="79">
        <v>532.87</v>
      </c>
      <c r="J27" s="79"/>
      <c r="K27" s="80">
        <v>466.23</v>
      </c>
      <c r="L27" s="80"/>
      <c r="M27" s="79">
        <v>743.17</v>
      </c>
      <c r="N27" s="79"/>
      <c r="O27" s="26"/>
      <c r="P27" s="27"/>
      <c r="Q27" s="28"/>
      <c r="R27" s="27"/>
      <c r="S27" s="11"/>
      <c r="T27" s="12"/>
      <c r="U27" s="13"/>
      <c r="V27" s="12"/>
      <c r="W27" s="11"/>
      <c r="X27" s="12"/>
      <c r="Y27" s="13"/>
      <c r="Z27" s="14"/>
    </row>
    <row r="28" spans="2:26" ht="15" x14ac:dyDescent="0.25">
      <c r="B28" s="29"/>
      <c r="C28" s="30"/>
      <c r="D28" s="30"/>
      <c r="E28" s="30"/>
      <c r="F28" s="30"/>
      <c r="G28" s="30"/>
      <c r="H28" s="30"/>
      <c r="I28" s="81" t="s">
        <v>69</v>
      </c>
      <c r="J28" s="81" t="s">
        <v>69</v>
      </c>
      <c r="K28" s="81" t="s">
        <v>69</v>
      </c>
      <c r="L28" s="81" t="s">
        <v>69</v>
      </c>
      <c r="M28" s="81" t="s">
        <v>69</v>
      </c>
      <c r="N28" s="81" t="s">
        <v>69</v>
      </c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 x14ac:dyDescent="0.2">
      <c r="B29" s="22" t="s">
        <v>20</v>
      </c>
      <c r="C29" s="61">
        <v>0.64900000000000002</v>
      </c>
      <c r="D29" s="62">
        <v>57.887999999999998</v>
      </c>
      <c r="E29" s="63">
        <v>-2.3679999999999999</v>
      </c>
      <c r="F29" s="64">
        <v>54.207000000000001</v>
      </c>
      <c r="G29" s="61">
        <v>0.65400000000000003</v>
      </c>
      <c r="H29" s="62">
        <v>54.110999999999997</v>
      </c>
      <c r="I29" s="77">
        <v>0.32100000000000001</v>
      </c>
      <c r="J29" s="77">
        <v>54.856999999999999</v>
      </c>
      <c r="K29" s="78">
        <v>3.3000000000000002E-2</v>
      </c>
      <c r="L29" s="78">
        <v>54.947000000000003</v>
      </c>
      <c r="M29" s="77">
        <v>0.54</v>
      </c>
      <c r="N29" s="77">
        <v>55.369</v>
      </c>
      <c r="O29" s="31"/>
      <c r="P29" s="32"/>
      <c r="Q29" s="33"/>
      <c r="R29" s="34"/>
      <c r="S29" s="31"/>
      <c r="T29" s="32"/>
      <c r="U29" s="33"/>
      <c r="V29" s="34"/>
      <c r="W29" s="31"/>
      <c r="X29" s="32"/>
      <c r="Y29" s="33"/>
      <c r="Z29" s="34"/>
    </row>
    <row r="30" spans="2:26" x14ac:dyDescent="0.2">
      <c r="B30" s="23" t="s">
        <v>21</v>
      </c>
      <c r="C30" s="65">
        <v>2.0640000000000001</v>
      </c>
      <c r="D30" s="66">
        <v>42.112000000000002</v>
      </c>
      <c r="E30" s="67">
        <v>1.302</v>
      </c>
      <c r="F30" s="68">
        <v>45.792999999999999</v>
      </c>
      <c r="G30" s="65">
        <v>0.53400000000000003</v>
      </c>
      <c r="H30" s="66">
        <v>45.889000000000003</v>
      </c>
      <c r="I30" s="74">
        <v>1.3129999999999999</v>
      </c>
      <c r="J30" s="74">
        <v>45.143000000000001</v>
      </c>
      <c r="K30" s="75">
        <v>1.3740000000000001</v>
      </c>
      <c r="L30" s="75">
        <v>45.052999999999997</v>
      </c>
      <c r="M30" s="74">
        <v>1.681</v>
      </c>
      <c r="N30" s="74">
        <v>44.631</v>
      </c>
      <c r="O30" s="1"/>
      <c r="P30" s="2"/>
      <c r="Q30" s="3"/>
      <c r="R30" s="4"/>
      <c r="S30" s="1"/>
      <c r="T30" s="2"/>
      <c r="U30" s="3"/>
      <c r="V30" s="4"/>
      <c r="W30" s="1"/>
      <c r="X30" s="2"/>
      <c r="Y30" s="3"/>
      <c r="Z30" s="4"/>
    </row>
    <row r="31" spans="2:26" s="76" customFormat="1" ht="15" x14ac:dyDescent="0.25">
      <c r="B31" s="24" t="s">
        <v>19</v>
      </c>
      <c r="C31" s="69">
        <v>2.7120000000000002</v>
      </c>
      <c r="D31" s="70">
        <v>100</v>
      </c>
      <c r="E31" s="71">
        <v>-1.0660000000000001</v>
      </c>
      <c r="F31" s="72">
        <v>100</v>
      </c>
      <c r="G31" s="69">
        <v>1.1890000000000001</v>
      </c>
      <c r="H31" s="70">
        <v>100</v>
      </c>
      <c r="I31" s="79">
        <v>1.63</v>
      </c>
      <c r="J31" s="79">
        <v>100</v>
      </c>
      <c r="K31" s="80">
        <v>1.41</v>
      </c>
      <c r="L31" s="80">
        <v>100</v>
      </c>
      <c r="M31" s="79">
        <v>2.2200000000000002</v>
      </c>
      <c r="N31" s="79">
        <v>100</v>
      </c>
      <c r="O31" s="6"/>
      <c r="P31" s="7"/>
      <c r="Q31" s="8"/>
      <c r="R31" s="9"/>
      <c r="S31" s="6"/>
      <c r="T31" s="7"/>
      <c r="U31" s="8"/>
      <c r="V31" s="9"/>
      <c r="W31" s="6"/>
      <c r="X31" s="7"/>
      <c r="Y31" s="8"/>
      <c r="Z31" s="9"/>
    </row>
    <row r="32" spans="2:26" ht="15" x14ac:dyDescent="0.25">
      <c r="B32" s="29"/>
      <c r="C32" s="35"/>
      <c r="D32" s="35"/>
      <c r="E32" s="35"/>
      <c r="F32" s="35"/>
      <c r="G32" s="35"/>
      <c r="H32" s="35"/>
      <c r="I32" s="81" t="s">
        <v>69</v>
      </c>
      <c r="J32" s="81" t="s">
        <v>69</v>
      </c>
      <c r="K32" s="81" t="s">
        <v>69</v>
      </c>
      <c r="L32" s="81" t="s">
        <v>69</v>
      </c>
      <c r="M32" s="81" t="s">
        <v>69</v>
      </c>
      <c r="N32" s="81" t="s">
        <v>69</v>
      </c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2:26" x14ac:dyDescent="0.2">
      <c r="B33" s="22" t="s">
        <v>22</v>
      </c>
      <c r="C33" s="61">
        <v>2.4689999999999999</v>
      </c>
      <c r="D33" s="62">
        <v>98.878</v>
      </c>
      <c r="E33" s="63">
        <v>1.4999999999999999E-2</v>
      </c>
      <c r="F33" s="64">
        <v>99.616</v>
      </c>
      <c r="G33" s="61">
        <v>0.78200000000000003</v>
      </c>
      <c r="H33" s="62">
        <v>98.423000000000002</v>
      </c>
      <c r="I33" s="77">
        <v>1.931</v>
      </c>
      <c r="J33" s="77">
        <v>98.554000000000002</v>
      </c>
      <c r="K33" s="78">
        <v>1.756</v>
      </c>
      <c r="L33" s="78">
        <v>97.432000000000002</v>
      </c>
      <c r="M33" s="77">
        <v>2.1509999999999998</v>
      </c>
      <c r="N33" s="77">
        <v>97.346999999999994</v>
      </c>
      <c r="O33" s="31"/>
      <c r="P33" s="32"/>
      <c r="Q33" s="33"/>
      <c r="R33" s="34"/>
      <c r="S33" s="31"/>
      <c r="T33" s="32"/>
      <c r="U33" s="33"/>
      <c r="V33" s="34"/>
      <c r="W33" s="31"/>
      <c r="X33" s="32"/>
      <c r="Y33" s="33"/>
      <c r="Z33" s="34"/>
    </row>
    <row r="34" spans="2:26" x14ac:dyDescent="0.2">
      <c r="B34" s="23" t="s">
        <v>23</v>
      </c>
      <c r="C34" s="65">
        <v>0.24399999999999999</v>
      </c>
      <c r="D34" s="66">
        <v>1.1220000000000001</v>
      </c>
      <c r="E34" s="67">
        <v>-1.081</v>
      </c>
      <c r="F34" s="68">
        <v>0.38400000000000001</v>
      </c>
      <c r="G34" s="65">
        <v>0.40699999999999997</v>
      </c>
      <c r="H34" s="66">
        <v>1.577</v>
      </c>
      <c r="I34" s="74">
        <v>-0.29699999999999999</v>
      </c>
      <c r="J34" s="74">
        <v>1.446</v>
      </c>
      <c r="K34" s="75">
        <v>-0.34899999999999998</v>
      </c>
      <c r="L34" s="75">
        <v>2.5680000000000001</v>
      </c>
      <c r="M34" s="74">
        <v>7.0000000000000007E-2</v>
      </c>
      <c r="N34" s="74">
        <v>2.653</v>
      </c>
      <c r="O34" s="1"/>
      <c r="P34" s="2"/>
      <c r="Q34" s="3"/>
      <c r="R34" s="4"/>
      <c r="S34" s="1"/>
      <c r="T34" s="2"/>
      <c r="U34" s="3"/>
      <c r="V34" s="4"/>
      <c r="W34" s="1"/>
      <c r="X34" s="2"/>
      <c r="Y34" s="3"/>
      <c r="Z34" s="4"/>
    </row>
    <row r="35" spans="2:26" s="76" customFormat="1" ht="15" x14ac:dyDescent="0.25">
      <c r="B35" s="24" t="s">
        <v>19</v>
      </c>
      <c r="C35" s="69">
        <v>2.7120000000000002</v>
      </c>
      <c r="D35" s="70">
        <v>100</v>
      </c>
      <c r="E35" s="71">
        <v>-1.0660000000000001</v>
      </c>
      <c r="F35" s="72">
        <v>100</v>
      </c>
      <c r="G35" s="69">
        <v>1.1890000000000001</v>
      </c>
      <c r="H35" s="70">
        <v>100</v>
      </c>
      <c r="I35" s="79">
        <v>1.63</v>
      </c>
      <c r="J35" s="79">
        <v>100</v>
      </c>
      <c r="K35" s="80">
        <v>1.41</v>
      </c>
      <c r="L35" s="80">
        <v>100</v>
      </c>
      <c r="M35" s="79">
        <v>2.2200000000000002</v>
      </c>
      <c r="N35" s="79">
        <v>100</v>
      </c>
      <c r="O35" s="36"/>
      <c r="P35" s="37"/>
      <c r="Q35" s="38"/>
      <c r="R35" s="39"/>
      <c r="S35" s="36"/>
      <c r="T35" s="37"/>
      <c r="U35" s="38"/>
      <c r="V35" s="39"/>
      <c r="W35" s="36"/>
      <c r="X35" s="37"/>
      <c r="Y35" s="38"/>
      <c r="Z35" s="39"/>
    </row>
    <row r="36" spans="2:26" ht="15" x14ac:dyDescent="0.25"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2:26" x14ac:dyDescent="0.2">
      <c r="C37" s="40"/>
      <c r="D37" s="40"/>
      <c r="E37" s="89"/>
      <c r="F37" s="89"/>
      <c r="G37" s="40"/>
      <c r="H37" s="40"/>
      <c r="I37" s="41"/>
      <c r="J37" s="41"/>
    </row>
    <row r="38" spans="2:26" ht="75" x14ac:dyDescent="0.2">
      <c r="B38" s="42" t="s">
        <v>24</v>
      </c>
      <c r="C38" s="43" t="s">
        <v>30</v>
      </c>
      <c r="D38" s="44" t="s">
        <v>34</v>
      </c>
      <c r="E38" s="45" t="s">
        <v>31</v>
      </c>
      <c r="F38" s="46" t="s">
        <v>35</v>
      </c>
      <c r="G38" s="43" t="s">
        <v>32</v>
      </c>
      <c r="H38" s="44" t="s">
        <v>36</v>
      </c>
      <c r="I38" s="45" t="s">
        <v>33</v>
      </c>
      <c r="J38" s="45" t="s">
        <v>37</v>
      </c>
    </row>
    <row r="39" spans="2:26" x14ac:dyDescent="0.2">
      <c r="B39" s="22" t="s">
        <v>1</v>
      </c>
      <c r="C39" s="65">
        <v>4.5999999999999999E-2</v>
      </c>
      <c r="D39" s="66">
        <v>7.3710000000000004</v>
      </c>
      <c r="E39" s="67">
        <v>0.10804176668772758</v>
      </c>
      <c r="F39" s="68">
        <v>6.5461666666666671</v>
      </c>
      <c r="G39" s="1"/>
      <c r="H39" s="2"/>
      <c r="I39" s="3"/>
      <c r="J39" s="4"/>
    </row>
    <row r="40" spans="2:26" x14ac:dyDescent="0.2">
      <c r="B40" s="23" t="s">
        <v>2</v>
      </c>
      <c r="C40" s="65">
        <v>-2.3E-2</v>
      </c>
      <c r="D40" s="66">
        <v>18.138999999999999</v>
      </c>
      <c r="E40" s="67">
        <v>0.17433583669981267</v>
      </c>
      <c r="F40" s="68">
        <v>18.816666666666666</v>
      </c>
      <c r="G40" s="1"/>
      <c r="H40" s="2"/>
      <c r="I40" s="3"/>
      <c r="J40" s="4"/>
    </row>
    <row r="41" spans="2:26" x14ac:dyDescent="0.2">
      <c r="B41" s="23" t="s">
        <v>3</v>
      </c>
      <c r="C41" s="65">
        <v>0</v>
      </c>
      <c r="D41" s="66">
        <v>0</v>
      </c>
      <c r="E41" s="67">
        <v>0</v>
      </c>
      <c r="F41" s="68">
        <v>0</v>
      </c>
      <c r="G41" s="1"/>
      <c r="H41" s="2"/>
      <c r="I41" s="3"/>
      <c r="J41" s="4"/>
    </row>
    <row r="42" spans="2:26" x14ac:dyDescent="0.2">
      <c r="B42" s="23" t="s">
        <v>4</v>
      </c>
      <c r="C42" s="65">
        <v>0</v>
      </c>
      <c r="D42" s="66">
        <v>0</v>
      </c>
      <c r="E42" s="67">
        <v>0</v>
      </c>
      <c r="F42" s="68">
        <v>0</v>
      </c>
      <c r="G42" s="1"/>
      <c r="H42" s="2"/>
      <c r="I42" s="3"/>
      <c r="J42" s="4"/>
    </row>
    <row r="43" spans="2:26" x14ac:dyDescent="0.2">
      <c r="B43" s="23" t="s">
        <v>5</v>
      </c>
      <c r="C43" s="65">
        <v>0.13600000000000001</v>
      </c>
      <c r="D43" s="66">
        <v>11.407999999999999</v>
      </c>
      <c r="E43" s="67">
        <v>0.40132872464415659</v>
      </c>
      <c r="F43" s="68">
        <v>11.467833333333333</v>
      </c>
      <c r="G43" s="1"/>
      <c r="H43" s="2"/>
      <c r="I43" s="3"/>
      <c r="J43" s="4"/>
    </row>
    <row r="44" spans="2:26" x14ac:dyDescent="0.2">
      <c r="B44" s="23" t="s">
        <v>6</v>
      </c>
      <c r="C44" s="65">
        <v>1E-3</v>
      </c>
      <c r="D44" s="66">
        <v>1E-3</v>
      </c>
      <c r="E44" s="67">
        <v>1.0000000000065512E-3</v>
      </c>
      <c r="F44" s="68">
        <v>6.6666666666666664E-4</v>
      </c>
      <c r="G44" s="1"/>
      <c r="H44" s="2"/>
      <c r="I44" s="3"/>
      <c r="J44" s="4"/>
    </row>
    <row r="45" spans="2:26" x14ac:dyDescent="0.2">
      <c r="B45" s="23" t="s">
        <v>7</v>
      </c>
      <c r="C45" s="65">
        <v>0.58399999999999996</v>
      </c>
      <c r="D45" s="66">
        <v>18.765000000000001</v>
      </c>
      <c r="E45" s="67">
        <v>2.3606160722989897</v>
      </c>
      <c r="F45" s="68">
        <v>17.857000000000003</v>
      </c>
      <c r="G45" s="1"/>
      <c r="H45" s="2"/>
      <c r="I45" s="3"/>
      <c r="J45" s="4"/>
    </row>
    <row r="46" spans="2:26" x14ac:dyDescent="0.2">
      <c r="B46" s="23" t="s">
        <v>29</v>
      </c>
      <c r="C46" s="65">
        <v>2.5</v>
      </c>
      <c r="D46" s="66">
        <v>41.73</v>
      </c>
      <c r="E46" s="67">
        <v>6.1711395302741279</v>
      </c>
      <c r="F46" s="68">
        <v>42.237333333333332</v>
      </c>
      <c r="G46" s="1"/>
      <c r="H46" s="2"/>
      <c r="I46" s="3"/>
      <c r="J46" s="4"/>
    </row>
    <row r="47" spans="2:26" x14ac:dyDescent="0.2">
      <c r="B47" s="23" t="s">
        <v>8</v>
      </c>
      <c r="C47" s="65">
        <v>1.4999999999999999E-2</v>
      </c>
      <c r="D47" s="66">
        <v>0.94099999999999995</v>
      </c>
      <c r="E47" s="67">
        <v>0.11303478741566675</v>
      </c>
      <c r="F47" s="68">
        <v>1.0526666666666666</v>
      </c>
      <c r="G47" s="1"/>
      <c r="H47" s="2"/>
      <c r="I47" s="3"/>
      <c r="J47" s="4"/>
    </row>
    <row r="48" spans="2:26" x14ac:dyDescent="0.2">
      <c r="B48" s="23" t="s">
        <v>9</v>
      </c>
      <c r="C48" s="65">
        <v>2.9000000000000001E-2</v>
      </c>
      <c r="D48" s="66">
        <v>2.226</v>
      </c>
      <c r="E48" s="67">
        <v>0.15205619232405709</v>
      </c>
      <c r="F48" s="68">
        <v>2.6435</v>
      </c>
      <c r="G48" s="1"/>
      <c r="H48" s="2"/>
      <c r="I48" s="3"/>
      <c r="J48" s="4"/>
    </row>
    <row r="49" spans="2:10" x14ac:dyDescent="0.2">
      <c r="B49" s="23" t="s">
        <v>10</v>
      </c>
      <c r="C49" s="65">
        <v>-1E-3</v>
      </c>
      <c r="D49" s="66">
        <v>1.4E-2</v>
      </c>
      <c r="E49" s="67">
        <v>-2.9999999999974492E-3</v>
      </c>
      <c r="F49" s="68">
        <v>1.2499999999999999E-2</v>
      </c>
      <c r="G49" s="1"/>
      <c r="H49" s="2"/>
      <c r="I49" s="3"/>
      <c r="J49" s="4"/>
    </row>
    <row r="50" spans="2:10" x14ac:dyDescent="0.2">
      <c r="B50" s="23" t="s">
        <v>11</v>
      </c>
      <c r="C50" s="65">
        <v>-0.46700000000000003</v>
      </c>
      <c r="D50" s="66">
        <v>-0.749</v>
      </c>
      <c r="E50" s="67">
        <v>-1.1644675996586695</v>
      </c>
      <c r="F50" s="68">
        <v>-0.7503333333333333</v>
      </c>
      <c r="G50" s="1"/>
      <c r="H50" s="2"/>
      <c r="I50" s="3"/>
      <c r="J50" s="4"/>
    </row>
    <row r="51" spans="2:10" x14ac:dyDescent="0.2">
      <c r="B51" s="23" t="s">
        <v>12</v>
      </c>
      <c r="C51" s="65">
        <v>0</v>
      </c>
      <c r="D51" s="66">
        <v>0</v>
      </c>
      <c r="E51" s="67">
        <v>0</v>
      </c>
      <c r="F51" s="68">
        <v>0</v>
      </c>
      <c r="G51" s="1"/>
      <c r="H51" s="2"/>
      <c r="I51" s="3"/>
      <c r="J51" s="4"/>
    </row>
    <row r="52" spans="2:10" x14ac:dyDescent="0.2">
      <c r="B52" s="23" t="s">
        <v>13</v>
      </c>
      <c r="C52" s="65">
        <v>7.0000000000000001E-3</v>
      </c>
      <c r="D52" s="66">
        <v>0.219</v>
      </c>
      <c r="E52" s="67">
        <v>1.2000530010203292E-2</v>
      </c>
      <c r="F52" s="68">
        <v>0.2135</v>
      </c>
      <c r="G52" s="1"/>
      <c r="H52" s="2"/>
      <c r="I52" s="3"/>
      <c r="J52" s="4"/>
    </row>
    <row r="53" spans="2:10" x14ac:dyDescent="0.2">
      <c r="B53" s="23" t="s">
        <v>14</v>
      </c>
      <c r="C53" s="65">
        <v>0</v>
      </c>
      <c r="D53" s="66">
        <v>0</v>
      </c>
      <c r="E53" s="67">
        <v>0</v>
      </c>
      <c r="F53" s="68">
        <v>0</v>
      </c>
      <c r="G53" s="1"/>
      <c r="H53" s="2"/>
      <c r="I53" s="3"/>
      <c r="J53" s="4"/>
    </row>
    <row r="54" spans="2:10" x14ac:dyDescent="0.2">
      <c r="B54" s="23" t="s">
        <v>15</v>
      </c>
      <c r="C54" s="65">
        <v>0</v>
      </c>
      <c r="D54" s="66">
        <v>0</v>
      </c>
      <c r="E54" s="67">
        <v>0</v>
      </c>
      <c r="F54" s="68">
        <v>0</v>
      </c>
      <c r="G54" s="1"/>
      <c r="H54" s="2"/>
      <c r="I54" s="3"/>
      <c r="J54" s="4"/>
    </row>
    <row r="55" spans="2:10" x14ac:dyDescent="0.2">
      <c r="B55" s="23" t="s">
        <v>16</v>
      </c>
      <c r="C55" s="65">
        <v>0</v>
      </c>
      <c r="D55" s="66">
        <v>0</v>
      </c>
      <c r="E55" s="67">
        <v>0</v>
      </c>
      <c r="F55" s="68">
        <v>0</v>
      </c>
      <c r="G55" s="1"/>
      <c r="H55" s="2"/>
      <c r="I55" s="3"/>
      <c r="J55" s="4"/>
    </row>
    <row r="56" spans="2:10" x14ac:dyDescent="0.2">
      <c r="B56" s="23" t="s">
        <v>17</v>
      </c>
      <c r="C56" s="65">
        <v>0</v>
      </c>
      <c r="D56" s="66">
        <v>0</v>
      </c>
      <c r="E56" s="67">
        <v>0</v>
      </c>
      <c r="F56" s="68">
        <v>0</v>
      </c>
      <c r="G56" s="1"/>
      <c r="H56" s="2"/>
      <c r="I56" s="3"/>
      <c r="J56" s="4"/>
    </row>
    <row r="57" spans="2:10" x14ac:dyDescent="0.2">
      <c r="B57" s="23" t="s">
        <v>18</v>
      </c>
      <c r="C57" s="65">
        <v>0</v>
      </c>
      <c r="D57" s="66">
        <v>-6.5000000000000002E-2</v>
      </c>
      <c r="E57" s="67">
        <v>0</v>
      </c>
      <c r="F57" s="68">
        <v>-9.7333333333333327E-2</v>
      </c>
      <c r="G57" s="1"/>
      <c r="H57" s="2"/>
      <c r="I57" s="3"/>
      <c r="J57" s="4"/>
    </row>
    <row r="58" spans="2:10" s="76" customFormat="1" ht="15" x14ac:dyDescent="0.25">
      <c r="B58" s="24" t="s">
        <v>26</v>
      </c>
      <c r="C58" s="69">
        <v>2.8250000000000002</v>
      </c>
      <c r="D58" s="70">
        <v>100</v>
      </c>
      <c r="E58" s="79">
        <v>8.33</v>
      </c>
      <c r="F58" s="82">
        <v>100</v>
      </c>
      <c r="G58" s="6"/>
      <c r="H58" s="7"/>
      <c r="I58" s="8"/>
      <c r="J58" s="9"/>
    </row>
    <row r="59" spans="2:10" s="76" customFormat="1" ht="15" x14ac:dyDescent="0.25">
      <c r="B59" s="25" t="s">
        <v>25</v>
      </c>
      <c r="C59" s="59">
        <v>899.08</v>
      </c>
      <c r="D59" s="59"/>
      <c r="E59" s="79">
        <v>2641.35</v>
      </c>
      <c r="F59" s="82"/>
      <c r="G59" s="26"/>
      <c r="H59" s="59"/>
      <c r="I59" s="28"/>
      <c r="J59" s="60"/>
    </row>
    <row r="60" spans="2:10" ht="15" x14ac:dyDescent="0.25">
      <c r="B60" s="29"/>
      <c r="C60" s="35"/>
      <c r="D60" s="35"/>
      <c r="E60" s="83" t="s">
        <v>69</v>
      </c>
      <c r="F60" s="83" t="s">
        <v>69</v>
      </c>
      <c r="G60" s="35"/>
      <c r="H60" s="35"/>
      <c r="I60" s="35"/>
      <c r="J60" s="35"/>
    </row>
    <row r="61" spans="2:10" x14ac:dyDescent="0.2">
      <c r="B61" s="22" t="s">
        <v>20</v>
      </c>
      <c r="C61" s="61">
        <v>-1.0920000000000001</v>
      </c>
      <c r="D61" s="62">
        <v>55.402000000000001</v>
      </c>
      <c r="E61" s="67">
        <v>-0.20547491576835553</v>
      </c>
      <c r="F61" s="68">
        <v>55.229833333333325</v>
      </c>
      <c r="G61" s="31"/>
      <c r="H61" s="32"/>
      <c r="I61" s="33"/>
      <c r="J61" s="34"/>
    </row>
    <row r="62" spans="2:10" x14ac:dyDescent="0.2">
      <c r="B62" s="23" t="s">
        <v>21</v>
      </c>
      <c r="C62" s="65">
        <v>3.92</v>
      </c>
      <c r="D62" s="66">
        <v>44.597999999999999</v>
      </c>
      <c r="E62" s="67">
        <v>8.5313263495163874</v>
      </c>
      <c r="F62" s="68">
        <v>44.770166666666675</v>
      </c>
      <c r="G62" s="1"/>
      <c r="H62" s="2"/>
      <c r="I62" s="3"/>
      <c r="J62" s="4"/>
    </row>
    <row r="63" spans="2:10" s="76" customFormat="1" ht="15" x14ac:dyDescent="0.25">
      <c r="B63" s="24" t="s">
        <v>26</v>
      </c>
      <c r="C63" s="69">
        <v>2.8250000000000002</v>
      </c>
      <c r="D63" s="70">
        <v>100</v>
      </c>
      <c r="E63" s="79">
        <v>8.33</v>
      </c>
      <c r="F63" s="82">
        <v>100</v>
      </c>
      <c r="G63" s="6"/>
      <c r="H63" s="7"/>
      <c r="I63" s="8"/>
      <c r="J63" s="9"/>
    </row>
    <row r="64" spans="2:10" ht="15" x14ac:dyDescent="0.25">
      <c r="B64" s="29"/>
      <c r="C64" s="35"/>
      <c r="D64" s="35"/>
      <c r="E64" s="83" t="s">
        <v>69</v>
      </c>
      <c r="F64" s="83" t="s">
        <v>69</v>
      </c>
      <c r="G64" s="35"/>
      <c r="H64" s="35"/>
      <c r="I64" s="35"/>
      <c r="J64" s="35"/>
    </row>
    <row r="65" spans="2:10" x14ac:dyDescent="0.2">
      <c r="B65" s="22" t="s">
        <v>22</v>
      </c>
      <c r="C65" s="61">
        <v>3.27</v>
      </c>
      <c r="D65" s="84">
        <v>98.972999999999999</v>
      </c>
      <c r="E65" s="67">
        <v>9.3433121254864382</v>
      </c>
      <c r="F65" s="68">
        <v>98.375</v>
      </c>
      <c r="G65" s="86"/>
      <c r="H65" s="32"/>
      <c r="I65" s="33"/>
      <c r="J65" s="34"/>
    </row>
    <row r="66" spans="2:10" x14ac:dyDescent="0.2">
      <c r="B66" s="23" t="s">
        <v>23</v>
      </c>
      <c r="C66" s="65">
        <v>-0.437</v>
      </c>
      <c r="D66" s="85">
        <v>1.0269999999999999</v>
      </c>
      <c r="E66" s="67">
        <v>-1.0089607841881509</v>
      </c>
      <c r="F66" s="68">
        <v>1.625</v>
      </c>
      <c r="G66" s="87"/>
      <c r="H66" s="2"/>
      <c r="I66" s="3"/>
      <c r="J66" s="4"/>
    </row>
    <row r="67" spans="2:10" s="76" customFormat="1" ht="15" x14ac:dyDescent="0.25">
      <c r="B67" s="24" t="s">
        <v>26</v>
      </c>
      <c r="C67" s="69">
        <v>2.8250000000000002</v>
      </c>
      <c r="D67" s="70">
        <v>100</v>
      </c>
      <c r="E67" s="88">
        <v>8.33</v>
      </c>
      <c r="F67" s="88">
        <v>100</v>
      </c>
      <c r="G67" s="6"/>
      <c r="H67" s="7"/>
      <c r="I67" s="8"/>
      <c r="J67" s="9"/>
    </row>
    <row r="68" spans="2:10" ht="15" x14ac:dyDescent="0.25">
      <c r="C68" s="35"/>
      <c r="D68" s="35"/>
      <c r="E68" s="35"/>
      <c r="F68" s="35"/>
      <c r="G68" s="35"/>
      <c r="H68" s="35"/>
      <c r="I68" s="35"/>
      <c r="J68" s="35"/>
    </row>
    <row r="69" spans="2:10" ht="15" x14ac:dyDescent="0.25">
      <c r="B69" s="90" t="s">
        <v>28</v>
      </c>
      <c r="C69" s="90"/>
      <c r="D69" s="90"/>
      <c r="E69" s="90"/>
      <c r="F69" s="90"/>
      <c r="G69" s="90"/>
      <c r="H69" s="90"/>
      <c r="I69" s="90"/>
      <c r="J69" s="90"/>
    </row>
  </sheetData>
  <mergeCells count="2">
    <mergeCell ref="E37:F37"/>
    <mergeCell ref="B69:J6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a46656d4-8850-49b3-aebd-68bd05f7f43d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2023-07-16T13:19:48Z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