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migdal-group.co.il\dfs$\backofficenew\TRM\דוחות\מרכיבי תשואה\2026\קבצים לשליחה\1Q2026\ביטוח\לאחר הנגשה\"/>
    </mc:Choice>
  </mc:AlternateContent>
  <xr:revisionPtr revIDLastSave="0" documentId="8_{1014A8E3-FCEA-42DB-9864-36687DA685B1}" xr6:coauthVersionLast="47" xr6:coauthVersionMax="47" xr10:uidLastSave="{00000000-0000-0000-0000-000000000000}"/>
  <workbookProtection workbookPassword="8F07" lockStructure="1"/>
  <bookViews>
    <workbookView xWindow="2868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<sst xmlns="http://schemas.openxmlformats.org/spreadsheetml/2006/main" count="6179" uniqueCount="1431">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</sst>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898</v>
      </c>
      <c r="C20" s="29" t="str">
        <f>VLOOKUP(B20,Tab_Type,2,0)</f>
        <v>TabA</v>
      </c>
    </row>
    <row r="21" spans="1:4" ht="15">
      <c r="A21" s="13" t="s">
        <v>891</v>
      </c>
      <c r="B21" s="30">
        <v>17011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מגדל-קרן ט'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חברה לביטוח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520004896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520004896_b17011_Yield126.xlsx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17011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מגדל-קרן ט'</v>
      </c>
      <c r="D3" s="24"/>
    </row>
    <row r="4" spans="1:31" ht="18.75">
      <c r="A4" s="123"/>
      <c r="B4" s="6" t="s">
        <v>27</v>
      </c>
      <c r="C4" s="24" t="str">
        <f ca="1">הנחיות!B24</f>
        <v>מגדל חברה לביטוח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-5.5508974364593903E-4</v>
      </c>
      <c r="D7" s="89">
        <v>0.11112867924776502</v>
      </c>
      <c r="E7" s="90">
        <v>2.8245755326435849E-4</v>
      </c>
      <c r="F7" s="91">
        <v>0.11131399944711093</v>
      </c>
      <c r="G7" s="88">
        <v>9.0067273116981885E-4</v>
      </c>
      <c r="H7" s="89">
        <v>0.10986607546107216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2.4849741779054912E-3</v>
      </c>
      <c r="D8" s="89">
        <v>0.35792384479635858</v>
      </c>
      <c r="E8" s="90">
        <v>6.4957953046857982E-4</v>
      </c>
      <c r="F8" s="91">
        <v>0.35891545736516639</v>
      </c>
      <c r="G8" s="88">
        <v>-1.6623424584172144E-3</v>
      </c>
      <c r="H8" s="89">
        <v>0.36272196043448174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-5.4178657711058747E-5</v>
      </c>
      <c r="D11" s="89">
        <v>3.8191667991169589E-2</v>
      </c>
      <c r="E11" s="90">
        <v>6.9633047016730355E-5</v>
      </c>
      <c r="F11" s="91">
        <v>3.8016821156217191E-2</v>
      </c>
      <c r="G11" s="88">
        <v>-2.606703125453756E-4</v>
      </c>
      <c r="H11" s="89">
        <v>3.7803296175957013E-2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-9.6023578714739276E-6</v>
      </c>
      <c r="D12" s="89">
        <v>4.3999148552767691E-3</v>
      </c>
      <c r="E12" s="90">
        <v>-5.7637744034181533E-6</v>
      </c>
      <c r="F12" s="91">
        <v>4.2835152629682781E-3</v>
      </c>
      <c r="G12" s="88">
        <v>-1.7499525899535115E-5</v>
      </c>
      <c r="H12" s="89">
        <v>4.2029520762105078E-3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9.7138632489733433E-3</v>
      </c>
      <c r="D13" s="89">
        <v>0.17503250838730405</v>
      </c>
      <c r="E13" s="90">
        <v>2.1221095259804355E-3</v>
      </c>
      <c r="F13" s="91">
        <v>0.17474724969088667</v>
      </c>
      <c r="G13" s="88">
        <v>-3.0351598170593706E-3</v>
      </c>
      <c r="H13" s="89">
        <v>0.1729212820653272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1.4716671583239911E-3</v>
      </c>
      <c r="D14" s="89">
        <v>7.4759389039782867E-2</v>
      </c>
      <c r="E14" s="90">
        <v>1.513470484410049E-3</v>
      </c>
      <c r="F14" s="91">
        <v>7.5811624529488114E-2</v>
      </c>
      <c r="G14" s="88">
        <v>-5.028803487452496E-3</v>
      </c>
      <c r="H14" s="89">
        <v>7.8285341740336883E-2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-8.3770737561411664E-5</v>
      </c>
      <c r="D15" s="89">
        <v>2.6908030108594824E-3</v>
      </c>
      <c r="E15" s="90">
        <v>4.0202398333876326E-5</v>
      </c>
      <c r="F15" s="91">
        <v>2.5454383570312307E-3</v>
      </c>
      <c r="G15" s="88">
        <v>-1.0190145502439395E-4</v>
      </c>
      <c r="H15" s="89">
        <v>2.4638521512538245E-3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-2.3174058452155727E-3</v>
      </c>
      <c r="D16" s="89">
        <v>0.10970590563735629</v>
      </c>
      <c r="E16" s="90">
        <v>9.9350959116922648E-4</v>
      </c>
      <c r="F16" s="91">
        <v>0.1080697510705204</v>
      </c>
      <c r="G16" s="88">
        <v>1.6254022399947972E-3</v>
      </c>
      <c r="H16" s="89">
        <v>0.10927987942519554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7.3917898284652388E-6</v>
      </c>
      <c r="D17" s="89">
        <v>3.1696970390330252E-4</v>
      </c>
      <c r="E17" s="90">
        <v>1.557779884938532E-5</v>
      </c>
      <c r="F17" s="91">
        <v>3.41331425011827E-4</v>
      </c>
      <c r="G17" s="88">
        <v>6.7079459164269201E-5</v>
      </c>
      <c r="H17" s="89">
        <v>3.6239574020463419E-4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6.3634948028596407E-3</v>
      </c>
      <c r="D18" s="89">
        <v>1.0149102808891149E-2</v>
      </c>
      <c r="E18" s="90">
        <v>1.1808145023457083E-3</v>
      </c>
      <c r="F18" s="91">
        <v>1.20312666541739E-2</v>
      </c>
      <c r="G18" s="88">
        <v>-8.9064274044923543E-3</v>
      </c>
      <c r="H18" s="89">
        <v>7.1764909834253288E-3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1.7134577407265181E-4</v>
      </c>
      <c r="D19" s="89">
        <v>1.150424359838289E-4</v>
      </c>
      <c r="E19" s="90">
        <v>6.4579794891093451E-5</v>
      </c>
      <c r="F19" s="91">
        <v>1.6760380706180459E-4</v>
      </c>
      <c r="G19" s="88">
        <v>-1.371261396207121E-4</v>
      </c>
      <c r="H19" s="89">
        <v>9.0489949880389589E-5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2.6333610902673034E-7</v>
      </c>
      <c r="D20" s="89">
        <v>5.4147508130203475E-3</v>
      </c>
      <c r="E20" s="90">
        <v>1.591663121630488E-5</v>
      </c>
      <c r="F20" s="91">
        <v>5.1837692459769909E-3</v>
      </c>
      <c r="G20" s="88">
        <v>-4.4884135610341654E-5</v>
      </c>
      <c r="H20" s="89">
        <v>6.0230626826597135E-3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-1.7880509450389065E-5</v>
      </c>
      <c r="D21" s="89">
        <v>5.3016684619802364E-2</v>
      </c>
      <c r="E21" s="90">
        <v>1.1896610166557734E-4</v>
      </c>
      <c r="F21" s="91">
        <v>5.1634555400751785E-2</v>
      </c>
      <c r="G21" s="88">
        <v>-1.585452763631773E-4</v>
      </c>
      <c r="H21" s="89">
        <v>5.0933106097967008E-2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2.3557146647324752E-4</v>
      </c>
      <c r="D24" s="89">
        <v>5.712553617129433E-2</v>
      </c>
      <c r="E24" s="90">
        <v>2.6430671179158505E-4</v>
      </c>
      <c r="F24" s="91">
        <v>5.6956464213910707E-2</v>
      </c>
      <c r="G24" s="88">
        <v>2.3478285359757742E-4</v>
      </c>
      <c r="H24" s="89">
        <v>5.7855229100988829E-2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-3.2139030900081923E-6</v>
      </c>
      <c r="D25" s="89">
        <v>2.9200481232137511E-5</v>
      </c>
      <c r="E25" s="90">
        <v>2.0010300050800997E-7</v>
      </c>
      <c r="F25" s="91">
        <v>-1.8847626276392932E-5</v>
      </c>
      <c r="G25" s="88">
        <v>1.3272855850376515E-7</v>
      </c>
      <c r="H25" s="89">
        <v>1.4585915039409902E-5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1.7407430000000002E-2</v>
      </c>
      <c r="D26" s="97">
        <v>1</v>
      </c>
      <c r="E26" s="98">
        <v>7.3255600000000001E-3</v>
      </c>
      <c r="F26" s="99">
        <v>1</v>
      </c>
      <c r="G26" s="96">
        <v>-1.6525290000000002E-2</v>
      </c>
      <c r="H26" s="97">
        <v>1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53269.82</v>
      </c>
      <c r="D27" s="126"/>
      <c r="E27" s="103">
        <v>22713.46</v>
      </c>
      <c r="F27" s="126"/>
      <c r="G27" s="102">
        <v>-51483.27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1.5688473365957779E-2</v>
      </c>
      <c r="D29" s="107">
        <v>0.76233118200963224</v>
      </c>
      <c r="E29" s="108">
        <v>3.9066202374748327E-3</v>
      </c>
      <c r="F29" s="109">
        <v>0.76517866647915522</v>
      </c>
      <c r="G29" s="106">
        <v>-3.8826655821811687E-3</v>
      </c>
      <c r="H29" s="107">
        <v>0.77105099218068107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1.7189566340422167E-3</v>
      </c>
      <c r="D30" s="89">
        <v>0.23766881799036771</v>
      </c>
      <c r="E30" s="90">
        <v>3.4189397625251669E-3</v>
      </c>
      <c r="F30" s="91">
        <v>0.23482133352084478</v>
      </c>
      <c r="G30" s="88">
        <v>-1.2642586458381322E-2</v>
      </c>
      <c r="H30" s="89">
        <v>0.2289490078193189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1.7407430000000002E-2</v>
      </c>
      <c r="D31" s="97">
        <v>1</v>
      </c>
      <c r="E31" s="98">
        <v>7.3255600000000001E-3</v>
      </c>
      <c r="F31" s="99">
        <v>1</v>
      </c>
      <c r="G31" s="96">
        <v>-1.6525290000000002E-2</v>
      </c>
      <c r="H31" s="97">
        <v>1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1.2886144264213861E-2</v>
      </c>
      <c r="D33" s="107">
        <v>0.42209716554355897</v>
      </c>
      <c r="E33" s="108">
        <v>5.4300126473020155E-3</v>
      </c>
      <c r="F33" s="109">
        <v>0.42383659569305338</v>
      </c>
      <c r="G33" s="106">
        <v>-1.488716272786593E-2</v>
      </c>
      <c r="H33" s="107">
        <v>0.4190907656553049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4.5212857357861472E-3</v>
      </c>
      <c r="D34" s="89">
        <v>0.57790283445644108</v>
      </c>
      <c r="E34" s="90">
        <v>1.8955473526979854E-3</v>
      </c>
      <c r="F34" s="91">
        <v>0.57616340430694657</v>
      </c>
      <c r="G34" s="88">
        <v>-1.6380893254777506E-3</v>
      </c>
      <c r="H34" s="89">
        <v>0.58090923434469521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1.7407430000000002E-2</v>
      </c>
      <c r="D35" s="113">
        <v>1</v>
      </c>
      <c r="E35" s="114">
        <v>7.3255600000000001E-3</v>
      </c>
      <c r="F35" s="115">
        <v>1</v>
      </c>
      <c r="G35" s="112">
        <v>-1.6525290000000002E-2</v>
      </c>
      <c r="H35" s="113">
        <v>1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6.0691649487846404E-4</v>
      </c>
      <c r="D38" s="89">
        <v>0.11076958471864935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1.4012945466965114E-3</v>
      </c>
      <c r="D39" s="89">
        <v>0.35985375419866888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-2.5233308287208781E-4</v>
      </c>
      <c r="D42" s="89">
        <v>3.8003928441114602E-2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-3.3668881767165221E-5</v>
      </c>
      <c r="D43" s="89">
        <v>4.295460731485185E-3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8.7528464720256684E-3</v>
      </c>
      <c r="D44" s="89">
        <v>0.17423368004783932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-2.0707320396758174E-3</v>
      </c>
      <c r="D45" s="89">
        <v>7.6285451769869297E-2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-1.4594887178996413E-4</v>
      </c>
      <c r="D46" s="89">
        <v>2.566697839714846E-3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2.7665402331917936E-4</v>
      </c>
      <c r="D47" s="89">
        <v>0.10901851204435742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8.9987056847609212E-5</v>
      </c>
      <c r="D48" s="89">
        <v>3.4023228970658792E-4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-1.423694346175082E-3</v>
      </c>
      <c r="D49" s="89">
        <v>9.7856201488301254E-3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9.8754874324751416E-5</v>
      </c>
      <c r="D50" s="89">
        <v>1.2437873097534101E-4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-2.9741351650906767E-5</v>
      </c>
      <c r="D51" s="89">
        <v>5.5405275805523501E-3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-6.7179510525148552E-5</v>
      </c>
      <c r="D52" s="89">
        <v>5.1861448706173714E-2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7.241192933096273E-4</v>
      </c>
      <c r="D55" s="89">
        <v>5.7312409828731287E-2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-2.8826276647805605E-6</v>
      </c>
      <c r="D56" s="89">
        <v>8.3129233317181608E-6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7.9243920492808595E-3</v>
      </c>
      <c r="D57" s="97">
        <v>1.0000000000000002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24500.010000000002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1.5537140523402293E-2</v>
      </c>
      <c r="D60" s="107">
        <v>0.76618694688982281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-7.6127484741214339E-3</v>
      </c>
      <c r="D61" s="89">
        <v>0.23381305311017711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7.9243920492808595E-3</v>
      </c>
      <c r="D62" s="97">
        <v>0.99999999999999989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3.1925076816737112E-3</v>
      </c>
      <c r="D64" s="107">
        <v>0.42167484229730573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4.7318843676071483E-3</v>
      </c>
      <c r="D65" s="89">
        <v>0.57832515770269433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7.9243920492808595E-3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לירון חתוכה</cp:lastModifiedBy>
  <cp:lastPrinted>2021-05-27T06:23:48Z</cp:lastPrinted>
  <dcterms:created xsi:type="dcterms:W3CDTF">2016-08-07T08:05:35Z</dcterms:created>
  <dcterms:modified xsi:type="dcterms:W3CDTF">2026-04-26T08:21:44Z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