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E6C54895-8A39-4014-99F9-24A6C04DD0C3}" xr6:coauthVersionLast="47" xr6:coauthVersionMax="47" xr10:uidLastSave="{00000000-0000-0000-0000-000000000000}"/>
  <workbookProtection workbookPassword="8F07" lockStructure="1"/>
  <bookViews>
    <workbookView xWindow="2640" yWindow="264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4" i="6"/>
  <c r="B23" i="6"/>
  <c r="B25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<sst xmlns="http://schemas.openxmlformats.org/spreadsheetml/2006/main" count="5549" uniqueCount="1410">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</sst>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40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0" fontId="2" fillId="18" borderId="21" xfId="1" applyNumberFormat="1" applyFont="1" applyFill="1" applyBorder="1"/>
    <xf numFmtId="10" fontId="2" fillId="18" borderId="22" xfId="1" applyNumberFormat="1" applyFont="1" applyFill="1" applyBorder="1"/>
    <xf numFmtId="10" fontId="3" fillId="18" borderId="21" xfId="1" applyNumberFormat="1" applyFont="1" applyFill="1" applyBorder="1"/>
    <xf numFmtId="10" fontId="3" fillId="18" borderId="22" xfId="1" applyNumberFormat="1" applyFont="1" applyFill="1" applyBorder="1"/>
    <xf numFmtId="3" fontId="3" fillId="18" borderId="24" xfId="1" applyNumberFormat="1" applyFont="1" applyFill="1" applyBorder="1" applyAlignment="1">
      <alignment horizontal="center"/>
    </xf>
    <xf numFmtId="3" fontId="3" fillId="14" borderId="24" xfId="1" applyNumberFormat="1" applyFont="1" applyFill="1" applyBorder="1" applyAlignment="1">
      <alignment horizontal="center"/>
    </xf>
    <xf numFmtId="10" fontId="2" fillId="18" borderId="24" xfId="1" applyNumberFormat="1" applyFont="1" applyFill="1" applyBorder="1"/>
    <xf numFmtId="10" fontId="2" fillId="18" borderId="26" xfId="1" applyNumberFormat="1" applyFont="1" applyFill="1" applyBorder="1"/>
    <xf numFmtId="10" fontId="3" fillId="18" borderId="30" xfId="1" applyNumberFormat="1" applyFont="1" applyFill="1" applyBorder="1"/>
    <xf numFmtId="10" fontId="3" fillId="18" borderId="31" xfId="1" applyNumberFormat="1" applyFont="1" applyFill="1" applyBorder="1"/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3" fillId="18" borderId="19" xfId="1" applyNumberFormat="1" applyFont="1" applyFill="1" applyBorder="1" applyAlignment="1">
      <alignment horizontal="center"/>
    </xf>
    <xf numFmtId="177" fontId="3" fillId="14" borderId="19" xfId="1" applyNumberFormat="1" applyFont="1" applyFill="1" applyBorder="1" applyAlignment="1">
      <alignment horizontal="center"/>
    </xf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745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מגדל-מרכזית לפיצויים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512237744_g745_Yield425.xlsx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29"/>
      <c r="B1" s="4" t="s">
        <v>0</v>
      </c>
    </row>
    <row r="2" spans="1:31" ht="18.75">
      <c r="A2" s="129"/>
      <c r="B2" s="6" t="s">
        <v>822</v>
      </c>
      <c r="C2" s="25">
        <f>הנחיות!B21</f>
        <v>745</v>
      </c>
      <c r="D2" s="71"/>
      <c r="E2" s="71"/>
    </row>
    <row r="3" spans="1:31" ht="18.75">
      <c r="A3" s="129"/>
      <c r="B3" s="7" t="s">
        <v>28</v>
      </c>
      <c r="C3" s="24" t="str">
        <f ca="1">הנחיות!B23</f>
        <v>מגדל-מרכזית לפיצויים</v>
      </c>
      <c r="D3" s="24"/>
    </row>
    <row r="4" spans="1:31" ht="18.75">
      <c r="A4" s="12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5">
        <f>W5+1</f>
        <v>1</v>
      </c>
      <c r="Z5" s="5"/>
    </row>
    <row r="6" spans="1:31" s="20" customFormat="1" ht="47.45" customHeight="1">
      <c r="A6" s="13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29"/>
      <c r="B7" s="83" t="s">
        <v>1</v>
      </c>
      <c r="C7" s="84">
        <v>-6.5336332198448986E-4</v>
      </c>
      <c r="D7" s="85">
        <v>0.2031808233000576</v>
      </c>
      <c r="E7" s="86">
        <v>2.2253857361277793E-4</v>
      </c>
      <c r="F7" s="87">
        <v>0.19673344556525432</v>
      </c>
      <c r="G7" s="84">
        <v>3.4671823365960085E-3</v>
      </c>
      <c r="H7" s="85">
        <v>0.20188328265468033</v>
      </c>
      <c r="I7" s="119">
        <v>-9.4002361137350543E-4</v>
      </c>
      <c r="J7" s="120">
        <v>0.21526897246559279</v>
      </c>
      <c r="K7" s="84">
        <v>-1.6454851189993194E-3</v>
      </c>
      <c r="L7" s="85">
        <v>0.20547224265041517</v>
      </c>
      <c r="M7" s="119">
        <v>-9.3371479609114362E-4</v>
      </c>
      <c r="N7" s="120">
        <v>0.19759646806317052</v>
      </c>
      <c r="O7" s="84">
        <v>8.2036237768336585E-4</v>
      </c>
      <c r="P7" s="85">
        <v>0.17944691935812618</v>
      </c>
      <c r="Q7" s="86">
        <v>1.5800967428587483E-4</v>
      </c>
      <c r="R7" s="87">
        <v>0.19006181510388637</v>
      </c>
      <c r="S7" s="84">
        <v>2.9919903962094757E-4</v>
      </c>
      <c r="T7" s="85">
        <v>0.19483701276073617</v>
      </c>
      <c r="U7" s="86">
        <v>-2.5591941580075674E-4</v>
      </c>
      <c r="V7" s="87">
        <v>0.18546972268455325</v>
      </c>
      <c r="W7" s="84">
        <v>1.1141728918704524E-3</v>
      </c>
      <c r="X7" s="85">
        <v>0.16249983243543759</v>
      </c>
      <c r="Y7" s="86">
        <v>-4.757257767106315E-4</v>
      </c>
      <c r="Z7" s="88">
        <v>0.15903321343724361</v>
      </c>
      <c r="AE7" s="3"/>
    </row>
    <row r="8" spans="1:31" ht="30">
      <c r="A8" s="129"/>
      <c r="B8" s="89" t="s">
        <v>909</v>
      </c>
      <c r="C8" s="84">
        <v>7.6747350942307042E-4</v>
      </c>
      <c r="D8" s="85">
        <v>0.17507087870110377</v>
      </c>
      <c r="E8" s="86">
        <v>1.4324397180688474E-3</v>
      </c>
      <c r="F8" s="87">
        <v>0.18676621445145408</v>
      </c>
      <c r="G8" s="84">
        <v>-1.5324768260047755E-3</v>
      </c>
      <c r="H8" s="85">
        <v>0.18951084610938745</v>
      </c>
      <c r="I8" s="119">
        <v>2.5486612841562695E-3</v>
      </c>
      <c r="J8" s="120">
        <v>0.18855433820831266</v>
      </c>
      <c r="K8" s="84">
        <v>-1.19750087073636E-3</v>
      </c>
      <c r="L8" s="85">
        <v>0.18685002289417713</v>
      </c>
      <c r="M8" s="119">
        <v>4.1435478462652367E-3</v>
      </c>
      <c r="N8" s="120">
        <v>0.18779964985652214</v>
      </c>
      <c r="O8" s="84">
        <v>-5.3036904021328489E-4</v>
      </c>
      <c r="P8" s="85">
        <v>0.19750894188287985</v>
      </c>
      <c r="Q8" s="86">
        <v>1.9155253279359355E-3</v>
      </c>
      <c r="R8" s="87">
        <v>0.19332119000018252</v>
      </c>
      <c r="S8" s="84">
        <v>1.5436483458300672E-3</v>
      </c>
      <c r="T8" s="85">
        <v>0.19301973832805031</v>
      </c>
      <c r="U8" s="86">
        <v>2.6964345280957834E-3</v>
      </c>
      <c r="V8" s="87">
        <v>0.19318146042077541</v>
      </c>
      <c r="W8" s="84">
        <v>3.2938708691631496E-4</v>
      </c>
      <c r="X8" s="85">
        <v>0.19536469039660045</v>
      </c>
      <c r="Y8" s="86">
        <v>2.9321028794467431E-4</v>
      </c>
      <c r="Z8" s="88">
        <v>0.19355692475951106</v>
      </c>
      <c r="AE8" s="3"/>
    </row>
    <row r="9" spans="1:31">
      <c r="A9" s="12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119">
        <v>0</v>
      </c>
      <c r="J9" s="120">
        <v>0</v>
      </c>
      <c r="K9" s="84">
        <v>0</v>
      </c>
      <c r="L9" s="85">
        <v>0</v>
      </c>
      <c r="M9" s="119">
        <v>0</v>
      </c>
      <c r="N9" s="120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29"/>
      <c r="B10" s="90" t="s">
        <v>3</v>
      </c>
      <c r="C10" s="84">
        <v>1.5940391053341325E-8</v>
      </c>
      <c r="D10" s="85">
        <v>2.9352504761739433E-6</v>
      </c>
      <c r="E10" s="86">
        <v>-5.8771586776204673E-8</v>
      </c>
      <c r="F10" s="87">
        <v>2.916672300110364E-6</v>
      </c>
      <c r="G10" s="84">
        <v>0</v>
      </c>
      <c r="H10" s="85">
        <v>0</v>
      </c>
      <c r="I10" s="119">
        <v>0</v>
      </c>
      <c r="J10" s="120">
        <v>0</v>
      </c>
      <c r="K10" s="84">
        <v>0</v>
      </c>
      <c r="L10" s="85">
        <v>0</v>
      </c>
      <c r="M10" s="119">
        <v>0</v>
      </c>
      <c r="N10" s="120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29"/>
      <c r="B11" s="90" t="s">
        <v>4</v>
      </c>
      <c r="C11" s="84">
        <v>3.605656133877273E-4</v>
      </c>
      <c r="D11" s="85">
        <v>0.22241236757935384</v>
      </c>
      <c r="E11" s="86">
        <v>1.8402757518281635E-3</v>
      </c>
      <c r="F11" s="87">
        <v>0.21321313269202741</v>
      </c>
      <c r="G11" s="84">
        <v>4.2552236318983466E-4</v>
      </c>
      <c r="H11" s="85">
        <v>0.20857883669431407</v>
      </c>
      <c r="I11" s="119">
        <v>1.4006119078703795E-3</v>
      </c>
      <c r="J11" s="120">
        <v>0.21212159149559145</v>
      </c>
      <c r="K11" s="84">
        <v>8.5662414179706124E-5</v>
      </c>
      <c r="L11" s="85">
        <v>0.21082130754574363</v>
      </c>
      <c r="M11" s="119">
        <v>2.8466954450322812E-3</v>
      </c>
      <c r="N11" s="120">
        <v>0.21135095080728733</v>
      </c>
      <c r="O11" s="84">
        <v>8.4558408709949279E-4</v>
      </c>
      <c r="P11" s="85">
        <v>0.21394277513043311</v>
      </c>
      <c r="Q11" s="86">
        <v>1.5139444631463901E-3</v>
      </c>
      <c r="R11" s="87">
        <v>0.2233124478500785</v>
      </c>
      <c r="S11" s="84">
        <v>1.8649557851186432E-3</v>
      </c>
      <c r="T11" s="85">
        <v>0.22435643444838638</v>
      </c>
      <c r="U11" s="86">
        <v>1.2226949471042556E-3</v>
      </c>
      <c r="V11" s="87">
        <v>0.22361120757502226</v>
      </c>
      <c r="W11" s="84">
        <v>7.0635180528281366E-4</v>
      </c>
      <c r="X11" s="85">
        <v>0.22699589979695442</v>
      </c>
      <c r="Y11" s="86">
        <v>6.5870284583554792E-4</v>
      </c>
      <c r="Z11" s="88">
        <v>0.22449289496406885</v>
      </c>
      <c r="AE11" s="3"/>
    </row>
    <row r="12" spans="1:31">
      <c r="A12" s="129"/>
      <c r="B12" s="90" t="s">
        <v>5</v>
      </c>
      <c r="C12" s="84">
        <v>1.0608898392276154E-7</v>
      </c>
      <c r="D12" s="85">
        <v>7.2738912776820335E-5</v>
      </c>
      <c r="E12" s="86">
        <v>8.0466599581352728E-7</v>
      </c>
      <c r="F12" s="87">
        <v>8.456589761035795E-5</v>
      </c>
      <c r="G12" s="84">
        <v>-6.0025621899826771E-7</v>
      </c>
      <c r="H12" s="85">
        <v>7.3604226841527315E-5</v>
      </c>
      <c r="I12" s="119">
        <v>1.3167249339533347E-6</v>
      </c>
      <c r="J12" s="120">
        <v>7.4128093268614124E-5</v>
      </c>
      <c r="K12" s="84">
        <v>1.592510161960949E-6</v>
      </c>
      <c r="L12" s="85">
        <v>7.2167175880728251E-5</v>
      </c>
      <c r="M12" s="119">
        <v>1.3692896008134542E-6</v>
      </c>
      <c r="N12" s="120">
        <v>7.0479037819064274E-5</v>
      </c>
      <c r="O12" s="84">
        <v>5.9926574544547449E-7</v>
      </c>
      <c r="P12" s="85">
        <v>6.9582182600714265E-5</v>
      </c>
      <c r="Q12" s="86">
        <v>5.956495187317539E-7</v>
      </c>
      <c r="R12" s="87">
        <v>6.8735958790226018E-5</v>
      </c>
      <c r="S12" s="84">
        <v>2.598398239642303E-8</v>
      </c>
      <c r="T12" s="85">
        <v>2.0788805733325171E-5</v>
      </c>
      <c r="U12" s="86">
        <v>4.6437496233093845E-8</v>
      </c>
      <c r="V12" s="87">
        <v>9.2840270157806999E-6</v>
      </c>
      <c r="W12" s="84">
        <v>1.8933149199571957E-8</v>
      </c>
      <c r="X12" s="85">
        <v>9.4958980818585493E-6</v>
      </c>
      <c r="Y12" s="86">
        <v>-3.5481778534779527E-8</v>
      </c>
      <c r="Z12" s="88">
        <v>9.2760211182311235E-6</v>
      </c>
      <c r="AE12" s="3"/>
    </row>
    <row r="13" spans="1:31">
      <c r="A13" s="129"/>
      <c r="B13" s="90" t="s">
        <v>6</v>
      </c>
      <c r="C13" s="84">
        <v>3.6378730587735982E-3</v>
      </c>
      <c r="D13" s="85">
        <v>0.14959840572161479</v>
      </c>
      <c r="E13" s="86">
        <v>-1.1267972477834157E-3</v>
      </c>
      <c r="F13" s="87">
        <v>0.14940153920181148</v>
      </c>
      <c r="G13" s="84">
        <v>-6.6816501225052949E-3</v>
      </c>
      <c r="H13" s="85">
        <v>0.14529337283925262</v>
      </c>
      <c r="I13" s="119">
        <v>5.4575889327262688E-3</v>
      </c>
      <c r="J13" s="120">
        <v>0.14534297594071277</v>
      </c>
      <c r="K13" s="84">
        <v>8.3835516369691419E-3</v>
      </c>
      <c r="L13" s="85">
        <v>0.14705558200005167</v>
      </c>
      <c r="M13" s="119">
        <v>1.4925380514659619E-2</v>
      </c>
      <c r="N13" s="120">
        <v>0.15557579897916732</v>
      </c>
      <c r="O13" s="84">
        <v>2.8570928683171537E-3</v>
      </c>
      <c r="P13" s="85">
        <v>0.16883768082735762</v>
      </c>
      <c r="Q13" s="86">
        <v>8.2218471900778354E-4</v>
      </c>
      <c r="R13" s="87">
        <v>0.15786983704830504</v>
      </c>
      <c r="S13" s="84">
        <v>8.8691866999108925E-3</v>
      </c>
      <c r="T13" s="85">
        <v>0.16170182056125582</v>
      </c>
      <c r="U13" s="86">
        <v>5.7224914502325246E-3</v>
      </c>
      <c r="V13" s="87">
        <v>0.17265712872219535</v>
      </c>
      <c r="W13" s="84">
        <v>5.322030044843969E-3</v>
      </c>
      <c r="X13" s="85">
        <v>0.18025153995068383</v>
      </c>
      <c r="Y13" s="86">
        <v>7.5645508396554083E-3</v>
      </c>
      <c r="Z13" s="88">
        <v>0.18797442266382994</v>
      </c>
      <c r="AE13" s="3"/>
    </row>
    <row r="14" spans="1:31">
      <c r="A14" s="129"/>
      <c r="B14" s="90" t="s">
        <v>62</v>
      </c>
      <c r="C14" s="84">
        <v>4.4530786646062338E-3</v>
      </c>
      <c r="D14" s="85">
        <v>0.2371832701143449</v>
      </c>
      <c r="E14" s="86">
        <v>1.5614614273490902E-3</v>
      </c>
      <c r="F14" s="87">
        <v>0.23912042589266663</v>
      </c>
      <c r="G14" s="84">
        <v>-8.3291921453603401E-4</v>
      </c>
      <c r="H14" s="85">
        <v>0.24541872819620483</v>
      </c>
      <c r="I14" s="119">
        <v>8.3895874796065663E-4</v>
      </c>
      <c r="J14" s="120">
        <v>0.23356490427171031</v>
      </c>
      <c r="K14" s="84">
        <v>4.5276057380402926E-3</v>
      </c>
      <c r="L14" s="85">
        <v>0.23162219309477067</v>
      </c>
      <c r="M14" s="119">
        <v>6.8333445496190299E-3</v>
      </c>
      <c r="N14" s="120">
        <v>0.2296367813395786</v>
      </c>
      <c r="O14" s="84">
        <v>1.9484054664498218E-3</v>
      </c>
      <c r="P14" s="85">
        <v>0.22278713324711419</v>
      </c>
      <c r="Q14" s="86">
        <v>1.6145539705445431E-3</v>
      </c>
      <c r="R14" s="87">
        <v>0.21908451455033034</v>
      </c>
      <c r="S14" s="84">
        <v>4.1002876944513118E-3</v>
      </c>
      <c r="T14" s="85">
        <v>0.21349271673986656</v>
      </c>
      <c r="U14" s="86">
        <v>2.180430451388703E-3</v>
      </c>
      <c r="V14" s="87">
        <v>0.21333069472682972</v>
      </c>
      <c r="W14" s="84">
        <v>1.8858643394006204E-3</v>
      </c>
      <c r="X14" s="85">
        <v>0.21909403705546798</v>
      </c>
      <c r="Y14" s="86">
        <v>1.5202284232661495E-3</v>
      </c>
      <c r="Z14" s="88">
        <v>0.22058998995427467</v>
      </c>
      <c r="AE14" s="3"/>
    </row>
    <row r="15" spans="1:31">
      <c r="A15" s="129"/>
      <c r="B15" s="90" t="s">
        <v>7</v>
      </c>
      <c r="C15" s="84">
        <v>-3.282215221220251E-4</v>
      </c>
      <c r="D15" s="85">
        <v>8.3583202026374891E-3</v>
      </c>
      <c r="E15" s="86">
        <v>-1.1583594336151174E-4</v>
      </c>
      <c r="F15" s="87">
        <v>8.4093735107706943E-3</v>
      </c>
      <c r="G15" s="84">
        <v>5.5221829966769142E-4</v>
      </c>
      <c r="H15" s="85">
        <v>8.6478857113709475E-3</v>
      </c>
      <c r="I15" s="119">
        <v>-4.6604921831735135E-5</v>
      </c>
      <c r="J15" s="120">
        <v>8.7784717228256912E-3</v>
      </c>
      <c r="K15" s="84">
        <v>-9.427617159844642E-5</v>
      </c>
      <c r="L15" s="85">
        <v>8.4443380316343436E-3</v>
      </c>
      <c r="M15" s="119">
        <v>-9.7838027009312071E-5</v>
      </c>
      <c r="N15" s="120">
        <v>8.1204780021255866E-3</v>
      </c>
      <c r="O15" s="84">
        <v>-6.0388962817394306E-5</v>
      </c>
      <c r="P15" s="85">
        <v>6.9484537012642466E-3</v>
      </c>
      <c r="Q15" s="86">
        <v>-2.8119441705839859E-5</v>
      </c>
      <c r="R15" s="87">
        <v>6.7892192106403983E-3</v>
      </c>
      <c r="S15" s="84">
        <v>-7.0938285701833791E-6</v>
      </c>
      <c r="T15" s="85">
        <v>6.6601768684347836E-3</v>
      </c>
      <c r="U15" s="86">
        <v>-4.0930208775815608E-6</v>
      </c>
      <c r="V15" s="87">
        <v>6.3987332315418198E-3</v>
      </c>
      <c r="W15" s="84">
        <v>4.1060160970194153E-6</v>
      </c>
      <c r="X15" s="85">
        <v>5.9999815140025147E-3</v>
      </c>
      <c r="Y15" s="86">
        <v>-8.7522764276791397E-5</v>
      </c>
      <c r="Z15" s="88">
        <v>5.6845677694968297E-3</v>
      </c>
      <c r="AE15" s="3"/>
    </row>
    <row r="16" spans="1:31">
      <c r="A16" s="129"/>
      <c r="B16" s="90" t="s">
        <v>8</v>
      </c>
      <c r="C16" s="84">
        <v>9.4724698100533113E-6</v>
      </c>
      <c r="D16" s="85">
        <v>6.2627358423938918E-4</v>
      </c>
      <c r="E16" s="86">
        <v>2.1921042631049399E-5</v>
      </c>
      <c r="F16" s="87">
        <v>6.3205584332161802E-4</v>
      </c>
      <c r="G16" s="84">
        <v>1.1017867751951915E-5</v>
      </c>
      <c r="H16" s="85">
        <v>6.3867490531023497E-4</v>
      </c>
      <c r="I16" s="119">
        <v>-2.7266317945804182E-5</v>
      </c>
      <c r="J16" s="120">
        <v>6.336914572233741E-4</v>
      </c>
      <c r="K16" s="84">
        <v>-6.3287895787572013E-6</v>
      </c>
      <c r="L16" s="85">
        <v>7.6907653544542481E-4</v>
      </c>
      <c r="M16" s="119">
        <v>2.04721707785925E-5</v>
      </c>
      <c r="N16" s="120">
        <v>8.5589047701382524E-4</v>
      </c>
      <c r="O16" s="84">
        <v>4.6209420377872585E-5</v>
      </c>
      <c r="P16" s="85">
        <v>9.0415961281961133E-4</v>
      </c>
      <c r="Q16" s="86">
        <v>1.23039059282895E-5</v>
      </c>
      <c r="R16" s="87">
        <v>9.0141257202778211E-4</v>
      </c>
      <c r="S16" s="84">
        <v>-1.2982702873146594E-6</v>
      </c>
      <c r="T16" s="85">
        <v>8.8682889391821678E-4</v>
      </c>
      <c r="U16" s="86">
        <v>1.9066979790615791E-5</v>
      </c>
      <c r="V16" s="87">
        <v>8.869617683021088E-4</v>
      </c>
      <c r="W16" s="84">
        <v>1.6581619767687945E-5</v>
      </c>
      <c r="X16" s="85">
        <v>9.0149628360403013E-4</v>
      </c>
      <c r="Y16" s="86">
        <v>-1.3339111862971838E-5</v>
      </c>
      <c r="Z16" s="88">
        <v>1.0050671860900057E-3</v>
      </c>
      <c r="AE16" s="3"/>
    </row>
    <row r="17" spans="1:31">
      <c r="A17" s="129"/>
      <c r="B17" s="90" t="s">
        <v>9</v>
      </c>
      <c r="C17" s="84">
        <v>8.1529167397095935E-6</v>
      </c>
      <c r="D17" s="85">
        <v>1.5005820421757951E-4</v>
      </c>
      <c r="E17" s="86">
        <v>5.4319256389786463E-6</v>
      </c>
      <c r="F17" s="87">
        <v>1.7027542650247931E-4</v>
      </c>
      <c r="G17" s="84">
        <v>-3.8931026377909795E-5</v>
      </c>
      <c r="H17" s="85">
        <v>1.3903495069373685E-4</v>
      </c>
      <c r="I17" s="119">
        <v>6.4089546683278054E-6</v>
      </c>
      <c r="J17" s="120">
        <v>8.115609721701167E-5</v>
      </c>
      <c r="K17" s="84">
        <v>1.2047343379299592E-5</v>
      </c>
      <c r="L17" s="85">
        <v>8.9955094729277592E-5</v>
      </c>
      <c r="M17" s="119">
        <v>4.0878924798477683E-5</v>
      </c>
      <c r="N17" s="120">
        <v>9.8683832633603792E-5</v>
      </c>
      <c r="O17" s="84">
        <v>1.01556800708868E-5</v>
      </c>
      <c r="P17" s="85">
        <v>1.7102782129515328E-4</v>
      </c>
      <c r="Q17" s="86">
        <v>-7.0532454757618998E-6</v>
      </c>
      <c r="R17" s="87">
        <v>1.5335722705358531E-4</v>
      </c>
      <c r="S17" s="84">
        <v>3.8265428868463067E-6</v>
      </c>
      <c r="T17" s="85">
        <v>1.5786796381693743E-4</v>
      </c>
      <c r="U17" s="86">
        <v>3.9427276921988575E-5</v>
      </c>
      <c r="V17" s="87">
        <v>1.9607890687278667E-4</v>
      </c>
      <c r="W17" s="84">
        <v>1.3977466656049376E-5</v>
      </c>
      <c r="X17" s="85">
        <v>1.7710181174395074E-4</v>
      </c>
      <c r="Y17" s="86">
        <v>1.7127969079407873E-5</v>
      </c>
      <c r="Z17" s="88">
        <v>1.7890316425698532E-4</v>
      </c>
      <c r="AE17" s="3"/>
    </row>
    <row r="18" spans="1:31">
      <c r="A18" s="129"/>
      <c r="B18" s="90" t="s">
        <v>10</v>
      </c>
      <c r="C18" s="84">
        <v>4.5661303537813686E-3</v>
      </c>
      <c r="D18" s="85">
        <v>7.0765717418539949E-4</v>
      </c>
      <c r="E18" s="86">
        <v>-4.4192672847458356E-3</v>
      </c>
      <c r="F18" s="87">
        <v>2.9655949519657903E-3</v>
      </c>
      <c r="G18" s="84">
        <v>-8.2504761267650703E-3</v>
      </c>
      <c r="H18" s="85">
        <v>-2.775371944800464E-3</v>
      </c>
      <c r="I18" s="119">
        <v>1.8538309375061024E-3</v>
      </c>
      <c r="J18" s="120">
        <v>-7.0664807065124128E-3</v>
      </c>
      <c r="K18" s="84">
        <v>9.6853060699500504E-3</v>
      </c>
      <c r="L18" s="85">
        <v>6.119166070809836E-3</v>
      </c>
      <c r="M18" s="119">
        <v>9.3430022270952883E-3</v>
      </c>
      <c r="N18" s="120">
        <v>6.3164092923762684E-3</v>
      </c>
      <c r="O18" s="84">
        <v>2.8015217093526586E-3</v>
      </c>
      <c r="P18" s="85">
        <v>7.979887973510685E-3</v>
      </c>
      <c r="Q18" s="86">
        <v>2.8891769537958442E-3</v>
      </c>
      <c r="R18" s="87">
        <v>8.3699942894160557E-3</v>
      </c>
      <c r="S18" s="84">
        <v>6.0503572593412101E-3</v>
      </c>
      <c r="T18" s="85">
        <v>4.820887590953434E-3</v>
      </c>
      <c r="U18" s="86">
        <v>3.9408180090956327E-3</v>
      </c>
      <c r="V18" s="87">
        <v>2.8471546670885404E-3</v>
      </c>
      <c r="W18" s="84">
        <v>9.2802706227505346E-5</v>
      </c>
      <c r="X18" s="85">
        <v>7.2680269526173213E-3</v>
      </c>
      <c r="Y18" s="86">
        <v>5.3809434807320126E-4</v>
      </c>
      <c r="Z18" s="88">
        <v>6.0398883349931827E-3</v>
      </c>
      <c r="AE18" s="3"/>
    </row>
    <row r="19" spans="1:31">
      <c r="A19" s="129"/>
      <c r="B19" s="90" t="s">
        <v>11</v>
      </c>
      <c r="C19" s="84">
        <v>1.6846847220466075E-4</v>
      </c>
      <c r="D19" s="85">
        <v>3.2793073497167996E-4</v>
      </c>
      <c r="E19" s="86">
        <v>1.8540091804308095E-5</v>
      </c>
      <c r="F19" s="87">
        <v>2.3417803135404155E-4</v>
      </c>
      <c r="G19" s="84">
        <v>6.2115422340537472E-5</v>
      </c>
      <c r="H19" s="85">
        <v>2.4347386216953964E-4</v>
      </c>
      <c r="I19" s="119">
        <v>2.2188560135454215E-4</v>
      </c>
      <c r="J19" s="120">
        <v>2.5006522493607243E-4</v>
      </c>
      <c r="K19" s="84">
        <v>3.9521300237481199E-4</v>
      </c>
      <c r="L19" s="85">
        <v>4.004997781190197E-4</v>
      </c>
      <c r="M19" s="119">
        <v>3.8184117350066371E-4</v>
      </c>
      <c r="N19" s="120">
        <v>3.7235403065813627E-4</v>
      </c>
      <c r="O19" s="84">
        <v>-1.3198203176971698E-4</v>
      </c>
      <c r="P19" s="85">
        <v>2.2382936270236073E-4</v>
      </c>
      <c r="Q19" s="86">
        <v>3.3793100289195642E-5</v>
      </c>
      <c r="R19" s="87">
        <v>-1.0110423289478233E-4</v>
      </c>
      <c r="S19" s="84">
        <v>-3.1591357602860494E-5</v>
      </c>
      <c r="T19" s="85">
        <v>-2.2890128936401364E-5</v>
      </c>
      <c r="U19" s="86">
        <v>-1.2285974176482143E-5</v>
      </c>
      <c r="V19" s="87">
        <v>1.6244174711831579E-4</v>
      </c>
      <c r="W19" s="84">
        <v>3.0725008113431694E-4</v>
      </c>
      <c r="X19" s="85">
        <v>1.9954745603930992E-4</v>
      </c>
      <c r="Y19" s="86">
        <v>1.136673521666641E-5</v>
      </c>
      <c r="Z19" s="88">
        <v>2.2430921149904959E-4</v>
      </c>
    </row>
    <row r="20" spans="1:31">
      <c r="A20" s="129"/>
      <c r="B20" s="90" t="s">
        <v>12</v>
      </c>
      <c r="C20" s="84">
        <v>-1.7816830725097332E-9</v>
      </c>
      <c r="D20" s="85">
        <v>2.948105347325583E-5</v>
      </c>
      <c r="E20" s="86">
        <v>1.4801696315986102E-8</v>
      </c>
      <c r="F20" s="87">
        <v>1.7853609096186957E-5</v>
      </c>
      <c r="G20" s="84">
        <v>8.8411747143983815E-8</v>
      </c>
      <c r="H20" s="85">
        <v>2.8656224686244434E-5</v>
      </c>
      <c r="I20" s="119">
        <v>1.9752360127928248E-7</v>
      </c>
      <c r="J20" s="120">
        <v>2.8914177976356361E-5</v>
      </c>
      <c r="K20" s="84">
        <v>1.8505226691810541E-7</v>
      </c>
      <c r="L20" s="85">
        <v>3.3422672047787801E-5</v>
      </c>
      <c r="M20" s="119">
        <v>4.5882978009117387E-7</v>
      </c>
      <c r="N20" s="120">
        <v>4.2670645525778064E-5</v>
      </c>
      <c r="O20" s="84">
        <v>2.8414841379302901E-7</v>
      </c>
      <c r="P20" s="85">
        <v>4.48719972934288E-5</v>
      </c>
      <c r="Q20" s="86">
        <v>1.7510900178329617E-7</v>
      </c>
      <c r="R20" s="87">
        <v>4.9847091228810651E-5</v>
      </c>
      <c r="S20" s="84">
        <v>-8.2958998657686621E-8</v>
      </c>
      <c r="T20" s="85">
        <v>1.9659225990390114E-5</v>
      </c>
      <c r="U20" s="86">
        <v>1.0143028539829526E-7</v>
      </c>
      <c r="V20" s="87">
        <v>9.1859004208081853E-6</v>
      </c>
      <c r="W20" s="84">
        <v>3.9943404309361915E-8</v>
      </c>
      <c r="X20" s="85">
        <v>8.9034485217152578E-6</v>
      </c>
      <c r="Y20" s="86">
        <v>3.9234791944266139E-8</v>
      </c>
      <c r="Z20" s="88">
        <v>8.6864040312845568E-6</v>
      </c>
    </row>
    <row r="21" spans="1:31">
      <c r="A21" s="129"/>
      <c r="B21" s="90" t="s">
        <v>13</v>
      </c>
      <c r="C21" s="84">
        <v>-9.0573093011114579E-6</v>
      </c>
      <c r="D21" s="85">
        <v>2.2375970500015684E-3</v>
      </c>
      <c r="E21" s="86">
        <v>-1.1134268918376993E-6</v>
      </c>
      <c r="F21" s="87">
        <v>2.2084385305706417E-3</v>
      </c>
      <c r="G21" s="84">
        <v>6.7675755484436354E-5</v>
      </c>
      <c r="H21" s="85">
        <v>2.2974006483704006E-3</v>
      </c>
      <c r="I21" s="119">
        <v>-1.5565735813388549E-5</v>
      </c>
      <c r="J21" s="120">
        <v>2.3675008549949974E-3</v>
      </c>
      <c r="K21" s="84">
        <v>-3.7572688455004856E-5</v>
      </c>
      <c r="L21" s="85">
        <v>2.2502443208259558E-3</v>
      </c>
      <c r="M21" s="119">
        <v>-3.5438187592346058E-5</v>
      </c>
      <c r="N21" s="120">
        <v>2.1635998177801877E-3</v>
      </c>
      <c r="O21" s="84">
        <v>1.2758965037234569E-5</v>
      </c>
      <c r="P21" s="85">
        <v>1.7866501331886297E-3</v>
      </c>
      <c r="Q21" s="86">
        <v>-5.0309204650361518E-6</v>
      </c>
      <c r="R21" s="87">
        <v>1.7961651582801684E-3</v>
      </c>
      <c r="S21" s="84">
        <v>-1.256779516205602E-6</v>
      </c>
      <c r="T21" s="85">
        <v>1.3771743644440384E-3</v>
      </c>
      <c r="U21" s="86">
        <v>-9.2135202276755704E-6</v>
      </c>
      <c r="V21" s="87">
        <v>1.2399829788112744E-3</v>
      </c>
      <c r="W21" s="84">
        <v>7.4171046766413658E-6</v>
      </c>
      <c r="X21" s="85">
        <v>1.229485367020751E-3</v>
      </c>
      <c r="Y21" s="86">
        <v>-1.6697507405637817E-5</v>
      </c>
      <c r="Z21" s="88">
        <v>1.2018895526523235E-3</v>
      </c>
    </row>
    <row r="22" spans="1:31">
      <c r="A22" s="12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119">
        <v>0</v>
      </c>
      <c r="J22" s="120">
        <v>0</v>
      </c>
      <c r="K22" s="84">
        <v>0</v>
      </c>
      <c r="L22" s="85">
        <v>0</v>
      </c>
      <c r="M22" s="119">
        <v>0</v>
      </c>
      <c r="N22" s="120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2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119">
        <v>0</v>
      </c>
      <c r="J23" s="120">
        <v>0</v>
      </c>
      <c r="K23" s="84">
        <v>0</v>
      </c>
      <c r="L23" s="85">
        <v>0</v>
      </c>
      <c r="M23" s="119">
        <v>0</v>
      </c>
      <c r="N23" s="120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29"/>
      <c r="B24" s="90" t="s">
        <v>16</v>
      </c>
      <c r="C24" s="84">
        <v>0</v>
      </c>
      <c r="D24" s="85">
        <v>0</v>
      </c>
      <c r="E24" s="86">
        <v>0</v>
      </c>
      <c r="F24" s="87">
        <v>0</v>
      </c>
      <c r="G24" s="84">
        <v>0</v>
      </c>
      <c r="H24" s="85">
        <v>0</v>
      </c>
      <c r="I24" s="119">
        <v>0</v>
      </c>
      <c r="J24" s="120">
        <v>0</v>
      </c>
      <c r="K24" s="84">
        <v>0</v>
      </c>
      <c r="L24" s="85">
        <v>0</v>
      </c>
      <c r="M24" s="119">
        <v>0</v>
      </c>
      <c r="N24" s="120">
        <v>0</v>
      </c>
      <c r="O24" s="84">
        <v>0</v>
      </c>
      <c r="P24" s="85">
        <v>0</v>
      </c>
      <c r="Q24" s="86">
        <v>0</v>
      </c>
      <c r="R24" s="87">
        <v>0</v>
      </c>
      <c r="S24" s="84">
        <v>0</v>
      </c>
      <c r="T24" s="85">
        <v>0</v>
      </c>
      <c r="U24" s="86">
        <v>0</v>
      </c>
      <c r="V24" s="87">
        <v>0</v>
      </c>
      <c r="W24" s="84">
        <v>0</v>
      </c>
      <c r="X24" s="85">
        <v>0</v>
      </c>
      <c r="Y24" s="86">
        <v>0</v>
      </c>
      <c r="Z24" s="88">
        <v>0</v>
      </c>
    </row>
    <row r="25" spans="1:31">
      <c r="A25" s="129"/>
      <c r="B25" s="90" t="s">
        <v>17</v>
      </c>
      <c r="C25" s="84">
        <v>-6.9315301069865501E-7</v>
      </c>
      <c r="D25" s="85">
        <v>4.126241654585903E-5</v>
      </c>
      <c r="E25" s="86">
        <v>-3.5532425596897246E-7</v>
      </c>
      <c r="F25" s="87">
        <v>3.9989723294235201E-5</v>
      </c>
      <c r="G25" s="84">
        <v>1.2331156304800577E-6</v>
      </c>
      <c r="H25" s="85">
        <v>2.1574921518933793E-5</v>
      </c>
      <c r="I25" s="119">
        <v>-2.7813344894697172E-11</v>
      </c>
      <c r="J25" s="120">
        <v>-2.2930384970571678E-7</v>
      </c>
      <c r="K25" s="84">
        <v>-1.2795428961567215E-10</v>
      </c>
      <c r="L25" s="85">
        <v>-2.1786465059572682E-7</v>
      </c>
      <c r="M25" s="119">
        <v>3.9562706142325325E-11</v>
      </c>
      <c r="N25" s="120">
        <v>-2.1418165822313657E-7</v>
      </c>
      <c r="O25" s="84">
        <v>-2.3395374733181159E-7</v>
      </c>
      <c r="P25" s="85">
        <v>-6.5191323058585472E-4</v>
      </c>
      <c r="Q25" s="86">
        <v>-5.9265807732582713E-8</v>
      </c>
      <c r="R25" s="87">
        <v>-1.6774318273250753E-3</v>
      </c>
      <c r="S25" s="84">
        <v>-1.6415616709357729E-7</v>
      </c>
      <c r="T25" s="85">
        <v>-1.3282164226498438E-3</v>
      </c>
      <c r="U25" s="86">
        <v>4.2067136203519214E-10</v>
      </c>
      <c r="V25" s="87">
        <v>-3.7356547452720329E-8</v>
      </c>
      <c r="W25" s="84">
        <v>-3.9426898946158187E-11</v>
      </c>
      <c r="X25" s="85">
        <v>-3.8366775755475362E-8</v>
      </c>
      <c r="Y25" s="86">
        <v>-4.1828434814044713E-11</v>
      </c>
      <c r="Z25" s="88">
        <v>-3.3423065898571512E-8</v>
      </c>
    </row>
    <row r="26" spans="1:31">
      <c r="A26" s="129"/>
      <c r="B26" s="91" t="s">
        <v>18</v>
      </c>
      <c r="C26" s="92">
        <v>1.298E-2</v>
      </c>
      <c r="D26" s="93">
        <v>1.0000000000000002</v>
      </c>
      <c r="E26" s="94">
        <v>-5.6000000000000006E-4</v>
      </c>
      <c r="F26" s="95">
        <v>1.0000000000000002</v>
      </c>
      <c r="G26" s="92">
        <v>-1.2749999999999999E-2</v>
      </c>
      <c r="H26" s="93">
        <v>1.0000000000000004</v>
      </c>
      <c r="I26" s="121">
        <v>1.1299999999999999E-2</v>
      </c>
      <c r="J26" s="122">
        <v>0.99999999999999978</v>
      </c>
      <c r="K26" s="92">
        <v>2.0110000000000003E-2</v>
      </c>
      <c r="L26" s="93">
        <v>1</v>
      </c>
      <c r="M26" s="121">
        <v>3.7469999999999996E-2</v>
      </c>
      <c r="N26" s="122">
        <v>1.0000000000000002</v>
      </c>
      <c r="O26" s="92">
        <v>8.6199999999999992E-3</v>
      </c>
      <c r="P26" s="93">
        <v>0.99999999999999989</v>
      </c>
      <c r="Q26" s="94">
        <v>8.9200000000000008E-3</v>
      </c>
      <c r="R26" s="95">
        <v>0.99999999999999989</v>
      </c>
      <c r="S26" s="92">
        <v>2.2690000000000002E-2</v>
      </c>
      <c r="T26" s="93">
        <v>1</v>
      </c>
      <c r="U26" s="94">
        <v>1.554E-2</v>
      </c>
      <c r="V26" s="95">
        <v>1</v>
      </c>
      <c r="W26" s="92">
        <v>9.7999999999999997E-3</v>
      </c>
      <c r="X26" s="93">
        <v>0.99999999999999978</v>
      </c>
      <c r="Y26" s="94">
        <v>1.0009999999999998E-2</v>
      </c>
      <c r="Z26" s="96">
        <v>1.0000000000000002</v>
      </c>
    </row>
    <row r="27" spans="1:31">
      <c r="A27" s="129"/>
      <c r="B27" s="97" t="s">
        <v>24</v>
      </c>
      <c r="C27" s="98">
        <v>1502.4</v>
      </c>
      <c r="D27" s="132"/>
      <c r="E27" s="99">
        <v>-61.25</v>
      </c>
      <c r="F27" s="132"/>
      <c r="G27" s="98">
        <v>-1474.59</v>
      </c>
      <c r="H27" s="132"/>
      <c r="I27" s="123">
        <v>1284.01</v>
      </c>
      <c r="J27" s="133"/>
      <c r="K27" s="124">
        <v>2315.0700000000002</v>
      </c>
      <c r="L27" s="134"/>
      <c r="M27" s="123">
        <v>4434.2</v>
      </c>
      <c r="N27" s="133"/>
      <c r="O27" s="98">
        <v>1057.9000000000001</v>
      </c>
      <c r="P27" s="132"/>
      <c r="Q27" s="99">
        <v>1106.7</v>
      </c>
      <c r="R27" s="132"/>
      <c r="S27" s="98">
        <v>2833.96</v>
      </c>
      <c r="T27" s="132"/>
      <c r="U27" s="99">
        <v>1984.11</v>
      </c>
      <c r="V27" s="132"/>
      <c r="W27" s="98">
        <v>1268.5899999999999</v>
      </c>
      <c r="X27" s="132"/>
      <c r="Y27" s="99">
        <v>1306.75</v>
      </c>
      <c r="Z27" s="100"/>
    </row>
    <row r="28" spans="1:31">
      <c r="A28" s="129"/>
      <c r="B28" s="135"/>
      <c r="C28" s="136"/>
      <c r="D28" s="136"/>
      <c r="E28" s="136"/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01"/>
    </row>
    <row r="29" spans="1:31">
      <c r="A29" s="129"/>
      <c r="B29" s="83" t="s">
        <v>19</v>
      </c>
      <c r="C29" s="102">
        <v>7.2773550890769274E-3</v>
      </c>
      <c r="D29" s="103">
        <v>0.80822680238910571</v>
      </c>
      <c r="E29" s="104">
        <v>7.952598183602274E-3</v>
      </c>
      <c r="F29" s="105">
        <v>0.80560177210272643</v>
      </c>
      <c r="G29" s="102">
        <v>-8.175862162785423E-3</v>
      </c>
      <c r="H29" s="103">
        <v>0.80457262077863634</v>
      </c>
      <c r="I29" s="125">
        <v>1.2318543823506426E-2</v>
      </c>
      <c r="J29" s="126">
        <v>0.81552023574421006</v>
      </c>
      <c r="K29" s="102">
        <v>9.4570358589226664E-3</v>
      </c>
      <c r="L29" s="103">
        <v>0.80673553544873833</v>
      </c>
      <c r="M29" s="125">
        <v>2.8471395045575124E-2</v>
      </c>
      <c r="N29" s="126">
        <v>0.80848075617482762</v>
      </c>
      <c r="O29" s="102">
        <v>4.5774295796669117E-3</v>
      </c>
      <c r="P29" s="103">
        <v>0.81745741322149312</v>
      </c>
      <c r="Q29" s="104">
        <v>4.970164163684199E-3</v>
      </c>
      <c r="R29" s="105">
        <v>0.81819272562131473</v>
      </c>
      <c r="S29" s="102">
        <v>1.1588614309998685E-2</v>
      </c>
      <c r="T29" s="103">
        <v>0.82075653605361809</v>
      </c>
      <c r="U29" s="104">
        <v>1.0879361528481591E-2</v>
      </c>
      <c r="V29" s="105">
        <v>0.82280457722303491</v>
      </c>
      <c r="W29" s="102">
        <v>8.7243243553200081E-3</v>
      </c>
      <c r="X29" s="103">
        <v>0.81427488011600846</v>
      </c>
      <c r="Y29" s="104">
        <v>1.0627408382121114E-2</v>
      </c>
      <c r="Z29" s="106">
        <v>0.81361771270837713</v>
      </c>
    </row>
    <row r="30" spans="1:31">
      <c r="A30" s="129"/>
      <c r="B30" s="90" t="s">
        <v>20</v>
      </c>
      <c r="C30" s="84">
        <v>5.7026449109230824E-3</v>
      </c>
      <c r="D30" s="85">
        <v>0.19177319761089426</v>
      </c>
      <c r="E30" s="86">
        <v>-8.5125984818681926E-3</v>
      </c>
      <c r="F30" s="87">
        <v>0.1943982278972736</v>
      </c>
      <c r="G30" s="84">
        <v>-4.5741378372145657E-3</v>
      </c>
      <c r="H30" s="85">
        <v>0.19542737922136366</v>
      </c>
      <c r="I30" s="119">
        <v>-1.0185438235064228E-3</v>
      </c>
      <c r="J30" s="120">
        <v>0.18447976425578988</v>
      </c>
      <c r="K30" s="84">
        <v>1.0652964141077342E-2</v>
      </c>
      <c r="L30" s="85">
        <v>0.19326446455126167</v>
      </c>
      <c r="M30" s="119">
        <v>8.9986049544248815E-3</v>
      </c>
      <c r="N30" s="120">
        <v>0.19151924382517235</v>
      </c>
      <c r="O30" s="84">
        <v>4.0425704203330909E-3</v>
      </c>
      <c r="P30" s="85">
        <v>0.18254258677850696</v>
      </c>
      <c r="Q30" s="86">
        <v>3.9498358363157932E-3</v>
      </c>
      <c r="R30" s="87">
        <v>0.18180727437868524</v>
      </c>
      <c r="S30" s="84">
        <v>1.110138569000132E-2</v>
      </c>
      <c r="T30" s="85">
        <v>0.17924346394638183</v>
      </c>
      <c r="U30" s="86">
        <v>4.6606384715184111E-3</v>
      </c>
      <c r="V30" s="87">
        <v>0.17719542277696504</v>
      </c>
      <c r="W30" s="84">
        <v>1.0756756446799946E-3</v>
      </c>
      <c r="X30" s="85">
        <v>0.18572511988399165</v>
      </c>
      <c r="Y30" s="86">
        <v>-6.1740838212111422E-4</v>
      </c>
      <c r="Z30" s="88">
        <v>0.18638228729162287</v>
      </c>
    </row>
    <row r="31" spans="1:31">
      <c r="A31" s="129"/>
      <c r="B31" s="91" t="s">
        <v>18</v>
      </c>
      <c r="C31" s="92">
        <v>1.298E-2</v>
      </c>
      <c r="D31" s="93">
        <v>1</v>
      </c>
      <c r="E31" s="94">
        <v>-5.6000000000000006E-4</v>
      </c>
      <c r="F31" s="95">
        <v>1</v>
      </c>
      <c r="G31" s="92">
        <v>-1.2749999999999999E-2</v>
      </c>
      <c r="H31" s="93">
        <v>1</v>
      </c>
      <c r="I31" s="121">
        <v>1.1299999999999999E-2</v>
      </c>
      <c r="J31" s="122">
        <v>1</v>
      </c>
      <c r="K31" s="92">
        <v>2.0110000000000003E-2</v>
      </c>
      <c r="L31" s="93">
        <v>1</v>
      </c>
      <c r="M31" s="121">
        <v>3.7469999999999996E-2</v>
      </c>
      <c r="N31" s="122">
        <v>1</v>
      </c>
      <c r="O31" s="92">
        <v>8.6199999999999992E-3</v>
      </c>
      <c r="P31" s="93">
        <v>1</v>
      </c>
      <c r="Q31" s="94">
        <v>8.9200000000000008E-3</v>
      </c>
      <c r="R31" s="95">
        <v>1</v>
      </c>
      <c r="S31" s="92">
        <v>2.2690000000000002E-2</v>
      </c>
      <c r="T31" s="93">
        <v>0.99999999999999989</v>
      </c>
      <c r="U31" s="94">
        <v>1.554E-2</v>
      </c>
      <c r="V31" s="95">
        <v>1</v>
      </c>
      <c r="W31" s="92">
        <v>9.7999999999999997E-3</v>
      </c>
      <c r="X31" s="93">
        <v>1</v>
      </c>
      <c r="Y31" s="94">
        <v>1.0009999999999998E-2</v>
      </c>
      <c r="Z31" s="96">
        <v>1</v>
      </c>
    </row>
    <row r="32" spans="1:31">
      <c r="A32" s="129"/>
      <c r="B32" s="135"/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01"/>
    </row>
    <row r="33" spans="1:26">
      <c r="A33" s="129"/>
      <c r="B33" s="83" t="s">
        <v>21</v>
      </c>
      <c r="C33" s="102">
        <v>1.1802198066215189E-2</v>
      </c>
      <c r="D33" s="103">
        <v>0.99303402630210824</v>
      </c>
      <c r="E33" s="104">
        <v>-4.1439826508091386E-5</v>
      </c>
      <c r="F33" s="105">
        <v>0.99258967406414922</v>
      </c>
      <c r="G33" s="102">
        <v>-1.0360153144368328E-2</v>
      </c>
      <c r="H33" s="103">
        <v>0.99592246088831238</v>
      </c>
      <c r="I33" s="125">
        <v>1.0429948990982979E-2</v>
      </c>
      <c r="J33" s="126">
        <v>0.99856304659252104</v>
      </c>
      <c r="K33" s="102">
        <v>1.7315004042984188E-2</v>
      </c>
      <c r="L33" s="103">
        <v>0.99523095061301592</v>
      </c>
      <c r="M33" s="125">
        <v>3.4350293240460142E-2</v>
      </c>
      <c r="N33" s="126">
        <v>0.99394464474926447</v>
      </c>
      <c r="O33" s="102">
        <v>7.7248701962901222E-3</v>
      </c>
      <c r="P33" s="103">
        <v>0.99428385999369051</v>
      </c>
      <c r="Q33" s="104">
        <v>8.2263369284520833E-3</v>
      </c>
      <c r="R33" s="105">
        <v>0.99680823447977629</v>
      </c>
      <c r="S33" s="102">
        <v>2.1380981693875527E-2</v>
      </c>
      <c r="T33" s="103">
        <v>0.99869618702107388</v>
      </c>
      <c r="U33" s="104">
        <v>1.4534088784139443E-2</v>
      </c>
      <c r="V33" s="105">
        <v>0.99760765215153446</v>
      </c>
      <c r="W33" s="102">
        <v>9.4235025140879114E-3</v>
      </c>
      <c r="X33" s="103">
        <v>0.9929932591954399</v>
      </c>
      <c r="Y33" s="104">
        <v>9.3005793988022029E-3</v>
      </c>
      <c r="Z33" s="106">
        <v>0.99353410468422243</v>
      </c>
    </row>
    <row r="34" spans="1:26">
      <c r="A34" s="129"/>
      <c r="B34" s="90" t="s">
        <v>22</v>
      </c>
      <c r="C34" s="84">
        <v>1.1778019337848103E-3</v>
      </c>
      <c r="D34" s="85">
        <v>6.9659736978917699E-3</v>
      </c>
      <c r="E34" s="86">
        <v>-5.1856047175783033E-4</v>
      </c>
      <c r="F34" s="87">
        <v>7.4103259358507491E-3</v>
      </c>
      <c r="G34" s="84">
        <v>-2.3898468556316698E-3</v>
      </c>
      <c r="H34" s="85">
        <v>4.0775391116875549E-3</v>
      </c>
      <c r="I34" s="119">
        <v>8.7005100901702253E-4</v>
      </c>
      <c r="J34" s="120">
        <v>1.4369534074789184E-3</v>
      </c>
      <c r="K34" s="84">
        <v>2.7949959570158253E-3</v>
      </c>
      <c r="L34" s="85">
        <v>4.7690493869841279E-3</v>
      </c>
      <c r="M34" s="119">
        <v>3.1197067595398493E-3</v>
      </c>
      <c r="N34" s="120">
        <v>6.0553552507356129E-3</v>
      </c>
      <c r="O34" s="84">
        <v>8.9512980370987615E-4</v>
      </c>
      <c r="P34" s="85">
        <v>5.7161400063094562E-3</v>
      </c>
      <c r="Q34" s="86">
        <v>6.9366307154791339E-4</v>
      </c>
      <c r="R34" s="87">
        <v>3.1917655202236437E-3</v>
      </c>
      <c r="S34" s="84">
        <v>1.3090183061244811E-3</v>
      </c>
      <c r="T34" s="85">
        <v>1.3038129789261093E-3</v>
      </c>
      <c r="U34" s="86">
        <v>1.0059112158605468E-3</v>
      </c>
      <c r="V34" s="87">
        <v>2.3923478484656384E-3</v>
      </c>
      <c r="W34" s="84">
        <v>3.7649748591209154E-4</v>
      </c>
      <c r="X34" s="85">
        <v>7.0067408045601546E-3</v>
      </c>
      <c r="Y34" s="86">
        <v>7.0942060119779109E-4</v>
      </c>
      <c r="Z34" s="88">
        <v>6.4658953157774842E-3</v>
      </c>
    </row>
    <row r="35" spans="1:26">
      <c r="A35" s="129"/>
      <c r="B35" s="107" t="s">
        <v>18</v>
      </c>
      <c r="C35" s="108">
        <v>1.298E-2</v>
      </c>
      <c r="D35" s="109">
        <v>1</v>
      </c>
      <c r="E35" s="110">
        <v>-5.6000000000000006E-4</v>
      </c>
      <c r="F35" s="111">
        <v>1</v>
      </c>
      <c r="G35" s="108">
        <v>-1.2749999999999999E-2</v>
      </c>
      <c r="H35" s="109">
        <v>0.99999999999999989</v>
      </c>
      <c r="I35" s="127">
        <v>1.1299999999999999E-2</v>
      </c>
      <c r="J35" s="128">
        <v>1</v>
      </c>
      <c r="K35" s="108">
        <v>2.0110000000000003E-2</v>
      </c>
      <c r="L35" s="109">
        <v>1</v>
      </c>
      <c r="M35" s="127">
        <v>3.7469999999999996E-2</v>
      </c>
      <c r="N35" s="128">
        <v>1</v>
      </c>
      <c r="O35" s="108">
        <v>8.6199999999999992E-3</v>
      </c>
      <c r="P35" s="109">
        <v>1</v>
      </c>
      <c r="Q35" s="110">
        <v>8.9200000000000008E-3</v>
      </c>
      <c r="R35" s="111">
        <v>0.99999999999999989</v>
      </c>
      <c r="S35" s="108">
        <v>2.2690000000000002E-2</v>
      </c>
      <c r="T35" s="109">
        <v>1</v>
      </c>
      <c r="U35" s="110">
        <v>1.554E-2</v>
      </c>
      <c r="V35" s="111">
        <v>1</v>
      </c>
      <c r="W35" s="108">
        <v>9.7999999999999997E-3</v>
      </c>
      <c r="X35" s="109">
        <v>1</v>
      </c>
      <c r="Y35" s="110">
        <v>1.0009999999999998E-2</v>
      </c>
      <c r="Z35" s="112">
        <v>0.99999999999999989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37" t="s">
        <v>1409</v>
      </c>
      <c r="L37" s="137" t="s">
        <v>1409</v>
      </c>
      <c r="M37" s="137" t="s">
        <v>1409</v>
      </c>
      <c r="N37" s="137" t="s">
        <v>1409</v>
      </c>
      <c r="O37" s="137" t="s">
        <v>1409</v>
      </c>
      <c r="P37" s="137" t="s">
        <v>1409</v>
      </c>
      <c r="Q37" s="137" t="s">
        <v>1409</v>
      </c>
      <c r="R37" s="137" t="s">
        <v>1409</v>
      </c>
      <c r="S37" s="137" t="s">
        <v>1409</v>
      </c>
      <c r="T37" s="137" t="s">
        <v>1409</v>
      </c>
      <c r="U37" s="137" t="s">
        <v>1409</v>
      </c>
      <c r="V37" s="137" t="s">
        <v>1409</v>
      </c>
      <c r="W37" s="137" t="s">
        <v>1409</v>
      </c>
      <c r="X37" s="137" t="s">
        <v>1409</v>
      </c>
      <c r="Y37" s="137" t="s">
        <v>1409</v>
      </c>
      <c r="Z37" s="33"/>
    </row>
    <row r="38" spans="1:26">
      <c r="A38" s="129"/>
      <c r="B38" s="83" t="s">
        <v>1</v>
      </c>
      <c r="C38" s="84">
        <v>4.0354993616074173E-3</v>
      </c>
      <c r="D38" s="85">
        <v>0.20188328265468033</v>
      </c>
      <c r="E38" s="86">
        <v>-4.9871006457142197E-4</v>
      </c>
      <c r="F38" s="87">
        <v>0.19759646806317052</v>
      </c>
      <c r="G38" s="84">
        <v>8.1210128900637371E-4</v>
      </c>
      <c r="H38" s="85">
        <v>0.19483701276073617</v>
      </c>
      <c r="I38" s="86">
        <v>1.2236773478288155E-3</v>
      </c>
      <c r="J38" s="88">
        <v>0.15903321343724361</v>
      </c>
      <c r="K38" s="137" t="s">
        <v>1409</v>
      </c>
      <c r="L38" s="137" t="s">
        <v>1409</v>
      </c>
      <c r="M38" s="137" t="s">
        <v>1409</v>
      </c>
      <c r="N38" s="137" t="s">
        <v>1409</v>
      </c>
      <c r="O38" s="137" t="s">
        <v>1409</v>
      </c>
      <c r="P38" s="137" t="s">
        <v>1409</v>
      </c>
      <c r="Q38" s="137" t="s">
        <v>1409</v>
      </c>
      <c r="R38" s="137" t="s">
        <v>1409</v>
      </c>
      <c r="S38" s="137" t="s">
        <v>1409</v>
      </c>
      <c r="T38" s="137" t="s">
        <v>1409</v>
      </c>
      <c r="U38" s="137" t="s">
        <v>1409</v>
      </c>
      <c r="V38" s="137" t="s">
        <v>1409</v>
      </c>
      <c r="W38" s="137" t="s">
        <v>1409</v>
      </c>
      <c r="X38" s="137" t="s">
        <v>1409</v>
      </c>
      <c r="Y38" s="137" t="s">
        <v>1409</v>
      </c>
      <c r="Z38" s="33"/>
    </row>
    <row r="39" spans="1:26" ht="30">
      <c r="A39" s="129"/>
      <c r="B39" s="89" t="s">
        <v>909</v>
      </c>
      <c r="C39" s="84">
        <v>8.8451841308192255E-4</v>
      </c>
      <c r="D39" s="85">
        <v>0.18951084610938745</v>
      </c>
      <c r="E39" s="86">
        <v>6.2601580470309061E-3</v>
      </c>
      <c r="F39" s="87">
        <v>0.18779964985652214</v>
      </c>
      <c r="G39" s="84">
        <v>9.4148921584395282E-3</v>
      </c>
      <c r="H39" s="85">
        <v>0.19301973832805031</v>
      </c>
      <c r="I39" s="86">
        <v>1.3056125219107539E-2</v>
      </c>
      <c r="J39" s="88">
        <v>0.19355692475951106</v>
      </c>
      <c r="K39" s="137" t="s">
        <v>1409</v>
      </c>
      <c r="L39" s="137" t="s">
        <v>1409</v>
      </c>
      <c r="M39" s="137" t="s">
        <v>1409</v>
      </c>
      <c r="N39" s="137" t="s">
        <v>1409</v>
      </c>
      <c r="O39" s="137" t="s">
        <v>1409</v>
      </c>
      <c r="P39" s="137" t="s">
        <v>1409</v>
      </c>
      <c r="Q39" s="137" t="s">
        <v>1409</v>
      </c>
      <c r="R39" s="137" t="s">
        <v>1409</v>
      </c>
      <c r="S39" s="137" t="s">
        <v>1409</v>
      </c>
      <c r="T39" s="137" t="s">
        <v>1409</v>
      </c>
      <c r="U39" s="137" t="s">
        <v>1409</v>
      </c>
      <c r="V39" s="137" t="s">
        <v>1409</v>
      </c>
      <c r="W39" s="137" t="s">
        <v>1409</v>
      </c>
      <c r="X39" s="137" t="s">
        <v>1409</v>
      </c>
      <c r="Y39" s="137" t="s">
        <v>1409</v>
      </c>
      <c r="Z39" s="33"/>
    </row>
    <row r="40" spans="1:26">
      <c r="A40" s="12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37" t="s">
        <v>1409</v>
      </c>
      <c r="L40" s="137" t="s">
        <v>1409</v>
      </c>
      <c r="M40" s="137" t="s">
        <v>1409</v>
      </c>
      <c r="N40" s="137" t="s">
        <v>1409</v>
      </c>
      <c r="O40" s="137" t="s">
        <v>1409</v>
      </c>
      <c r="P40" s="137" t="s">
        <v>1409</v>
      </c>
      <c r="Q40" s="137" t="s">
        <v>1409</v>
      </c>
      <c r="R40" s="137" t="s">
        <v>1409</v>
      </c>
      <c r="S40" s="137" t="s">
        <v>1409</v>
      </c>
      <c r="T40" s="137" t="s">
        <v>1409</v>
      </c>
      <c r="U40" s="137" t="s">
        <v>1409</v>
      </c>
      <c r="V40" s="137" t="s">
        <v>1409</v>
      </c>
      <c r="W40" s="137" t="s">
        <v>1409</v>
      </c>
      <c r="X40" s="137" t="s">
        <v>1409</v>
      </c>
      <c r="Y40" s="137" t="s">
        <v>1409</v>
      </c>
      <c r="Z40" s="33"/>
    </row>
    <row r="41" spans="1:26">
      <c r="A41" s="129"/>
      <c r="B41" s="90" t="s">
        <v>3</v>
      </c>
      <c r="C41" s="84">
        <v>-5.6955957850298226E-8</v>
      </c>
      <c r="D41" s="85">
        <v>0</v>
      </c>
      <c r="E41" s="86">
        <v>-4.3484817712390694E-8</v>
      </c>
      <c r="F41" s="87">
        <v>0</v>
      </c>
      <c r="G41" s="84">
        <v>-4.4244980905067963E-8</v>
      </c>
      <c r="H41" s="85">
        <v>0</v>
      </c>
      <c r="I41" s="86">
        <v>-4.4861916814507975E-8</v>
      </c>
      <c r="J41" s="88">
        <v>0</v>
      </c>
      <c r="K41" s="137" t="s">
        <v>1409</v>
      </c>
      <c r="L41" s="137" t="s">
        <v>1409</v>
      </c>
      <c r="M41" s="137" t="s">
        <v>1409</v>
      </c>
      <c r="N41" s="137" t="s">
        <v>1409</v>
      </c>
      <c r="O41" s="137" t="s">
        <v>1409</v>
      </c>
      <c r="P41" s="137" t="s">
        <v>1409</v>
      </c>
      <c r="Q41" s="137" t="s">
        <v>1409</v>
      </c>
      <c r="R41" s="137" t="s">
        <v>1409</v>
      </c>
      <c r="S41" s="137" t="s">
        <v>1409</v>
      </c>
      <c r="T41" s="137" t="s">
        <v>1409</v>
      </c>
      <c r="U41" s="137" t="s">
        <v>1409</v>
      </c>
      <c r="V41" s="137" t="s">
        <v>1409</v>
      </c>
      <c r="W41" s="137" t="s">
        <v>1409</v>
      </c>
      <c r="X41" s="137" t="s">
        <v>1409</v>
      </c>
      <c r="Y41" s="137" t="s">
        <v>1409</v>
      </c>
      <c r="Z41" s="33"/>
    </row>
    <row r="42" spans="1:26">
      <c r="A42" s="129"/>
      <c r="B42" s="90" t="s">
        <v>4</v>
      </c>
      <c r="C42" s="84">
        <v>3.494607240927762E-3</v>
      </c>
      <c r="D42" s="85">
        <v>0.20857883669431407</v>
      </c>
      <c r="E42" s="86">
        <v>7.0831503910529581E-3</v>
      </c>
      <c r="F42" s="87">
        <v>0.21135095080728733</v>
      </c>
      <c r="G42" s="84">
        <v>1.1607256329723667E-2</v>
      </c>
      <c r="H42" s="85">
        <v>0.22435643444838638</v>
      </c>
      <c r="I42" s="86">
        <v>1.4512260846536323E-2</v>
      </c>
      <c r="J42" s="88">
        <v>0.22449289496406885</v>
      </c>
      <c r="K42" s="137" t="s">
        <v>1409</v>
      </c>
      <c r="L42" s="137" t="s">
        <v>1409</v>
      </c>
      <c r="M42" s="137" t="s">
        <v>1409</v>
      </c>
      <c r="N42" s="137" t="s">
        <v>1409</v>
      </c>
      <c r="O42" s="137" t="s">
        <v>1409</v>
      </c>
      <c r="P42" s="137" t="s">
        <v>1409</v>
      </c>
      <c r="Q42" s="137" t="s">
        <v>1409</v>
      </c>
      <c r="R42" s="137" t="s">
        <v>1409</v>
      </c>
      <c r="S42" s="137" t="s">
        <v>1409</v>
      </c>
      <c r="T42" s="137" t="s">
        <v>1409</v>
      </c>
      <c r="U42" s="137" t="s">
        <v>1409</v>
      </c>
      <c r="V42" s="137" t="s">
        <v>1409</v>
      </c>
      <c r="W42" s="137" t="s">
        <v>1409</v>
      </c>
      <c r="X42" s="137" t="s">
        <v>1409</v>
      </c>
      <c r="Y42" s="137" t="s">
        <v>1409</v>
      </c>
      <c r="Z42" s="33"/>
    </row>
    <row r="43" spans="1:26">
      <c r="A43" s="129"/>
      <c r="B43" s="90" t="s">
        <v>5</v>
      </c>
      <c r="C43" s="84">
        <v>4.1289362449672786E-7</v>
      </c>
      <c r="D43" s="85">
        <v>7.3604226841527315E-5</v>
      </c>
      <c r="E43" s="86">
        <v>4.6590608250833477E-6</v>
      </c>
      <c r="F43" s="87">
        <v>7.0479037819064274E-5</v>
      </c>
      <c r="G43" s="84">
        <v>6.0017116347158548E-6</v>
      </c>
      <c r="H43" s="85">
        <v>2.0788805733325171E-5</v>
      </c>
      <c r="I43" s="86">
        <v>6.1167034607931173E-6</v>
      </c>
      <c r="J43" s="88">
        <v>9.2760211182311235E-6</v>
      </c>
      <c r="K43" s="137" t="s">
        <v>1409</v>
      </c>
      <c r="L43" s="137" t="s">
        <v>1409</v>
      </c>
      <c r="M43" s="137" t="s">
        <v>1409</v>
      </c>
      <c r="N43" s="137" t="s">
        <v>1409</v>
      </c>
      <c r="O43" s="137" t="s">
        <v>1409</v>
      </c>
      <c r="P43" s="137" t="s">
        <v>1409</v>
      </c>
      <c r="Q43" s="137" t="s">
        <v>1409</v>
      </c>
      <c r="R43" s="137" t="s">
        <v>1409</v>
      </c>
      <c r="S43" s="137" t="s">
        <v>1409</v>
      </c>
      <c r="T43" s="137" t="s">
        <v>1409</v>
      </c>
      <c r="U43" s="137" t="s">
        <v>1409</v>
      </c>
      <c r="V43" s="137" t="s">
        <v>1409</v>
      </c>
      <c r="W43" s="137" t="s">
        <v>1409</v>
      </c>
      <c r="X43" s="137" t="s">
        <v>1409</v>
      </c>
      <c r="Y43" s="137" t="s">
        <v>1409</v>
      </c>
      <c r="Z43" s="33"/>
    </row>
    <row r="44" spans="1:26">
      <c r="A44" s="129"/>
      <c r="B44" s="90" t="s">
        <v>6</v>
      </c>
      <c r="C44" s="84">
        <v>-5.5736612173781864E-3</v>
      </c>
      <c r="D44" s="85">
        <v>0.14529337283925262</v>
      </c>
      <c r="E44" s="86">
        <v>2.5083515575028238E-2</v>
      </c>
      <c r="F44" s="87">
        <v>0.15557579897916732</v>
      </c>
      <c r="G44" s="84">
        <v>3.8841983703616918E-2</v>
      </c>
      <c r="H44" s="85">
        <v>0.16170182056125582</v>
      </c>
      <c r="I44" s="86">
        <v>5.9731990402768685E-2</v>
      </c>
      <c r="J44" s="88">
        <v>0.18797442266382994</v>
      </c>
      <c r="K44" s="137" t="s">
        <v>1409</v>
      </c>
      <c r="L44" s="137" t="s">
        <v>1409</v>
      </c>
      <c r="M44" s="137" t="s">
        <v>1409</v>
      </c>
      <c r="N44" s="137" t="s">
        <v>1409</v>
      </c>
      <c r="O44" s="137" t="s">
        <v>1409</v>
      </c>
      <c r="P44" s="137" t="s">
        <v>1409</v>
      </c>
      <c r="Q44" s="137" t="s">
        <v>1409</v>
      </c>
      <c r="R44" s="137" t="s">
        <v>1409</v>
      </c>
      <c r="S44" s="137" t="s">
        <v>1409</v>
      </c>
      <c r="T44" s="137" t="s">
        <v>1409</v>
      </c>
      <c r="U44" s="137" t="s">
        <v>1409</v>
      </c>
      <c r="V44" s="137" t="s">
        <v>1409</v>
      </c>
      <c r="W44" s="137" t="s">
        <v>1409</v>
      </c>
      <c r="X44" s="137" t="s">
        <v>1409</v>
      </c>
      <c r="Y44" s="137" t="s">
        <v>1409</v>
      </c>
      <c r="Z44" s="33"/>
    </row>
    <row r="45" spans="1:26">
      <c r="A45" s="129"/>
      <c r="B45" s="90" t="s">
        <v>62</v>
      </c>
      <c r="C45" s="84">
        <v>6.8929793605352827E-3</v>
      </c>
      <c r="D45" s="85">
        <v>0.24541872819620483</v>
      </c>
      <c r="E45" s="86">
        <v>1.7754277517985712E-2</v>
      </c>
      <c r="F45" s="87">
        <v>0.2296367813395786</v>
      </c>
      <c r="G45" s="84">
        <v>2.6137949011279932E-2</v>
      </c>
      <c r="H45" s="85">
        <v>0.21349271673986656</v>
      </c>
      <c r="I45" s="86">
        <v>3.2512917050996605E-2</v>
      </c>
      <c r="J45" s="88">
        <v>0.22058998995427467</v>
      </c>
      <c r="K45" s="137" t="s">
        <v>1409</v>
      </c>
      <c r="L45" s="137" t="s">
        <v>1409</v>
      </c>
      <c r="M45" s="137" t="s">
        <v>1409</v>
      </c>
      <c r="N45" s="137" t="s">
        <v>1409</v>
      </c>
      <c r="O45" s="137" t="s">
        <v>1409</v>
      </c>
      <c r="P45" s="137" t="s">
        <v>1409</v>
      </c>
      <c r="Q45" s="137" t="s">
        <v>1409</v>
      </c>
      <c r="R45" s="137" t="s">
        <v>1409</v>
      </c>
      <c r="S45" s="137" t="s">
        <v>1409</v>
      </c>
      <c r="T45" s="137" t="s">
        <v>1409</v>
      </c>
      <c r="U45" s="137" t="s">
        <v>1409</v>
      </c>
      <c r="V45" s="137" t="s">
        <v>1409</v>
      </c>
      <c r="W45" s="137" t="s">
        <v>1409</v>
      </c>
      <c r="X45" s="137" t="s">
        <v>1409</v>
      </c>
      <c r="Y45" s="137" t="s">
        <v>1409</v>
      </c>
      <c r="Z45" s="33"/>
    </row>
    <row r="46" spans="1:26">
      <c r="A46" s="129"/>
      <c r="B46" s="90" t="s">
        <v>7</v>
      </c>
      <c r="C46" s="84">
        <v>1.4355433631567559E-4</v>
      </c>
      <c r="D46" s="85">
        <v>8.6478857113709475E-3</v>
      </c>
      <c r="E46" s="86">
        <v>-1.3276870243221308E-4</v>
      </c>
      <c r="F46" s="87">
        <v>8.1204780021255866E-3</v>
      </c>
      <c r="G46" s="84">
        <v>-2.3383222891529341E-4</v>
      </c>
      <c r="H46" s="85">
        <v>6.6601768684347836E-3</v>
      </c>
      <c r="I46" s="86">
        <v>-3.2873076864567175E-4</v>
      </c>
      <c r="J46" s="88">
        <v>5.6845677694968297E-3</v>
      </c>
      <c r="K46" s="137" t="s">
        <v>1409</v>
      </c>
      <c r="L46" s="137" t="s">
        <v>1409</v>
      </c>
      <c r="M46" s="137" t="s">
        <v>1409</v>
      </c>
      <c r="N46" s="137" t="s">
        <v>1409</v>
      </c>
      <c r="O46" s="137" t="s">
        <v>1409</v>
      </c>
      <c r="P46" s="137" t="s">
        <v>1409</v>
      </c>
      <c r="Q46" s="137" t="s">
        <v>1409</v>
      </c>
      <c r="R46" s="137" t="s">
        <v>1409</v>
      </c>
      <c r="S46" s="137" t="s">
        <v>1409</v>
      </c>
      <c r="T46" s="137" t="s">
        <v>1409</v>
      </c>
      <c r="U46" s="137" t="s">
        <v>1409</v>
      </c>
      <c r="V46" s="137" t="s">
        <v>1409</v>
      </c>
      <c r="W46" s="137" t="s">
        <v>1409</v>
      </c>
      <c r="X46" s="137" t="s">
        <v>1409</v>
      </c>
      <c r="Y46" s="137" t="s">
        <v>1409</v>
      </c>
      <c r="Z46" s="33"/>
    </row>
    <row r="47" spans="1:26">
      <c r="A47" s="129"/>
      <c r="B47" s="90" t="s">
        <v>8</v>
      </c>
      <c r="C47" s="84">
        <v>5.6398431424624694E-5</v>
      </c>
      <c r="D47" s="85">
        <v>6.3867490531023497E-4</v>
      </c>
      <c r="E47" s="86">
        <v>2.9734870524817006E-5</v>
      </c>
      <c r="F47" s="87">
        <v>8.5589047701382524E-4</v>
      </c>
      <c r="G47" s="84">
        <v>8.9360535869775662E-5</v>
      </c>
      <c r="H47" s="85">
        <v>8.8682889391821678E-4</v>
      </c>
      <c r="I47" s="86">
        <v>1.1397563009717034E-4</v>
      </c>
      <c r="J47" s="88">
        <v>1.0050671860900057E-3</v>
      </c>
      <c r="K47" s="137" t="s">
        <v>1409</v>
      </c>
      <c r="L47" s="137" t="s">
        <v>1409</v>
      </c>
      <c r="M47" s="137" t="s">
        <v>1409</v>
      </c>
      <c r="N47" s="137" t="s">
        <v>1409</v>
      </c>
      <c r="O47" s="137" t="s">
        <v>1409</v>
      </c>
      <c r="P47" s="137" t="s">
        <v>1409</v>
      </c>
      <c r="Q47" s="137" t="s">
        <v>1409</v>
      </c>
      <c r="R47" s="137" t="s">
        <v>1409</v>
      </c>
      <c r="S47" s="137" t="s">
        <v>1409</v>
      </c>
      <c r="T47" s="137" t="s">
        <v>1409</v>
      </c>
      <c r="U47" s="137" t="s">
        <v>1409</v>
      </c>
      <c r="V47" s="137" t="s">
        <v>1409</v>
      </c>
      <c r="W47" s="137" t="s">
        <v>1409</v>
      </c>
      <c r="X47" s="137" t="s">
        <v>1409</v>
      </c>
      <c r="Y47" s="137" t="s">
        <v>1409</v>
      </c>
      <c r="Z47" s="33"/>
    </row>
    <row r="48" spans="1:26">
      <c r="A48" s="129"/>
      <c r="B48" s="90" t="s">
        <v>9</v>
      </c>
      <c r="C48" s="84">
        <v>-3.3705427325734155E-5</v>
      </c>
      <c r="D48" s="85">
        <v>1.3903495069373685E-4</v>
      </c>
      <c r="E48" s="86">
        <v>3.4506550505480941E-5</v>
      </c>
      <c r="F48" s="87">
        <v>9.8683832633603792E-5</v>
      </c>
      <c r="G48" s="84">
        <v>4.2267636220405854E-5</v>
      </c>
      <c r="H48" s="85">
        <v>1.5786796381693743E-4</v>
      </c>
      <c r="I48" s="86">
        <v>1.1673838079644294E-4</v>
      </c>
      <c r="J48" s="88">
        <v>1.7890316425698532E-4</v>
      </c>
      <c r="K48" s="137" t="s">
        <v>1409</v>
      </c>
      <c r="L48" s="137" t="s">
        <v>1409</v>
      </c>
      <c r="M48" s="137" t="s">
        <v>1409</v>
      </c>
      <c r="N48" s="137" t="s">
        <v>1409</v>
      </c>
      <c r="O48" s="137" t="s">
        <v>1409</v>
      </c>
      <c r="P48" s="137" t="s">
        <v>1409</v>
      </c>
      <c r="Q48" s="137" t="s">
        <v>1409</v>
      </c>
      <c r="R48" s="137" t="s">
        <v>1409</v>
      </c>
      <c r="S48" s="137" t="s">
        <v>1409</v>
      </c>
      <c r="T48" s="137" t="s">
        <v>1409</v>
      </c>
      <c r="U48" s="137" t="s">
        <v>1409</v>
      </c>
      <c r="V48" s="137" t="s">
        <v>1409</v>
      </c>
      <c r="W48" s="137" t="s">
        <v>1409</v>
      </c>
      <c r="X48" s="137" t="s">
        <v>1409</v>
      </c>
      <c r="Y48" s="137" t="s">
        <v>1409</v>
      </c>
      <c r="Z48" s="33"/>
    </row>
    <row r="49" spans="1:26">
      <c r="A49" s="129"/>
      <c r="B49" s="90" t="s">
        <v>10</v>
      </c>
      <c r="C49" s="84">
        <v>-1.0804224991725678E-2</v>
      </c>
      <c r="D49" s="85">
        <v>-2.775371944800464E-3</v>
      </c>
      <c r="E49" s="86">
        <v>1.2906546220828536E-2</v>
      </c>
      <c r="F49" s="87">
        <v>6.3164092923762684E-3</v>
      </c>
      <c r="G49" s="84">
        <v>2.5459498778047641E-2</v>
      </c>
      <c r="H49" s="85">
        <v>4.820887590953434E-3</v>
      </c>
      <c r="I49" s="86">
        <v>3.0723705410337147E-2</v>
      </c>
      <c r="J49" s="88">
        <v>6.0398883349931827E-3</v>
      </c>
      <c r="K49" s="137" t="s">
        <v>1409</v>
      </c>
      <c r="L49" s="137" t="s">
        <v>1409</v>
      </c>
      <c r="M49" s="137" t="s">
        <v>1409</v>
      </c>
      <c r="N49" s="137" t="s">
        <v>1409</v>
      </c>
      <c r="O49" s="137" t="s">
        <v>1409</v>
      </c>
      <c r="P49" s="137" t="s">
        <v>1409</v>
      </c>
      <c r="Q49" s="137" t="s">
        <v>1409</v>
      </c>
      <c r="R49" s="137" t="s">
        <v>1409</v>
      </c>
      <c r="S49" s="137" t="s">
        <v>1409</v>
      </c>
      <c r="T49" s="137" t="s">
        <v>1409</v>
      </c>
      <c r="U49" s="137" t="s">
        <v>1409</v>
      </c>
      <c r="V49" s="137" t="s">
        <v>1409</v>
      </c>
      <c r="W49" s="137" t="s">
        <v>1409</v>
      </c>
      <c r="X49" s="137" t="s">
        <v>1409</v>
      </c>
      <c r="Y49" s="137" t="s">
        <v>1409</v>
      </c>
      <c r="Z49" s="33"/>
    </row>
    <row r="50" spans="1:26">
      <c r="A50" s="129"/>
      <c r="B50" s="90" t="s">
        <v>11</v>
      </c>
      <c r="C50" s="84">
        <v>3.3129905010005189E-4</v>
      </c>
      <c r="D50" s="85">
        <v>2.4347386216953964E-4</v>
      </c>
      <c r="E50" s="86">
        <v>1.2677057232957862E-3</v>
      </c>
      <c r="F50" s="87">
        <v>3.7235403065813627E-4</v>
      </c>
      <c r="G50" s="84">
        <v>1.1556337182748672E-3</v>
      </c>
      <c r="H50" s="85">
        <v>-2.2890128936401364E-5</v>
      </c>
      <c r="I50" s="86">
        <v>1.4929606070637198E-3</v>
      </c>
      <c r="J50" s="88">
        <v>2.2430921149904959E-4</v>
      </c>
      <c r="K50" s="137" t="s">
        <v>1409</v>
      </c>
      <c r="L50" s="137" t="s">
        <v>1409</v>
      </c>
      <c r="M50" s="137" t="s">
        <v>1409</v>
      </c>
      <c r="N50" s="137" t="s">
        <v>1409</v>
      </c>
      <c r="O50" s="137" t="s">
        <v>1409</v>
      </c>
      <c r="P50" s="137" t="s">
        <v>1409</v>
      </c>
      <c r="Q50" s="137" t="s">
        <v>1409</v>
      </c>
      <c r="R50" s="137" t="s">
        <v>1409</v>
      </c>
      <c r="S50" s="137" t="s">
        <v>1409</v>
      </c>
      <c r="T50" s="137" t="s">
        <v>1409</v>
      </c>
      <c r="U50" s="137" t="s">
        <v>1409</v>
      </c>
      <c r="V50" s="137" t="s">
        <v>1409</v>
      </c>
      <c r="W50" s="137" t="s">
        <v>1409</v>
      </c>
      <c r="X50" s="137" t="s">
        <v>1409</v>
      </c>
      <c r="Y50" s="137" t="s">
        <v>1409</v>
      </c>
      <c r="Z50" s="33"/>
    </row>
    <row r="51" spans="1:26">
      <c r="A51" s="129"/>
      <c r="B51" s="90" t="s">
        <v>12</v>
      </c>
      <c r="C51" s="84">
        <v>1.3488166509445741E-7</v>
      </c>
      <c r="D51" s="85">
        <v>2.8656224686244434E-5</v>
      </c>
      <c r="E51" s="86">
        <v>9.5722578377770029E-7</v>
      </c>
      <c r="F51" s="87">
        <v>4.2670645525778064E-5</v>
      </c>
      <c r="G51" s="84">
        <v>1.362678919313893E-6</v>
      </c>
      <c r="H51" s="85">
        <v>1.9659225990390114E-5</v>
      </c>
      <c r="I51" s="86">
        <v>1.5708514000602911E-6</v>
      </c>
      <c r="J51" s="88">
        <v>8.6864040312845568E-6</v>
      </c>
      <c r="K51" s="137" t="s">
        <v>1409</v>
      </c>
      <c r="L51" s="137" t="s">
        <v>1409</v>
      </c>
      <c r="M51" s="137" t="s">
        <v>1409</v>
      </c>
      <c r="N51" s="137" t="s">
        <v>1409</v>
      </c>
      <c r="O51" s="137" t="s">
        <v>1409</v>
      </c>
      <c r="P51" s="137" t="s">
        <v>1409</v>
      </c>
      <c r="Q51" s="137" t="s">
        <v>1409</v>
      </c>
      <c r="R51" s="137" t="s">
        <v>1409</v>
      </c>
      <c r="S51" s="137" t="s">
        <v>1409</v>
      </c>
      <c r="T51" s="137" t="s">
        <v>1409</v>
      </c>
      <c r="U51" s="137" t="s">
        <v>1409</v>
      </c>
      <c r="V51" s="137" t="s">
        <v>1409</v>
      </c>
      <c r="W51" s="137" t="s">
        <v>1409</v>
      </c>
      <c r="X51" s="137" t="s">
        <v>1409</v>
      </c>
      <c r="Y51" s="137" t="s">
        <v>1409</v>
      </c>
      <c r="Z51" s="33"/>
    </row>
    <row r="52" spans="1:26">
      <c r="A52" s="129"/>
      <c r="B52" s="90" t="s">
        <v>13</v>
      </c>
      <c r="C52" s="84">
        <v>7.6467973771401186E-5</v>
      </c>
      <c r="D52" s="85">
        <v>2.2974006483704006E-3</v>
      </c>
      <c r="E52" s="86">
        <v>-3.1549111453148149E-5</v>
      </c>
      <c r="F52" s="87">
        <v>2.1635998177801877E-3</v>
      </c>
      <c r="G52" s="84">
        <v>-2.5416038841368129E-5</v>
      </c>
      <c r="H52" s="85">
        <v>1.3771743644440384E-3</v>
      </c>
      <c r="I52" s="86">
        <v>-4.5140754431392525E-5</v>
      </c>
      <c r="J52" s="88">
        <v>1.2018895526523235E-3</v>
      </c>
      <c r="K52" s="137" t="s">
        <v>1409</v>
      </c>
      <c r="L52" s="137" t="s">
        <v>1409</v>
      </c>
      <c r="M52" s="137" t="s">
        <v>1409</v>
      </c>
      <c r="N52" s="137" t="s">
        <v>1409</v>
      </c>
      <c r="O52" s="137" t="s">
        <v>1409</v>
      </c>
      <c r="P52" s="137" t="s">
        <v>1409</v>
      </c>
      <c r="Q52" s="137" t="s">
        <v>1409</v>
      </c>
      <c r="R52" s="137" t="s">
        <v>1409</v>
      </c>
      <c r="S52" s="137" t="s">
        <v>1409</v>
      </c>
      <c r="T52" s="137" t="s">
        <v>1409</v>
      </c>
      <c r="U52" s="137" t="s">
        <v>1409</v>
      </c>
      <c r="V52" s="137" t="s">
        <v>1409</v>
      </c>
      <c r="W52" s="137" t="s">
        <v>1409</v>
      </c>
      <c r="X52" s="137" t="s">
        <v>1409</v>
      </c>
      <c r="Y52" s="137" t="s">
        <v>1409</v>
      </c>
      <c r="Z52" s="33"/>
    </row>
    <row r="53" spans="1:26">
      <c r="A53" s="12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37" t="s">
        <v>1409</v>
      </c>
      <c r="L53" s="137" t="s">
        <v>1409</v>
      </c>
      <c r="M53" s="137" t="s">
        <v>1409</v>
      </c>
      <c r="N53" s="137" t="s">
        <v>1409</v>
      </c>
      <c r="O53" s="137" t="s">
        <v>1409</v>
      </c>
      <c r="P53" s="137" t="s">
        <v>1409</v>
      </c>
      <c r="Q53" s="137" t="s">
        <v>1409</v>
      </c>
      <c r="R53" s="137" t="s">
        <v>1409</v>
      </c>
      <c r="S53" s="137" t="s">
        <v>1409</v>
      </c>
      <c r="T53" s="137" t="s">
        <v>1409</v>
      </c>
      <c r="U53" s="137" t="s">
        <v>1409</v>
      </c>
      <c r="V53" s="137" t="s">
        <v>1409</v>
      </c>
      <c r="W53" s="137" t="s">
        <v>1409</v>
      </c>
      <c r="X53" s="137" t="s">
        <v>1409</v>
      </c>
      <c r="Y53" s="137" t="s">
        <v>1409</v>
      </c>
      <c r="Z53" s="33"/>
    </row>
    <row r="54" spans="1:26">
      <c r="A54" s="12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37" t="s">
        <v>1409</v>
      </c>
      <c r="L54" s="137" t="s">
        <v>1409</v>
      </c>
      <c r="M54" s="137" t="s">
        <v>1409</v>
      </c>
      <c r="N54" s="137" t="s">
        <v>1409</v>
      </c>
      <c r="O54" s="137" t="s">
        <v>1409</v>
      </c>
      <c r="P54" s="137" t="s">
        <v>1409</v>
      </c>
      <c r="Q54" s="137" t="s">
        <v>1409</v>
      </c>
      <c r="R54" s="137" t="s">
        <v>1409</v>
      </c>
      <c r="S54" s="137" t="s">
        <v>1409</v>
      </c>
      <c r="T54" s="137" t="s">
        <v>1409</v>
      </c>
      <c r="U54" s="137" t="s">
        <v>1409</v>
      </c>
      <c r="V54" s="137" t="s">
        <v>1409</v>
      </c>
      <c r="W54" s="137" t="s">
        <v>1409</v>
      </c>
      <c r="X54" s="137" t="s">
        <v>1409</v>
      </c>
      <c r="Y54" s="137" t="s">
        <v>1409</v>
      </c>
      <c r="Z54" s="33"/>
    </row>
    <row r="55" spans="1:26">
      <c r="A55" s="129"/>
      <c r="B55" s="90" t="s">
        <v>16</v>
      </c>
      <c r="C55" s="84">
        <v>0</v>
      </c>
      <c r="D55" s="85">
        <v>0</v>
      </c>
      <c r="E55" s="86">
        <v>0</v>
      </c>
      <c r="F55" s="87">
        <v>0</v>
      </c>
      <c r="G55" s="84">
        <v>0</v>
      </c>
      <c r="H55" s="85">
        <v>0</v>
      </c>
      <c r="I55" s="86">
        <v>0</v>
      </c>
      <c r="J55" s="88">
        <v>0</v>
      </c>
      <c r="K55" s="137" t="s">
        <v>1409</v>
      </c>
      <c r="L55" s="137" t="s">
        <v>1409</v>
      </c>
      <c r="M55" s="137" t="s">
        <v>1409</v>
      </c>
      <c r="N55" s="137" t="s">
        <v>1409</v>
      </c>
      <c r="O55" s="137" t="s">
        <v>1409</v>
      </c>
      <c r="P55" s="137" t="s">
        <v>1409</v>
      </c>
      <c r="Q55" s="137" t="s">
        <v>1409</v>
      </c>
      <c r="R55" s="137" t="s">
        <v>1409</v>
      </c>
      <c r="S55" s="137" t="s">
        <v>1409</v>
      </c>
      <c r="T55" s="137" t="s">
        <v>1409</v>
      </c>
      <c r="U55" s="137" t="s">
        <v>1409</v>
      </c>
      <c r="V55" s="137" t="s">
        <v>1409</v>
      </c>
      <c r="W55" s="137" t="s">
        <v>1409</v>
      </c>
      <c r="X55" s="137" t="s">
        <v>1409</v>
      </c>
      <c r="Y55" s="137" t="s">
        <v>1409</v>
      </c>
      <c r="Z55" s="33"/>
    </row>
    <row r="56" spans="1:26">
      <c r="A56" s="129"/>
      <c r="B56" s="90" t="s">
        <v>17</v>
      </c>
      <c r="C56" s="84">
        <v>2.4552653362297561E-7</v>
      </c>
      <c r="D56" s="85">
        <v>2.1574921518933793E-5</v>
      </c>
      <c r="E56" s="86">
        <v>1.8733697758825745E-7</v>
      </c>
      <c r="F56" s="87">
        <v>-2.1418165822313657E-7</v>
      </c>
      <c r="G56" s="84">
        <v>-2.8186109466020369E-7</v>
      </c>
      <c r="H56" s="85">
        <v>-1.3282164226498438E-3</v>
      </c>
      <c r="I56" s="86">
        <v>-2.8543575501773438E-7</v>
      </c>
      <c r="J56" s="88">
        <v>-3.3423065898571512E-8</v>
      </c>
      <c r="K56" s="137" t="s">
        <v>1409</v>
      </c>
      <c r="L56" s="137" t="s">
        <v>1409</v>
      </c>
      <c r="M56" s="137" t="s">
        <v>1409</v>
      </c>
      <c r="N56" s="137" t="s">
        <v>1409</v>
      </c>
      <c r="O56" s="137" t="s">
        <v>1409</v>
      </c>
      <c r="P56" s="137" t="s">
        <v>1409</v>
      </c>
      <c r="Q56" s="137" t="s">
        <v>1409</v>
      </c>
      <c r="R56" s="137" t="s">
        <v>1409</v>
      </c>
      <c r="S56" s="137" t="s">
        <v>1409</v>
      </c>
      <c r="T56" s="137" t="s">
        <v>1409</v>
      </c>
      <c r="U56" s="137" t="s">
        <v>1409</v>
      </c>
      <c r="V56" s="137" t="s">
        <v>1409</v>
      </c>
      <c r="W56" s="137" t="s">
        <v>1409</v>
      </c>
      <c r="X56" s="137" t="s">
        <v>1409</v>
      </c>
      <c r="Y56" s="137" t="s">
        <v>1409</v>
      </c>
      <c r="Z56" s="33"/>
    </row>
    <row r="57" spans="1:26">
      <c r="A57" s="129"/>
      <c r="B57" s="91" t="s">
        <v>25</v>
      </c>
      <c r="C57" s="92">
        <v>-4.9553112280009692E-4</v>
      </c>
      <c r="D57" s="93">
        <v>1.0000000000000004</v>
      </c>
      <c r="E57" s="94">
        <v>6.9762327156564385E-2</v>
      </c>
      <c r="F57" s="95">
        <v>1.0000000000000002</v>
      </c>
      <c r="G57" s="92">
        <v>0.11330873317720092</v>
      </c>
      <c r="H57" s="93">
        <v>1</v>
      </c>
      <c r="I57" s="94">
        <v>0.1531178366296444</v>
      </c>
      <c r="J57" s="96">
        <v>1.0000000000000002</v>
      </c>
      <c r="K57" s="137" t="s">
        <v>1409</v>
      </c>
      <c r="L57" s="137" t="s">
        <v>1409</v>
      </c>
      <c r="M57" s="137" t="s">
        <v>1409</v>
      </c>
      <c r="N57" s="137" t="s">
        <v>1409</v>
      </c>
      <c r="O57" s="137" t="s">
        <v>1409</v>
      </c>
      <c r="P57" s="137" t="s">
        <v>1409</v>
      </c>
      <c r="Q57" s="137" t="s">
        <v>1409</v>
      </c>
      <c r="R57" s="137" t="s">
        <v>1409</v>
      </c>
      <c r="S57" s="137" t="s">
        <v>1409</v>
      </c>
      <c r="T57" s="137" t="s">
        <v>1409</v>
      </c>
      <c r="U57" s="137" t="s">
        <v>1409</v>
      </c>
      <c r="V57" s="137" t="s">
        <v>1409</v>
      </c>
      <c r="W57" s="137" t="s">
        <v>1409</v>
      </c>
      <c r="X57" s="137" t="s">
        <v>1409</v>
      </c>
      <c r="Y57" s="137" t="s">
        <v>1409</v>
      </c>
      <c r="Z57" s="33"/>
    </row>
    <row r="58" spans="1:26">
      <c r="A58" s="129"/>
      <c r="B58" s="97" t="s">
        <v>24</v>
      </c>
      <c r="C58" s="98">
        <v>-33.439999999999827</v>
      </c>
      <c r="D58" s="132"/>
      <c r="E58" s="99">
        <v>7999.84</v>
      </c>
      <c r="F58" s="132"/>
      <c r="G58" s="98">
        <v>12998.400000000001</v>
      </c>
      <c r="H58" s="132"/>
      <c r="I58" s="99">
        <v>17557.850000000002</v>
      </c>
      <c r="J58" s="138"/>
      <c r="K58" s="137" t="s">
        <v>1409</v>
      </c>
      <c r="L58" s="137" t="s">
        <v>1409</v>
      </c>
      <c r="M58" s="137" t="s">
        <v>1409</v>
      </c>
      <c r="N58" s="137" t="s">
        <v>1409</v>
      </c>
      <c r="O58" s="137" t="s">
        <v>1409</v>
      </c>
      <c r="P58" s="137" t="s">
        <v>1409</v>
      </c>
      <c r="Q58" s="137" t="s">
        <v>1409</v>
      </c>
      <c r="R58" s="137" t="s">
        <v>1409</v>
      </c>
      <c r="S58" s="137" t="s">
        <v>1409</v>
      </c>
      <c r="T58" s="137" t="s">
        <v>1409</v>
      </c>
      <c r="U58" s="137" t="s">
        <v>1409</v>
      </c>
      <c r="V58" s="137" t="s">
        <v>1409</v>
      </c>
      <c r="W58" s="137" t="s">
        <v>1409</v>
      </c>
      <c r="X58" s="137" t="s">
        <v>1409</v>
      </c>
      <c r="Y58" s="137" t="s">
        <v>1409</v>
      </c>
      <c r="Z58" s="33"/>
    </row>
    <row r="59" spans="1:26">
      <c r="A59" s="129"/>
      <c r="B59" s="135"/>
      <c r="C59" s="136"/>
      <c r="D59" s="136"/>
      <c r="E59" s="136"/>
      <c r="F59" s="136"/>
      <c r="G59" s="136"/>
      <c r="H59" s="136"/>
      <c r="I59" s="136"/>
      <c r="J59" s="139"/>
      <c r="K59" s="137" t="s">
        <v>1409</v>
      </c>
      <c r="L59" s="137" t="s">
        <v>1409</v>
      </c>
      <c r="M59" s="137" t="s">
        <v>1409</v>
      </c>
      <c r="N59" s="137" t="s">
        <v>1409</v>
      </c>
      <c r="O59" s="137" t="s">
        <v>1409</v>
      </c>
      <c r="P59" s="137" t="s">
        <v>1409</v>
      </c>
      <c r="Q59" s="137" t="s">
        <v>1409</v>
      </c>
      <c r="R59" s="137" t="s">
        <v>1409</v>
      </c>
      <c r="S59" s="137" t="s">
        <v>1409</v>
      </c>
      <c r="T59" s="137" t="s">
        <v>1409</v>
      </c>
      <c r="U59" s="137" t="s">
        <v>1409</v>
      </c>
      <c r="V59" s="137" t="s">
        <v>1409</v>
      </c>
      <c r="W59" s="137" t="s">
        <v>1409</v>
      </c>
      <c r="X59" s="137" t="s">
        <v>1409</v>
      </c>
      <c r="Y59" s="137" t="s">
        <v>1409</v>
      </c>
      <c r="Z59" s="33"/>
    </row>
    <row r="60" spans="1:26">
      <c r="A60" s="129"/>
      <c r="B60" s="83" t="s">
        <v>19</v>
      </c>
      <c r="C60" s="102">
        <v>8.0036270171909094E-3</v>
      </c>
      <c r="D60" s="103">
        <v>0.80457262077863634</v>
      </c>
      <c r="E60" s="104">
        <v>5.8566678884114917E-2</v>
      </c>
      <c r="F60" s="105">
        <v>0.80848075617482762</v>
      </c>
      <c r="G60" s="102">
        <v>8.2222946279005366E-2</v>
      </c>
      <c r="H60" s="103">
        <v>0.82075653605361809</v>
      </c>
      <c r="I60" s="104">
        <v>0.11645573185067504</v>
      </c>
      <c r="J60" s="106">
        <v>0.81361771270837713</v>
      </c>
      <c r="K60" s="137" t="s">
        <v>1409</v>
      </c>
      <c r="L60" s="137" t="s">
        <v>1409</v>
      </c>
      <c r="M60" s="137" t="s">
        <v>1409</v>
      </c>
      <c r="N60" s="137" t="s">
        <v>1409</v>
      </c>
      <c r="O60" s="137" t="s">
        <v>1409</v>
      </c>
      <c r="P60" s="137" t="s">
        <v>1409</v>
      </c>
      <c r="Q60" s="137" t="s">
        <v>1409</v>
      </c>
      <c r="R60" s="137" t="s">
        <v>1409</v>
      </c>
      <c r="S60" s="137" t="s">
        <v>1409</v>
      </c>
      <c r="T60" s="137" t="s">
        <v>1409</v>
      </c>
      <c r="U60" s="137" t="s">
        <v>1409</v>
      </c>
      <c r="V60" s="137" t="s">
        <v>1409</v>
      </c>
      <c r="W60" s="137" t="s">
        <v>1409</v>
      </c>
      <c r="X60" s="137" t="s">
        <v>1409</v>
      </c>
      <c r="Y60" s="137" t="s">
        <v>1409</v>
      </c>
      <c r="Z60" s="33"/>
    </row>
    <row r="61" spans="1:26">
      <c r="A61" s="129"/>
      <c r="B61" s="90" t="s">
        <v>20</v>
      </c>
      <c r="C61" s="84">
        <v>-8.4991581399910063E-3</v>
      </c>
      <c r="D61" s="85">
        <v>0.19542737922136366</v>
      </c>
      <c r="E61" s="86">
        <v>1.1195648272449465E-2</v>
      </c>
      <c r="F61" s="87">
        <v>0.19151924382517235</v>
      </c>
      <c r="G61" s="84">
        <v>3.1085786898195539E-2</v>
      </c>
      <c r="H61" s="85">
        <v>0.17924346394638183</v>
      </c>
      <c r="I61" s="86">
        <v>3.6662104778969598E-2</v>
      </c>
      <c r="J61" s="88">
        <v>0.18638228729162287</v>
      </c>
      <c r="K61" s="137" t="s">
        <v>1409</v>
      </c>
      <c r="L61" s="137" t="s">
        <v>1409</v>
      </c>
      <c r="M61" s="137" t="s">
        <v>1409</v>
      </c>
      <c r="N61" s="137" t="s">
        <v>1409</v>
      </c>
      <c r="O61" s="137" t="s">
        <v>1409</v>
      </c>
      <c r="P61" s="137" t="s">
        <v>1409</v>
      </c>
      <c r="Q61" s="137" t="s">
        <v>1409</v>
      </c>
      <c r="R61" s="137" t="s">
        <v>1409</v>
      </c>
      <c r="S61" s="137" t="s">
        <v>1409</v>
      </c>
      <c r="T61" s="137" t="s">
        <v>1409</v>
      </c>
      <c r="U61" s="137" t="s">
        <v>1409</v>
      </c>
      <c r="V61" s="137" t="s">
        <v>1409</v>
      </c>
      <c r="W61" s="137" t="s">
        <v>1409</v>
      </c>
      <c r="X61" s="137" t="s">
        <v>1409</v>
      </c>
      <c r="Y61" s="137" t="s">
        <v>1409</v>
      </c>
      <c r="Z61" s="33"/>
    </row>
    <row r="62" spans="1:26">
      <c r="A62" s="129"/>
      <c r="B62" s="91" t="s">
        <v>25</v>
      </c>
      <c r="C62" s="92">
        <v>-4.9553112280009692E-4</v>
      </c>
      <c r="D62" s="93">
        <v>1</v>
      </c>
      <c r="E62" s="94">
        <v>6.9762327156564385E-2</v>
      </c>
      <c r="F62" s="95">
        <v>1</v>
      </c>
      <c r="G62" s="92">
        <v>0.11330873317720092</v>
      </c>
      <c r="H62" s="93">
        <v>0.99999999999999989</v>
      </c>
      <c r="I62" s="94">
        <v>0.15311783662964462</v>
      </c>
      <c r="J62" s="96">
        <v>1</v>
      </c>
      <c r="K62" s="137" t="s">
        <v>1409</v>
      </c>
      <c r="L62" s="137" t="s">
        <v>1409</v>
      </c>
      <c r="M62" s="137" t="s">
        <v>1409</v>
      </c>
      <c r="N62" s="137" t="s">
        <v>1409</v>
      </c>
      <c r="O62" s="137" t="s">
        <v>1409</v>
      </c>
      <c r="P62" s="137" t="s">
        <v>1409</v>
      </c>
      <c r="Q62" s="137" t="s">
        <v>1409</v>
      </c>
      <c r="R62" s="137" t="s">
        <v>1409</v>
      </c>
      <c r="S62" s="137" t="s">
        <v>1409</v>
      </c>
      <c r="T62" s="137" t="s">
        <v>1409</v>
      </c>
      <c r="U62" s="137" t="s">
        <v>1409</v>
      </c>
      <c r="V62" s="137" t="s">
        <v>1409</v>
      </c>
      <c r="W62" s="137" t="s">
        <v>1409</v>
      </c>
      <c r="X62" s="137" t="s">
        <v>1409</v>
      </c>
      <c r="Y62" s="137" t="s">
        <v>1409</v>
      </c>
      <c r="Z62" s="33"/>
    </row>
    <row r="63" spans="1:26">
      <c r="A63" s="129"/>
      <c r="B63" s="135"/>
      <c r="C63" s="136"/>
      <c r="D63" s="136"/>
      <c r="E63" s="136"/>
      <c r="F63" s="136"/>
      <c r="G63" s="136"/>
      <c r="H63" s="136"/>
      <c r="I63" s="136"/>
      <c r="J63" s="139"/>
      <c r="K63" s="137" t="s">
        <v>1409</v>
      </c>
      <c r="L63" s="137" t="s">
        <v>1409</v>
      </c>
      <c r="M63" s="137" t="s">
        <v>1409</v>
      </c>
      <c r="N63" s="137" t="s">
        <v>1409</v>
      </c>
      <c r="O63" s="137" t="s">
        <v>1409</v>
      </c>
      <c r="P63" s="137" t="s">
        <v>1409</v>
      </c>
      <c r="Q63" s="137" t="s">
        <v>1409</v>
      </c>
      <c r="R63" s="137" t="s">
        <v>1409</v>
      </c>
      <c r="S63" s="137" t="s">
        <v>1409</v>
      </c>
      <c r="T63" s="137" t="s">
        <v>1409</v>
      </c>
      <c r="U63" s="137" t="s">
        <v>1409</v>
      </c>
      <c r="V63" s="137" t="s">
        <v>1409</v>
      </c>
      <c r="W63" s="137" t="s">
        <v>1409</v>
      </c>
      <c r="X63" s="137" t="s">
        <v>1409</v>
      </c>
      <c r="Y63" s="137" t="s">
        <v>1409</v>
      </c>
      <c r="Z63" s="33"/>
    </row>
    <row r="64" spans="1:26">
      <c r="A64" s="129"/>
      <c r="B64" s="83" t="s">
        <v>21</v>
      </c>
      <c r="C64" s="102">
        <v>1.3936396584904851E-3</v>
      </c>
      <c r="D64" s="103">
        <v>0.99592246088831238</v>
      </c>
      <c r="E64" s="104">
        <v>6.4699993457420335E-2</v>
      </c>
      <c r="F64" s="105">
        <v>0.99394464474926447</v>
      </c>
      <c r="G64" s="102">
        <v>0.10529924922325581</v>
      </c>
      <c r="H64" s="103">
        <v>0.99869618702107388</v>
      </c>
      <c r="I64" s="104">
        <v>0.14296398848201206</v>
      </c>
      <c r="J64" s="106">
        <v>0.99353410468422243</v>
      </c>
      <c r="K64" s="137" t="s">
        <v>1409</v>
      </c>
      <c r="L64" s="137" t="s">
        <v>1409</v>
      </c>
      <c r="M64" s="137" t="s">
        <v>1409</v>
      </c>
      <c r="N64" s="137" t="s">
        <v>1409</v>
      </c>
      <c r="O64" s="137" t="s">
        <v>1409</v>
      </c>
      <c r="P64" s="137" t="s">
        <v>1409</v>
      </c>
      <c r="Q64" s="137" t="s">
        <v>1409</v>
      </c>
      <c r="R64" s="137" t="s">
        <v>1409</v>
      </c>
      <c r="S64" s="137" t="s">
        <v>1409</v>
      </c>
      <c r="T64" s="137" t="s">
        <v>1409</v>
      </c>
      <c r="U64" s="137" t="s">
        <v>1409</v>
      </c>
      <c r="V64" s="137" t="s">
        <v>1409</v>
      </c>
      <c r="W64" s="137" t="s">
        <v>1409</v>
      </c>
      <c r="X64" s="137" t="s">
        <v>1409</v>
      </c>
      <c r="Y64" s="137" t="s">
        <v>1409</v>
      </c>
      <c r="Z64" s="33"/>
    </row>
    <row r="65" spans="1:26">
      <c r="A65" s="129"/>
      <c r="B65" s="90" t="s">
        <v>22</v>
      </c>
      <c r="C65" s="84">
        <v>-1.8891707812905821E-3</v>
      </c>
      <c r="D65" s="85">
        <v>4.0775391116875549E-3</v>
      </c>
      <c r="E65" s="86">
        <v>5.0623336991440556E-3</v>
      </c>
      <c r="F65" s="87">
        <v>6.0553552507356129E-3</v>
      </c>
      <c r="G65" s="84">
        <v>8.009483953945103E-3</v>
      </c>
      <c r="H65" s="85">
        <v>1.3038129789261093E-3</v>
      </c>
      <c r="I65" s="86">
        <v>1.0153848147632559E-2</v>
      </c>
      <c r="J65" s="88">
        <v>6.4658953157774842E-3</v>
      </c>
      <c r="K65" s="137" t="s">
        <v>1409</v>
      </c>
      <c r="L65" s="137" t="s">
        <v>1409</v>
      </c>
      <c r="M65" s="137" t="s">
        <v>1409</v>
      </c>
      <c r="N65" s="137" t="s">
        <v>1409</v>
      </c>
      <c r="O65" s="137" t="s">
        <v>1409</v>
      </c>
      <c r="P65" s="137" t="s">
        <v>1409</v>
      </c>
      <c r="Q65" s="137" t="s">
        <v>1409</v>
      </c>
      <c r="R65" s="137" t="s">
        <v>1409</v>
      </c>
      <c r="S65" s="137" t="s">
        <v>1409</v>
      </c>
      <c r="T65" s="137" t="s">
        <v>1409</v>
      </c>
      <c r="U65" s="137" t="s">
        <v>1409</v>
      </c>
      <c r="V65" s="137" t="s">
        <v>1409</v>
      </c>
      <c r="W65" s="137" t="s">
        <v>1409</v>
      </c>
      <c r="X65" s="137" t="s">
        <v>1409</v>
      </c>
      <c r="Y65" s="137" t="s">
        <v>1409</v>
      </c>
      <c r="Z65" s="33"/>
    </row>
    <row r="66" spans="1:26">
      <c r="A66" s="129"/>
      <c r="B66" s="107" t="s">
        <v>25</v>
      </c>
      <c r="C66" s="108">
        <v>-4.9553112280009692E-4</v>
      </c>
      <c r="D66" s="109">
        <v>0.99999999999999989</v>
      </c>
      <c r="E66" s="110">
        <v>6.9762327156564385E-2</v>
      </c>
      <c r="F66" s="111">
        <v>1</v>
      </c>
      <c r="G66" s="108">
        <v>0.11330873317720092</v>
      </c>
      <c r="H66" s="109">
        <v>1</v>
      </c>
      <c r="I66" s="110">
        <v>0.15311783662964462</v>
      </c>
      <c r="J66" s="112">
        <v>0.99999999999999989</v>
      </c>
      <c r="K66" s="137" t="s">
        <v>1409</v>
      </c>
      <c r="L66" s="137" t="s">
        <v>1409</v>
      </c>
      <c r="M66" s="137" t="s">
        <v>1409</v>
      </c>
      <c r="N66" s="137" t="s">
        <v>1409</v>
      </c>
      <c r="O66" s="137" t="s">
        <v>1409</v>
      </c>
      <c r="P66" s="137" t="s">
        <v>1409</v>
      </c>
      <c r="Q66" s="137" t="s">
        <v>1409</v>
      </c>
      <c r="R66" s="137" t="s">
        <v>1409</v>
      </c>
      <c r="S66" s="137" t="s">
        <v>1409</v>
      </c>
      <c r="T66" s="137" t="s">
        <v>1409</v>
      </c>
      <c r="U66" s="137" t="s">
        <v>1409</v>
      </c>
      <c r="V66" s="137" t="s">
        <v>1409</v>
      </c>
      <c r="W66" s="137" t="s">
        <v>1409</v>
      </c>
      <c r="X66" s="137" t="s">
        <v>1409</v>
      </c>
      <c r="Y66" s="137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2026-01-20T14:37:53Z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