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C9CB6136-98D0-42AD-B6C5-4A92B222F32D}" xr6:coauthVersionLast="47" xr6:coauthVersionMax="47" xr10:uidLastSave="{00000000-0000-0000-0000-000000000000}"/>
  <workbookProtection workbookPassword="8F07" lockStructure="1"/>
  <bookViews>
    <workbookView xWindow="2685" yWindow="26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<sst xmlns="http://schemas.openxmlformats.org/spreadsheetml/2006/main" count="5549" uniqueCount="1419">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</sst>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15452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ולפיצויים- מסלול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512237744_g15452_Yield425.xlsx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0"/>
      <c r="B1" s="4" t="s">
        <v>0</v>
      </c>
    </row>
    <row r="2" spans="1:31" ht="18.75">
      <c r="A2" s="120"/>
      <c r="B2" s="6" t="s">
        <v>822</v>
      </c>
      <c r="C2" s="25">
        <f>הנחיות!B21</f>
        <v>15452</v>
      </c>
      <c r="D2" s="72"/>
      <c r="E2" s="72"/>
    </row>
    <row r="3" spans="1:31" ht="18.75">
      <c r="A3" s="120"/>
      <c r="B3" s="7" t="s">
        <v>28</v>
      </c>
      <c r="C3" s="24" t="str">
        <f ca="1">הנחיות!B23</f>
        <v>מגדל לתגמולים ולפיצויים- מסלול הלכה</v>
      </c>
      <c r="D3" s="24"/>
    </row>
    <row r="4" spans="1:31" ht="18.75">
      <c r="A4" s="12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0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5">
        <f>W5+1</f>
        <v>1</v>
      </c>
      <c r="Z5" s="5"/>
    </row>
    <row r="6" spans="1:31" s="20" customFormat="1" ht="47.45" customHeight="1">
      <c r="A6" s="122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0"/>
      <c r="B7" s="84" t="s">
        <v>1</v>
      </c>
      <c r="C7" s="85">
        <v>1.0436510058844516E-3</v>
      </c>
      <c r="D7" s="86">
        <v>0.1406868214835823</v>
      </c>
      <c r="E7" s="87">
        <v>1.5870327711086418E-4</v>
      </c>
      <c r="F7" s="88">
        <v>6.5125911442599327E-2</v>
      </c>
      <c r="G7" s="85">
        <v>7.0180554699263186E-4</v>
      </c>
      <c r="H7" s="86">
        <v>5.6668053002867938E-2</v>
      </c>
      <c r="I7" s="87">
        <v>-3.814636033336875E-4</v>
      </c>
      <c r="J7" s="88">
        <v>4.9989935992010209E-2</v>
      </c>
      <c r="K7" s="85">
        <v>-3.5353736119058472E-4</v>
      </c>
      <c r="L7" s="86">
        <v>5.2470693901133021E-2</v>
      </c>
      <c r="M7" s="87">
        <v>2.5485745236960975E-4</v>
      </c>
      <c r="N7" s="88">
        <v>5.664303621551605E-2</v>
      </c>
      <c r="O7" s="85">
        <v>-5.5899691384027084E-5</v>
      </c>
      <c r="P7" s="86">
        <v>3.3107341148033938E-2</v>
      </c>
      <c r="Q7" s="87">
        <v>-1.0824505420692606E-4</v>
      </c>
      <c r="R7" s="88">
        <v>5.6196284689933602E-2</v>
      </c>
      <c r="S7" s="85">
        <v>5.0962934319942769E-4</v>
      </c>
      <c r="T7" s="86">
        <v>5.9791320310307747E-2</v>
      </c>
      <c r="U7" s="87">
        <v>2.7637730005683994E-5</v>
      </c>
      <c r="V7" s="88">
        <v>4.7937700593516729E-2</v>
      </c>
      <c r="W7" s="85">
        <v>-3.7821058042869037E-5</v>
      </c>
      <c r="X7" s="86">
        <v>3.2653808345175298E-2</v>
      </c>
      <c r="Y7" s="87">
        <v>5.8158304249187243E-4</v>
      </c>
      <c r="Z7" s="89">
        <v>4.4210360088766373E-2</v>
      </c>
      <c r="AE7" s="3"/>
    </row>
    <row r="8" spans="1:31" ht="30">
      <c r="A8" s="120"/>
      <c r="B8" s="90" t="s">
        <v>909</v>
      </c>
      <c r="C8" s="85">
        <v>1.4283080203176602E-3</v>
      </c>
      <c r="D8" s="86">
        <v>0.14285597134604328</v>
      </c>
      <c r="E8" s="87">
        <v>1.6001032920213471E-3</v>
      </c>
      <c r="F8" s="88">
        <v>0.15730071528946099</v>
      </c>
      <c r="G8" s="85">
        <v>-1.357961307790015E-3</v>
      </c>
      <c r="H8" s="86">
        <v>0.16571255635943863</v>
      </c>
      <c r="I8" s="87">
        <v>2.1721438283909024E-3</v>
      </c>
      <c r="J8" s="88">
        <v>0.16912660426747142</v>
      </c>
      <c r="K8" s="85">
        <v>-1.0833881490188171E-3</v>
      </c>
      <c r="L8" s="86">
        <v>0.16755074150441385</v>
      </c>
      <c r="M8" s="87">
        <v>3.9183087796259009E-3</v>
      </c>
      <c r="N8" s="88">
        <v>0.16718814523066794</v>
      </c>
      <c r="O8" s="85">
        <v>-3.8834641809424886E-4</v>
      </c>
      <c r="P8" s="86">
        <v>0.16282777133825055</v>
      </c>
      <c r="Q8" s="87">
        <v>1.5987356868352562E-3</v>
      </c>
      <c r="R8" s="88">
        <v>0.16087905140879441</v>
      </c>
      <c r="S8" s="85">
        <v>1.2106548387742896E-3</v>
      </c>
      <c r="T8" s="86">
        <v>0.15424530768353117</v>
      </c>
      <c r="U8" s="87">
        <v>1.9526814970473676E-3</v>
      </c>
      <c r="V8" s="88">
        <v>0.15502345325008052</v>
      </c>
      <c r="W8" s="85">
        <v>2.8922194840197071E-4</v>
      </c>
      <c r="X8" s="86">
        <v>0.15856423330409031</v>
      </c>
      <c r="Y8" s="87">
        <v>3.2124093235521623E-4</v>
      </c>
      <c r="Z8" s="89">
        <v>0.15713353895859919</v>
      </c>
      <c r="AE8" s="3"/>
    </row>
    <row r="9" spans="1:31">
      <c r="A9" s="120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0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0"/>
      <c r="B11" s="91" t="s">
        <v>4</v>
      </c>
      <c r="C11" s="85">
        <v>0</v>
      </c>
      <c r="D11" s="86">
        <v>0</v>
      </c>
      <c r="E11" s="87">
        <v>0</v>
      </c>
      <c r="F11" s="88">
        <v>0</v>
      </c>
      <c r="G11" s="85">
        <v>0</v>
      </c>
      <c r="H11" s="86">
        <v>0</v>
      </c>
      <c r="I11" s="87">
        <v>0</v>
      </c>
      <c r="J11" s="88">
        <v>0</v>
      </c>
      <c r="K11" s="85">
        <v>0</v>
      </c>
      <c r="L11" s="86">
        <v>0</v>
      </c>
      <c r="M11" s="87">
        <v>0</v>
      </c>
      <c r="N11" s="88">
        <v>0</v>
      </c>
      <c r="O11" s="85">
        <v>0</v>
      </c>
      <c r="P11" s="86">
        <v>0</v>
      </c>
      <c r="Q11" s="87">
        <v>0</v>
      </c>
      <c r="R11" s="88">
        <v>0</v>
      </c>
      <c r="S11" s="85">
        <v>0</v>
      </c>
      <c r="T11" s="86">
        <v>0</v>
      </c>
      <c r="U11" s="87">
        <v>0</v>
      </c>
      <c r="V11" s="88">
        <v>0</v>
      </c>
      <c r="W11" s="85">
        <v>0</v>
      </c>
      <c r="X11" s="86">
        <v>0</v>
      </c>
      <c r="Y11" s="87">
        <v>0</v>
      </c>
      <c r="Z11" s="89">
        <v>0</v>
      </c>
      <c r="AE11" s="3"/>
    </row>
    <row r="12" spans="1:31">
      <c r="A12" s="120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0"/>
      <c r="B13" s="91" t="s">
        <v>6</v>
      </c>
      <c r="C13" s="85">
        <v>0</v>
      </c>
      <c r="D13" s="86">
        <v>0</v>
      </c>
      <c r="E13" s="87">
        <v>0</v>
      </c>
      <c r="F13" s="88">
        <v>0</v>
      </c>
      <c r="G13" s="85">
        <v>0</v>
      </c>
      <c r="H13" s="86">
        <v>0</v>
      </c>
      <c r="I13" s="87">
        <v>0</v>
      </c>
      <c r="J13" s="88">
        <v>0</v>
      </c>
      <c r="K13" s="85">
        <v>0</v>
      </c>
      <c r="L13" s="86">
        <v>0</v>
      </c>
      <c r="M13" s="87">
        <v>0</v>
      </c>
      <c r="N13" s="88">
        <v>0</v>
      </c>
      <c r="O13" s="85">
        <v>0</v>
      </c>
      <c r="P13" s="86">
        <v>0</v>
      </c>
      <c r="Q13" s="87">
        <v>0</v>
      </c>
      <c r="R13" s="88">
        <v>0</v>
      </c>
      <c r="S13" s="85">
        <v>2.6936382353742766E-6</v>
      </c>
      <c r="T13" s="86">
        <v>0</v>
      </c>
      <c r="U13" s="87">
        <v>1.9403123439494236E-5</v>
      </c>
      <c r="V13" s="88">
        <v>0</v>
      </c>
      <c r="W13" s="85">
        <v>1.5390068064916496E-5</v>
      </c>
      <c r="X13" s="86">
        <v>0</v>
      </c>
      <c r="Y13" s="87">
        <v>-5.5841979507837173E-4</v>
      </c>
      <c r="Z13" s="89">
        <v>-6.3348343686028954E-5</v>
      </c>
      <c r="AE13" s="3"/>
    </row>
    <row r="14" spans="1:31">
      <c r="A14" s="120"/>
      <c r="B14" s="91" t="s">
        <v>62</v>
      </c>
      <c r="C14" s="85">
        <v>5.4925132278762657E-3</v>
      </c>
      <c r="D14" s="86">
        <v>0.71541508416560351</v>
      </c>
      <c r="E14" s="87">
        <v>2.7048749135549859E-3</v>
      </c>
      <c r="F14" s="88">
        <v>0.77698522103493595</v>
      </c>
      <c r="G14" s="85">
        <v>-8.6576490000632583E-3</v>
      </c>
      <c r="H14" s="86">
        <v>0.77913501962509724</v>
      </c>
      <c r="I14" s="87">
        <v>6.3725112834986837E-3</v>
      </c>
      <c r="J14" s="88">
        <v>0.78238827901839725</v>
      </c>
      <c r="K14" s="85">
        <v>1.8336169752631245E-2</v>
      </c>
      <c r="L14" s="86">
        <v>0.7774552086225478</v>
      </c>
      <c r="M14" s="87">
        <v>2.1417896263797923E-2</v>
      </c>
      <c r="N14" s="88">
        <v>0.77163611432497137</v>
      </c>
      <c r="O14" s="85">
        <v>1.4426936272078288E-2</v>
      </c>
      <c r="P14" s="86">
        <v>0.7958659429634245</v>
      </c>
      <c r="Q14" s="87">
        <v>2.7134623718550101E-3</v>
      </c>
      <c r="R14" s="88">
        <v>0.77814556704950799</v>
      </c>
      <c r="S14" s="85">
        <v>1.7074295579659341E-2</v>
      </c>
      <c r="T14" s="86">
        <v>0.77974721187181628</v>
      </c>
      <c r="U14" s="87">
        <v>1.1715743623712313E-2</v>
      </c>
      <c r="V14" s="88">
        <v>0.78893788952307309</v>
      </c>
      <c r="W14" s="85">
        <v>9.6595857623065686E-3</v>
      </c>
      <c r="X14" s="86">
        <v>0.80631751441202315</v>
      </c>
      <c r="Y14" s="87">
        <v>8.1851700525729376E-3</v>
      </c>
      <c r="Z14" s="89">
        <v>0.79577611787593072</v>
      </c>
      <c r="AE14" s="3"/>
    </row>
    <row r="15" spans="1:31">
      <c r="A15" s="120"/>
      <c r="B15" s="91" t="s">
        <v>7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9">
        <v>0</v>
      </c>
      <c r="AE15" s="3"/>
    </row>
    <row r="16" spans="1:31">
      <c r="A16" s="120"/>
      <c r="B16" s="91" t="s">
        <v>8</v>
      </c>
      <c r="C16" s="85">
        <v>0</v>
      </c>
      <c r="D16" s="86">
        <v>0</v>
      </c>
      <c r="E16" s="87">
        <v>0</v>
      </c>
      <c r="F16" s="88">
        <v>0</v>
      </c>
      <c r="G16" s="85">
        <v>0</v>
      </c>
      <c r="H16" s="86">
        <v>0</v>
      </c>
      <c r="I16" s="87">
        <v>0</v>
      </c>
      <c r="J16" s="88">
        <v>0</v>
      </c>
      <c r="K16" s="85">
        <v>0</v>
      </c>
      <c r="L16" s="86">
        <v>0</v>
      </c>
      <c r="M16" s="87">
        <v>0</v>
      </c>
      <c r="N16" s="88">
        <v>0</v>
      </c>
      <c r="O16" s="85">
        <v>0</v>
      </c>
      <c r="P16" s="86">
        <v>0</v>
      </c>
      <c r="Q16" s="87">
        <v>0</v>
      </c>
      <c r="R16" s="88">
        <v>0</v>
      </c>
      <c r="S16" s="85">
        <v>0</v>
      </c>
      <c r="T16" s="86">
        <v>0</v>
      </c>
      <c r="U16" s="87">
        <v>0</v>
      </c>
      <c r="V16" s="88">
        <v>0</v>
      </c>
      <c r="W16" s="85">
        <v>0</v>
      </c>
      <c r="X16" s="86">
        <v>0</v>
      </c>
      <c r="Y16" s="87">
        <v>0</v>
      </c>
      <c r="Z16" s="89">
        <v>0</v>
      </c>
      <c r="AE16" s="3"/>
    </row>
    <row r="17" spans="1:31">
      <c r="A17" s="120"/>
      <c r="B17" s="91" t="s">
        <v>9</v>
      </c>
      <c r="C17" s="85">
        <v>0</v>
      </c>
      <c r="D17" s="86">
        <v>0</v>
      </c>
      <c r="E17" s="87">
        <v>0</v>
      </c>
      <c r="F17" s="88">
        <v>0</v>
      </c>
      <c r="G17" s="85">
        <v>0</v>
      </c>
      <c r="H17" s="86">
        <v>0</v>
      </c>
      <c r="I17" s="87">
        <v>0</v>
      </c>
      <c r="J17" s="88">
        <v>0</v>
      </c>
      <c r="K17" s="85">
        <v>0</v>
      </c>
      <c r="L17" s="86">
        <v>0</v>
      </c>
      <c r="M17" s="87">
        <v>0</v>
      </c>
      <c r="N17" s="88">
        <v>0</v>
      </c>
      <c r="O17" s="85">
        <v>0</v>
      </c>
      <c r="P17" s="86">
        <v>0</v>
      </c>
      <c r="Q17" s="87">
        <v>0</v>
      </c>
      <c r="R17" s="88">
        <v>0</v>
      </c>
      <c r="S17" s="85">
        <v>0</v>
      </c>
      <c r="T17" s="86">
        <v>0</v>
      </c>
      <c r="U17" s="87">
        <v>0</v>
      </c>
      <c r="V17" s="88">
        <v>0</v>
      </c>
      <c r="W17" s="85">
        <v>0</v>
      </c>
      <c r="X17" s="86">
        <v>0</v>
      </c>
      <c r="Y17" s="87">
        <v>0</v>
      </c>
      <c r="Z17" s="89">
        <v>0</v>
      </c>
      <c r="AE17" s="3"/>
    </row>
    <row r="18" spans="1:31">
      <c r="A18" s="120"/>
      <c r="B18" s="91" t="s">
        <v>10</v>
      </c>
      <c r="C18" s="85">
        <v>1.9655277459216212E-3</v>
      </c>
      <c r="D18" s="86">
        <v>1.0421230047708112E-3</v>
      </c>
      <c r="E18" s="87">
        <v>2.3631851731280231E-4</v>
      </c>
      <c r="F18" s="88">
        <v>5.8815223300386489E-4</v>
      </c>
      <c r="G18" s="85">
        <v>-6.1461952391393578E-3</v>
      </c>
      <c r="H18" s="86">
        <v>-1.5156289874038822E-3</v>
      </c>
      <c r="I18" s="87">
        <v>2.3768084914441022E-3</v>
      </c>
      <c r="J18" s="88">
        <v>-1.5048192778789966E-3</v>
      </c>
      <c r="K18" s="85">
        <v>4.8707557575781591E-3</v>
      </c>
      <c r="L18" s="86">
        <v>2.5233559719052435E-3</v>
      </c>
      <c r="M18" s="87">
        <v>6.0289375042065652E-3</v>
      </c>
      <c r="N18" s="88">
        <v>4.5327042288446501E-3</v>
      </c>
      <c r="O18" s="85">
        <v>-1.5126901626000098E-3</v>
      </c>
      <c r="P18" s="86">
        <v>8.1989445502910346E-3</v>
      </c>
      <c r="Q18" s="87">
        <v>2.6860469955166588E-3</v>
      </c>
      <c r="R18" s="88">
        <v>4.779096851764004E-3</v>
      </c>
      <c r="S18" s="85">
        <v>1.2727266001315717E-3</v>
      </c>
      <c r="T18" s="86">
        <v>6.2161601343448426E-3</v>
      </c>
      <c r="U18" s="87">
        <v>2.5845340257951376E-3</v>
      </c>
      <c r="V18" s="88">
        <v>8.1009566333295809E-3</v>
      </c>
      <c r="W18" s="85">
        <v>-1.163767207305875E-4</v>
      </c>
      <c r="X18" s="86">
        <v>2.464443938711243E-3</v>
      </c>
      <c r="Y18" s="87">
        <v>3.0104257676583463E-3</v>
      </c>
      <c r="Z18" s="89">
        <v>2.9433314203895977E-3</v>
      </c>
      <c r="AE18" s="3"/>
    </row>
    <row r="19" spans="1:31">
      <c r="A19" s="120"/>
      <c r="B19" s="91" t="s">
        <v>11</v>
      </c>
      <c r="C19" s="85">
        <v>0</v>
      </c>
      <c r="D19" s="86">
        <v>0</v>
      </c>
      <c r="E19" s="87">
        <v>0</v>
      </c>
      <c r="F19" s="88">
        <v>0</v>
      </c>
      <c r="G19" s="85">
        <v>0</v>
      </c>
      <c r="H19" s="86">
        <v>0</v>
      </c>
      <c r="I19" s="87">
        <v>0</v>
      </c>
      <c r="J19" s="88">
        <v>0</v>
      </c>
      <c r="K19" s="85">
        <v>0</v>
      </c>
      <c r="L19" s="86">
        <v>0</v>
      </c>
      <c r="M19" s="87">
        <v>0</v>
      </c>
      <c r="N19" s="88">
        <v>0</v>
      </c>
      <c r="O19" s="85">
        <v>0</v>
      </c>
      <c r="P19" s="86">
        <v>0</v>
      </c>
      <c r="Q19" s="87">
        <v>0</v>
      </c>
      <c r="R19" s="88">
        <v>0</v>
      </c>
      <c r="S19" s="85">
        <v>0</v>
      </c>
      <c r="T19" s="86">
        <v>0</v>
      </c>
      <c r="U19" s="87">
        <v>0</v>
      </c>
      <c r="V19" s="88">
        <v>0</v>
      </c>
      <c r="W19" s="85">
        <v>0</v>
      </c>
      <c r="X19" s="86">
        <v>0</v>
      </c>
      <c r="Y19" s="87">
        <v>0</v>
      </c>
      <c r="Z19" s="89">
        <v>0</v>
      </c>
    </row>
    <row r="20" spans="1:31">
      <c r="A20" s="120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0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0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0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0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0"/>
      <c r="B25" s="91" t="s">
        <v>17</v>
      </c>
      <c r="C25" s="85">
        <v>0</v>
      </c>
      <c r="D25" s="86">
        <v>0</v>
      </c>
      <c r="E25" s="87">
        <v>0</v>
      </c>
      <c r="F25" s="88">
        <v>0</v>
      </c>
      <c r="G25" s="85">
        <v>0</v>
      </c>
      <c r="H25" s="86">
        <v>0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0"/>
      <c r="B26" s="92" t="s">
        <v>18</v>
      </c>
      <c r="C26" s="93">
        <v>9.9299999999999996E-3</v>
      </c>
      <c r="D26" s="94">
        <v>0.99999999999999989</v>
      </c>
      <c r="E26" s="95">
        <v>4.6999999999999993E-3</v>
      </c>
      <c r="F26" s="96">
        <v>1</v>
      </c>
      <c r="G26" s="93">
        <v>-1.546E-2</v>
      </c>
      <c r="H26" s="94">
        <v>1</v>
      </c>
      <c r="I26" s="95">
        <v>1.0540000000000001E-2</v>
      </c>
      <c r="J26" s="96">
        <v>0.99999999999999978</v>
      </c>
      <c r="K26" s="93">
        <v>2.1770000000000001E-2</v>
      </c>
      <c r="L26" s="94">
        <v>0.99999999999999989</v>
      </c>
      <c r="M26" s="95">
        <v>3.1620000000000002E-2</v>
      </c>
      <c r="N26" s="96">
        <v>1</v>
      </c>
      <c r="O26" s="93">
        <v>1.2470000000000002E-2</v>
      </c>
      <c r="P26" s="94">
        <v>1</v>
      </c>
      <c r="Q26" s="95">
        <v>6.8899999999999994E-3</v>
      </c>
      <c r="R26" s="96">
        <v>1</v>
      </c>
      <c r="S26" s="93">
        <v>2.0070000000000001E-2</v>
      </c>
      <c r="T26" s="94">
        <v>1</v>
      </c>
      <c r="U26" s="95">
        <v>1.6299999999999999E-2</v>
      </c>
      <c r="V26" s="96">
        <v>0.99999999999999989</v>
      </c>
      <c r="W26" s="93">
        <v>9.8099999999999993E-3</v>
      </c>
      <c r="X26" s="94">
        <v>1</v>
      </c>
      <c r="Y26" s="95">
        <v>1.154E-2</v>
      </c>
      <c r="Z26" s="97">
        <v>0.99999999999999989</v>
      </c>
    </row>
    <row r="27" spans="1:31">
      <c r="A27" s="120"/>
      <c r="B27" s="98" t="s">
        <v>24</v>
      </c>
      <c r="C27" s="99">
        <v>3.51</v>
      </c>
      <c r="D27" s="123"/>
      <c r="E27" s="100">
        <v>14.3</v>
      </c>
      <c r="F27" s="123"/>
      <c r="G27" s="99">
        <v>-109.35</v>
      </c>
      <c r="H27" s="123"/>
      <c r="I27" s="100">
        <v>128.38999999999999</v>
      </c>
      <c r="J27" s="123"/>
      <c r="K27" s="99">
        <v>254.91</v>
      </c>
      <c r="L27" s="123"/>
      <c r="M27" s="100">
        <v>538.07000000000005</v>
      </c>
      <c r="N27" s="123"/>
      <c r="O27" s="99">
        <v>247.54</v>
      </c>
      <c r="P27" s="123"/>
      <c r="Q27" s="100">
        <v>169.25</v>
      </c>
      <c r="R27" s="123"/>
      <c r="S27" s="99">
        <v>603.72</v>
      </c>
      <c r="T27" s="123"/>
      <c r="U27" s="100">
        <v>533.54</v>
      </c>
      <c r="V27" s="123"/>
      <c r="W27" s="99">
        <v>365.95</v>
      </c>
      <c r="X27" s="123"/>
      <c r="Y27" s="100">
        <v>469.71</v>
      </c>
      <c r="Z27" s="101"/>
    </row>
    <row r="28" spans="1:31">
      <c r="A28" s="120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02"/>
    </row>
    <row r="29" spans="1:31">
      <c r="A29" s="120"/>
      <c r="B29" s="84" t="s">
        <v>19</v>
      </c>
      <c r="C29" s="103">
        <v>4.9660866099273523E-3</v>
      </c>
      <c r="D29" s="104">
        <v>0.71333085245708561</v>
      </c>
      <c r="E29" s="105">
        <v>7.9762595794357575E-3</v>
      </c>
      <c r="F29" s="106">
        <v>0.65478973639745985</v>
      </c>
      <c r="G29" s="103">
        <v>-1.6647335012779256E-2</v>
      </c>
      <c r="H29" s="104">
        <v>0.6555955429762006</v>
      </c>
      <c r="I29" s="105">
        <v>1.3006372941497386E-2</v>
      </c>
      <c r="J29" s="106">
        <v>0.65051692581393528</v>
      </c>
      <c r="K29" s="103">
        <v>1.653860236400902E-2</v>
      </c>
      <c r="L29" s="104">
        <v>0.64764221701955038</v>
      </c>
      <c r="M29" s="105">
        <v>3.2803988903057801E-2</v>
      </c>
      <c r="N29" s="106">
        <v>0.657213840265091</v>
      </c>
      <c r="O29" s="103">
        <v>4.2207425837647739E-3</v>
      </c>
      <c r="P29" s="104">
        <v>0.65576386481717586</v>
      </c>
      <c r="Q29" s="105">
        <v>7.6150805950290007E-3</v>
      </c>
      <c r="R29" s="106">
        <v>0.64849446502002661</v>
      </c>
      <c r="S29" s="103">
        <v>1.2968531024945584E-2</v>
      </c>
      <c r="T29" s="104">
        <v>0.64423240202940002</v>
      </c>
      <c r="U29" s="105">
        <v>1.2666400573667833E-2</v>
      </c>
      <c r="V29" s="106">
        <v>0.63783845102028458</v>
      </c>
      <c r="W29" s="103">
        <v>9.6965110496531181E-3</v>
      </c>
      <c r="X29" s="104">
        <v>0.63974377858361975</v>
      </c>
      <c r="Y29" s="105">
        <v>1.5104971763422528E-2</v>
      </c>
      <c r="Z29" s="107">
        <v>0.65197142815822684</v>
      </c>
    </row>
    <row r="30" spans="1:31">
      <c r="A30" s="120"/>
      <c r="B30" s="91" t="s">
        <v>20</v>
      </c>
      <c r="C30" s="85">
        <v>4.9639133900726507E-3</v>
      </c>
      <c r="D30" s="86">
        <v>0.28666914754291439</v>
      </c>
      <c r="E30" s="87">
        <v>-3.2762595794357668E-3</v>
      </c>
      <c r="F30" s="88">
        <v>0.34521026360254004</v>
      </c>
      <c r="G30" s="85">
        <v>1.1873350127792602E-3</v>
      </c>
      <c r="H30" s="86">
        <v>0.34440445702379946</v>
      </c>
      <c r="I30" s="87">
        <v>-2.4663729414973776E-3</v>
      </c>
      <c r="J30" s="88">
        <v>0.34948307418606483</v>
      </c>
      <c r="K30" s="85">
        <v>5.2313976359909817E-3</v>
      </c>
      <c r="L30" s="86">
        <v>0.35235778298044967</v>
      </c>
      <c r="M30" s="87">
        <v>-1.183988903057795E-3</v>
      </c>
      <c r="N30" s="88">
        <v>0.342786159734909</v>
      </c>
      <c r="O30" s="85">
        <v>8.2492574162352211E-3</v>
      </c>
      <c r="P30" s="86">
        <v>0.34423613518282403</v>
      </c>
      <c r="Q30" s="87">
        <v>-7.2508059502899484E-4</v>
      </c>
      <c r="R30" s="88">
        <v>0.35150553497997339</v>
      </c>
      <c r="S30" s="85">
        <v>7.1014689750544162E-3</v>
      </c>
      <c r="T30" s="86">
        <v>0.35576759797059998</v>
      </c>
      <c r="U30" s="87">
        <v>3.6335994263321666E-3</v>
      </c>
      <c r="V30" s="88">
        <v>0.36216154897971548</v>
      </c>
      <c r="W30" s="85">
        <v>1.1348895034687225E-4</v>
      </c>
      <c r="X30" s="86">
        <v>0.3602562214163802</v>
      </c>
      <c r="Y30" s="87">
        <v>-3.5654676241931083E-3</v>
      </c>
      <c r="Z30" s="89">
        <v>0.34802857184177316</v>
      </c>
    </row>
    <row r="31" spans="1:31">
      <c r="A31" s="120"/>
      <c r="B31" s="92" t="s">
        <v>18</v>
      </c>
      <c r="C31" s="93">
        <v>9.9299999999999996E-3</v>
      </c>
      <c r="D31" s="94">
        <v>1</v>
      </c>
      <c r="E31" s="95">
        <v>4.6999999999999993E-3</v>
      </c>
      <c r="F31" s="96">
        <v>0.99999999999999989</v>
      </c>
      <c r="G31" s="93">
        <v>-1.546E-2</v>
      </c>
      <c r="H31" s="94">
        <v>1</v>
      </c>
      <c r="I31" s="95">
        <v>1.0540000000000001E-2</v>
      </c>
      <c r="J31" s="96">
        <v>1</v>
      </c>
      <c r="K31" s="93">
        <v>2.1770000000000001E-2</v>
      </c>
      <c r="L31" s="94">
        <v>1</v>
      </c>
      <c r="M31" s="95">
        <v>3.1620000000000002E-2</v>
      </c>
      <c r="N31" s="96">
        <v>1</v>
      </c>
      <c r="O31" s="93">
        <v>1.2470000000000002E-2</v>
      </c>
      <c r="P31" s="94">
        <v>0.99999999999999989</v>
      </c>
      <c r="Q31" s="95">
        <v>6.8899999999999994E-3</v>
      </c>
      <c r="R31" s="96">
        <v>1</v>
      </c>
      <c r="S31" s="93">
        <v>2.0070000000000001E-2</v>
      </c>
      <c r="T31" s="94">
        <v>1</v>
      </c>
      <c r="U31" s="95">
        <v>1.6299999999999999E-2</v>
      </c>
      <c r="V31" s="96">
        <v>1</v>
      </c>
      <c r="W31" s="93">
        <v>9.8099999999999993E-3</v>
      </c>
      <c r="X31" s="94">
        <v>1</v>
      </c>
      <c r="Y31" s="95">
        <v>1.154E-2</v>
      </c>
      <c r="Z31" s="97">
        <v>1</v>
      </c>
    </row>
    <row r="32" spans="1:31">
      <c r="A32" s="12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02"/>
    </row>
    <row r="33" spans="1:26">
      <c r="A33" s="120"/>
      <c r="B33" s="84" t="s">
        <v>21</v>
      </c>
      <c r="C33" s="103">
        <v>7.9644722540783836E-3</v>
      </c>
      <c r="D33" s="104">
        <v>0.9989578769952292</v>
      </c>
      <c r="E33" s="105">
        <v>4.4636814826871868E-3</v>
      </c>
      <c r="F33" s="106">
        <v>0.99941184776699621</v>
      </c>
      <c r="G33" s="103">
        <v>-9.3138047608606403E-3</v>
      </c>
      <c r="H33" s="104">
        <v>1.0015156289874039</v>
      </c>
      <c r="I33" s="105">
        <v>8.1631915085558972E-3</v>
      </c>
      <c r="J33" s="106">
        <v>1.0015048192778788</v>
      </c>
      <c r="K33" s="103">
        <v>1.6899244242421847E-2</v>
      </c>
      <c r="L33" s="104">
        <v>0.99747664402809466</v>
      </c>
      <c r="M33" s="105">
        <v>2.5591062495793432E-2</v>
      </c>
      <c r="N33" s="106">
        <v>0.99546729577115534</v>
      </c>
      <c r="O33" s="103">
        <v>1.3982690162600012E-2</v>
      </c>
      <c r="P33" s="104">
        <v>0.99180105544970898</v>
      </c>
      <c r="Q33" s="105">
        <v>4.203953004483345E-3</v>
      </c>
      <c r="R33" s="106">
        <v>0.99522090314823597</v>
      </c>
      <c r="S33" s="103">
        <v>1.8797273399868426E-2</v>
      </c>
      <c r="T33" s="104">
        <v>0.99378383986565522</v>
      </c>
      <c r="U33" s="105">
        <v>1.3715465974204855E-2</v>
      </c>
      <c r="V33" s="106">
        <v>0.99189904336667045</v>
      </c>
      <c r="W33" s="103">
        <v>9.926376720730587E-3</v>
      </c>
      <c r="X33" s="104">
        <v>0.99753555606128874</v>
      </c>
      <c r="Y33" s="105">
        <v>8.5292137048641904E-3</v>
      </c>
      <c r="Z33" s="107">
        <v>0.99705680089668591</v>
      </c>
    </row>
    <row r="34" spans="1:26">
      <c r="A34" s="120"/>
      <c r="B34" s="91" t="s">
        <v>22</v>
      </c>
      <c r="C34" s="85">
        <v>1.9655277459216208E-3</v>
      </c>
      <c r="D34" s="86">
        <v>1.042123004770811E-3</v>
      </c>
      <c r="E34" s="87">
        <v>2.363185173128025E-4</v>
      </c>
      <c r="F34" s="88">
        <v>5.8815223300386489E-4</v>
      </c>
      <c r="G34" s="85">
        <v>-6.1461952391393578E-3</v>
      </c>
      <c r="H34" s="86">
        <v>-1.5156289874038822E-3</v>
      </c>
      <c r="I34" s="87">
        <v>2.3768084914441022E-3</v>
      </c>
      <c r="J34" s="88">
        <v>-1.5048192778789966E-3</v>
      </c>
      <c r="K34" s="85">
        <v>4.87075575757816E-3</v>
      </c>
      <c r="L34" s="86">
        <v>2.5233559719052439E-3</v>
      </c>
      <c r="M34" s="87">
        <v>6.0289375042065644E-3</v>
      </c>
      <c r="N34" s="88">
        <v>4.5327042288446492E-3</v>
      </c>
      <c r="O34" s="85">
        <v>-1.51269016260001E-3</v>
      </c>
      <c r="P34" s="86">
        <v>8.1989445502910364E-3</v>
      </c>
      <c r="Q34" s="87">
        <v>2.6860469955166592E-3</v>
      </c>
      <c r="R34" s="88">
        <v>4.7790968517640049E-3</v>
      </c>
      <c r="S34" s="85">
        <v>1.2727266001315717E-3</v>
      </c>
      <c r="T34" s="86">
        <v>6.2161601343448426E-3</v>
      </c>
      <c r="U34" s="87">
        <v>2.5845340257951372E-3</v>
      </c>
      <c r="V34" s="88">
        <v>8.1009566333295792E-3</v>
      </c>
      <c r="W34" s="85">
        <v>-1.163767207305875E-4</v>
      </c>
      <c r="X34" s="86">
        <v>2.464443938711243E-3</v>
      </c>
      <c r="Y34" s="87">
        <v>3.0102904343652283E-3</v>
      </c>
      <c r="Z34" s="89">
        <v>2.9431991033140076E-3</v>
      </c>
    </row>
    <row r="35" spans="1:26">
      <c r="A35" s="120"/>
      <c r="B35" s="108" t="s">
        <v>18</v>
      </c>
      <c r="C35" s="109">
        <v>9.9299999999999996E-3</v>
      </c>
      <c r="D35" s="110">
        <v>1</v>
      </c>
      <c r="E35" s="111">
        <v>4.6999999999999993E-3</v>
      </c>
      <c r="F35" s="112">
        <v>1</v>
      </c>
      <c r="G35" s="109">
        <v>-1.546E-2</v>
      </c>
      <c r="H35" s="110">
        <v>1</v>
      </c>
      <c r="I35" s="111">
        <v>1.0540000000000001E-2</v>
      </c>
      <c r="J35" s="112">
        <v>0.99999999999999978</v>
      </c>
      <c r="K35" s="109">
        <v>2.1770000000000001E-2</v>
      </c>
      <c r="L35" s="110">
        <v>0.99999999999999989</v>
      </c>
      <c r="M35" s="111">
        <v>3.1620000000000002E-2</v>
      </c>
      <c r="N35" s="112">
        <v>1</v>
      </c>
      <c r="O35" s="109">
        <v>1.2470000000000002E-2</v>
      </c>
      <c r="P35" s="110">
        <v>1</v>
      </c>
      <c r="Q35" s="111">
        <v>6.8899999999999994E-3</v>
      </c>
      <c r="R35" s="112">
        <v>1</v>
      </c>
      <c r="S35" s="109">
        <v>2.0070000000000001E-2</v>
      </c>
      <c r="T35" s="110">
        <v>1</v>
      </c>
      <c r="U35" s="111">
        <v>1.6299999999999999E-2</v>
      </c>
      <c r="V35" s="112">
        <v>1</v>
      </c>
      <c r="W35" s="109">
        <v>9.8099999999999993E-3</v>
      </c>
      <c r="X35" s="110">
        <v>1</v>
      </c>
      <c r="Y35" s="111">
        <v>1.154E-2</v>
      </c>
      <c r="Z35" s="113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0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26" t="s">
        <v>1418</v>
      </c>
      <c r="L37" s="126" t="s">
        <v>1418</v>
      </c>
      <c r="M37" s="126" t="s">
        <v>1418</v>
      </c>
      <c r="N37" s="126" t="s">
        <v>1418</v>
      </c>
      <c r="O37" s="126" t="s">
        <v>1418</v>
      </c>
      <c r="P37" s="126" t="s">
        <v>1418</v>
      </c>
      <c r="Q37" s="126" t="s">
        <v>1418</v>
      </c>
      <c r="R37" s="126" t="s">
        <v>1418</v>
      </c>
      <c r="S37" s="126" t="s">
        <v>1418</v>
      </c>
      <c r="T37" s="126" t="s">
        <v>1418</v>
      </c>
      <c r="U37" s="126" t="s">
        <v>1418</v>
      </c>
      <c r="V37" s="126" t="s">
        <v>1418</v>
      </c>
      <c r="W37" s="126" t="s">
        <v>1418</v>
      </c>
      <c r="X37" s="126" t="s">
        <v>1418</v>
      </c>
      <c r="Y37" s="126" t="s">
        <v>1418</v>
      </c>
      <c r="Z37" s="33"/>
    </row>
    <row r="38" spans="1:26">
      <c r="A38" s="120"/>
      <c r="B38" s="84" t="s">
        <v>1</v>
      </c>
      <c r="C38" s="85">
        <v>2.1381924855121259E-3</v>
      </c>
      <c r="D38" s="86">
        <v>5.6668053002867938E-2</v>
      </c>
      <c r="E38" s="87">
        <v>1.4340373919517224E-3</v>
      </c>
      <c r="F38" s="88">
        <v>5.664303621551605E-2</v>
      </c>
      <c r="G38" s="85">
        <v>1.7954530862078271E-3</v>
      </c>
      <c r="H38" s="86">
        <v>5.9791320310307747E-2</v>
      </c>
      <c r="I38" s="87">
        <v>2.39374296473367E-3</v>
      </c>
      <c r="J38" s="89">
        <v>4.4210360088766373E-2</v>
      </c>
      <c r="K38" s="126" t="s">
        <v>1418</v>
      </c>
      <c r="L38" s="126" t="s">
        <v>1418</v>
      </c>
      <c r="M38" s="126" t="s">
        <v>1418</v>
      </c>
      <c r="N38" s="126" t="s">
        <v>1418</v>
      </c>
      <c r="O38" s="126" t="s">
        <v>1418</v>
      </c>
      <c r="P38" s="126" t="s">
        <v>1418</v>
      </c>
      <c r="Q38" s="126" t="s">
        <v>1418</v>
      </c>
      <c r="R38" s="126" t="s">
        <v>1418</v>
      </c>
      <c r="S38" s="126" t="s">
        <v>1418</v>
      </c>
      <c r="T38" s="126" t="s">
        <v>1418</v>
      </c>
      <c r="U38" s="126" t="s">
        <v>1418</v>
      </c>
      <c r="V38" s="126" t="s">
        <v>1418</v>
      </c>
      <c r="W38" s="126" t="s">
        <v>1418</v>
      </c>
      <c r="X38" s="126" t="s">
        <v>1418</v>
      </c>
      <c r="Y38" s="126" t="s">
        <v>1418</v>
      </c>
      <c r="Z38" s="33"/>
    </row>
    <row r="39" spans="1:26" ht="30">
      <c r="A39" s="120"/>
      <c r="B39" s="90" t="s">
        <v>909</v>
      </c>
      <c r="C39" s="85">
        <v>1.872710367678864E-3</v>
      </c>
      <c r="D39" s="86">
        <v>0.16571255635943863</v>
      </c>
      <c r="E39" s="87">
        <v>6.7327963255345777E-3</v>
      </c>
      <c r="F39" s="88">
        <v>0.16718814523066794</v>
      </c>
      <c r="G39" s="85">
        <v>9.2554547818061161E-3</v>
      </c>
      <c r="H39" s="86">
        <v>0.15424530768353117</v>
      </c>
      <c r="I39" s="87">
        <v>1.1968761865708758E-2</v>
      </c>
      <c r="J39" s="89">
        <v>0.15713353895859919</v>
      </c>
      <c r="K39" s="126" t="s">
        <v>1418</v>
      </c>
      <c r="L39" s="126" t="s">
        <v>1418</v>
      </c>
      <c r="M39" s="126" t="s">
        <v>1418</v>
      </c>
      <c r="N39" s="126" t="s">
        <v>1418</v>
      </c>
      <c r="O39" s="126" t="s">
        <v>1418</v>
      </c>
      <c r="P39" s="126" t="s">
        <v>1418</v>
      </c>
      <c r="Q39" s="126" t="s">
        <v>1418</v>
      </c>
      <c r="R39" s="126" t="s">
        <v>1418</v>
      </c>
      <c r="S39" s="126" t="s">
        <v>1418</v>
      </c>
      <c r="T39" s="126" t="s">
        <v>1418</v>
      </c>
      <c r="U39" s="126" t="s">
        <v>1418</v>
      </c>
      <c r="V39" s="126" t="s">
        <v>1418</v>
      </c>
      <c r="W39" s="126" t="s">
        <v>1418</v>
      </c>
      <c r="X39" s="126" t="s">
        <v>1418</v>
      </c>
      <c r="Y39" s="126" t="s">
        <v>1418</v>
      </c>
      <c r="Z39" s="33"/>
    </row>
    <row r="40" spans="1:26">
      <c r="A40" s="120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26" t="s">
        <v>1418</v>
      </c>
      <c r="L40" s="126" t="s">
        <v>1418</v>
      </c>
      <c r="M40" s="126" t="s">
        <v>1418</v>
      </c>
      <c r="N40" s="126" t="s">
        <v>1418</v>
      </c>
      <c r="O40" s="126" t="s">
        <v>1418</v>
      </c>
      <c r="P40" s="126" t="s">
        <v>1418</v>
      </c>
      <c r="Q40" s="126" t="s">
        <v>1418</v>
      </c>
      <c r="R40" s="126" t="s">
        <v>1418</v>
      </c>
      <c r="S40" s="126" t="s">
        <v>1418</v>
      </c>
      <c r="T40" s="126" t="s">
        <v>1418</v>
      </c>
      <c r="U40" s="126" t="s">
        <v>1418</v>
      </c>
      <c r="V40" s="126" t="s">
        <v>1418</v>
      </c>
      <c r="W40" s="126" t="s">
        <v>1418</v>
      </c>
      <c r="X40" s="126" t="s">
        <v>1418</v>
      </c>
      <c r="Y40" s="126" t="s">
        <v>1418</v>
      </c>
      <c r="Z40" s="33"/>
    </row>
    <row r="41" spans="1:26">
      <c r="A41" s="120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26" t="s">
        <v>1418</v>
      </c>
      <c r="L41" s="126" t="s">
        <v>1418</v>
      </c>
      <c r="M41" s="126" t="s">
        <v>1418</v>
      </c>
      <c r="N41" s="126" t="s">
        <v>1418</v>
      </c>
      <c r="O41" s="126" t="s">
        <v>1418</v>
      </c>
      <c r="P41" s="126" t="s">
        <v>1418</v>
      </c>
      <c r="Q41" s="126" t="s">
        <v>1418</v>
      </c>
      <c r="R41" s="126" t="s">
        <v>1418</v>
      </c>
      <c r="S41" s="126" t="s">
        <v>1418</v>
      </c>
      <c r="T41" s="126" t="s">
        <v>1418</v>
      </c>
      <c r="U41" s="126" t="s">
        <v>1418</v>
      </c>
      <c r="V41" s="126" t="s">
        <v>1418</v>
      </c>
      <c r="W41" s="126" t="s">
        <v>1418</v>
      </c>
      <c r="X41" s="126" t="s">
        <v>1418</v>
      </c>
      <c r="Y41" s="126" t="s">
        <v>1418</v>
      </c>
      <c r="Z41" s="33"/>
    </row>
    <row r="42" spans="1:26">
      <c r="A42" s="120"/>
      <c r="B42" s="91" t="s">
        <v>4</v>
      </c>
      <c r="C42" s="85">
        <v>0</v>
      </c>
      <c r="D42" s="86">
        <v>0</v>
      </c>
      <c r="E42" s="87">
        <v>0</v>
      </c>
      <c r="F42" s="88">
        <v>0</v>
      </c>
      <c r="G42" s="85">
        <v>0</v>
      </c>
      <c r="H42" s="86">
        <v>0</v>
      </c>
      <c r="I42" s="87">
        <v>0</v>
      </c>
      <c r="J42" s="89">
        <v>0</v>
      </c>
      <c r="K42" s="126" t="s">
        <v>1418</v>
      </c>
      <c r="L42" s="126" t="s">
        <v>1418</v>
      </c>
      <c r="M42" s="126" t="s">
        <v>1418</v>
      </c>
      <c r="N42" s="126" t="s">
        <v>1418</v>
      </c>
      <c r="O42" s="126" t="s">
        <v>1418</v>
      </c>
      <c r="P42" s="126" t="s">
        <v>1418</v>
      </c>
      <c r="Q42" s="126" t="s">
        <v>1418</v>
      </c>
      <c r="R42" s="126" t="s">
        <v>1418</v>
      </c>
      <c r="S42" s="126" t="s">
        <v>1418</v>
      </c>
      <c r="T42" s="126" t="s">
        <v>1418</v>
      </c>
      <c r="U42" s="126" t="s">
        <v>1418</v>
      </c>
      <c r="V42" s="126" t="s">
        <v>1418</v>
      </c>
      <c r="W42" s="126" t="s">
        <v>1418</v>
      </c>
      <c r="X42" s="126" t="s">
        <v>1418</v>
      </c>
      <c r="Y42" s="126" t="s">
        <v>1418</v>
      </c>
      <c r="Z42" s="33"/>
    </row>
    <row r="43" spans="1:26">
      <c r="A43" s="120"/>
      <c r="B43" s="91" t="s">
        <v>5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9">
        <v>0</v>
      </c>
      <c r="K43" s="126" t="s">
        <v>1418</v>
      </c>
      <c r="L43" s="126" t="s">
        <v>1418</v>
      </c>
      <c r="M43" s="126" t="s">
        <v>1418</v>
      </c>
      <c r="N43" s="126" t="s">
        <v>1418</v>
      </c>
      <c r="O43" s="126" t="s">
        <v>1418</v>
      </c>
      <c r="P43" s="126" t="s">
        <v>1418</v>
      </c>
      <c r="Q43" s="126" t="s">
        <v>1418</v>
      </c>
      <c r="R43" s="126" t="s">
        <v>1418</v>
      </c>
      <c r="S43" s="126" t="s">
        <v>1418</v>
      </c>
      <c r="T43" s="126" t="s">
        <v>1418</v>
      </c>
      <c r="U43" s="126" t="s">
        <v>1418</v>
      </c>
      <c r="V43" s="126" t="s">
        <v>1418</v>
      </c>
      <c r="W43" s="126" t="s">
        <v>1418</v>
      </c>
      <c r="X43" s="126" t="s">
        <v>1418</v>
      </c>
      <c r="Y43" s="126" t="s">
        <v>1418</v>
      </c>
      <c r="Z43" s="33"/>
    </row>
    <row r="44" spans="1:26">
      <c r="A44" s="120"/>
      <c r="B44" s="91" t="s">
        <v>6</v>
      </c>
      <c r="C44" s="85">
        <v>0</v>
      </c>
      <c r="D44" s="86">
        <v>0</v>
      </c>
      <c r="E44" s="87">
        <v>0</v>
      </c>
      <c r="F44" s="88">
        <v>0</v>
      </c>
      <c r="G44" s="85">
        <v>2.7324391285563765E-6</v>
      </c>
      <c r="H44" s="86">
        <v>0</v>
      </c>
      <c r="I44" s="87">
        <v>-5.323809984393421E-4</v>
      </c>
      <c r="J44" s="89">
        <v>-6.3348343686028954E-5</v>
      </c>
      <c r="K44" s="126" t="s">
        <v>1418</v>
      </c>
      <c r="L44" s="126" t="s">
        <v>1418</v>
      </c>
      <c r="M44" s="126" t="s">
        <v>1418</v>
      </c>
      <c r="N44" s="126" t="s">
        <v>1418</v>
      </c>
      <c r="O44" s="126" t="s">
        <v>1418</v>
      </c>
      <c r="P44" s="126" t="s">
        <v>1418</v>
      </c>
      <c r="Q44" s="126" t="s">
        <v>1418</v>
      </c>
      <c r="R44" s="126" t="s">
        <v>1418</v>
      </c>
      <c r="S44" s="126" t="s">
        <v>1418</v>
      </c>
      <c r="T44" s="126" t="s">
        <v>1418</v>
      </c>
      <c r="U44" s="126" t="s">
        <v>1418</v>
      </c>
      <c r="V44" s="126" t="s">
        <v>1418</v>
      </c>
      <c r="W44" s="126" t="s">
        <v>1418</v>
      </c>
      <c r="X44" s="126" t="s">
        <v>1418</v>
      </c>
      <c r="Y44" s="126" t="s">
        <v>1418</v>
      </c>
      <c r="Z44" s="33"/>
    </row>
    <row r="45" spans="1:26">
      <c r="A45" s="120"/>
      <c r="B45" s="91" t="s">
        <v>62</v>
      </c>
      <c r="C45" s="85">
        <v>-5.7967700867835026E-4</v>
      </c>
      <c r="D45" s="86">
        <v>0.77913501962509724</v>
      </c>
      <c r="E45" s="87">
        <v>4.6558451029435316E-2</v>
      </c>
      <c r="F45" s="88">
        <v>0.77163611432497137</v>
      </c>
      <c r="G45" s="85">
        <v>8.3565551517888859E-2</v>
      </c>
      <c r="H45" s="86">
        <v>0.77974721187181628</v>
      </c>
      <c r="I45" s="87">
        <v>0.1172031944100376</v>
      </c>
      <c r="J45" s="89">
        <v>0.79577611787593072</v>
      </c>
      <c r="K45" s="126" t="s">
        <v>1418</v>
      </c>
      <c r="L45" s="126" t="s">
        <v>1418</v>
      </c>
      <c r="M45" s="126" t="s">
        <v>1418</v>
      </c>
      <c r="N45" s="126" t="s">
        <v>1418</v>
      </c>
      <c r="O45" s="126" t="s">
        <v>1418</v>
      </c>
      <c r="P45" s="126" t="s">
        <v>1418</v>
      </c>
      <c r="Q45" s="126" t="s">
        <v>1418</v>
      </c>
      <c r="R45" s="126" t="s">
        <v>1418</v>
      </c>
      <c r="S45" s="126" t="s">
        <v>1418</v>
      </c>
      <c r="T45" s="126" t="s">
        <v>1418</v>
      </c>
      <c r="U45" s="126" t="s">
        <v>1418</v>
      </c>
      <c r="V45" s="126" t="s">
        <v>1418</v>
      </c>
      <c r="W45" s="126" t="s">
        <v>1418</v>
      </c>
      <c r="X45" s="126" t="s">
        <v>1418</v>
      </c>
      <c r="Y45" s="126" t="s">
        <v>1418</v>
      </c>
      <c r="Z45" s="33"/>
    </row>
    <row r="46" spans="1:26">
      <c r="A46" s="120"/>
      <c r="B46" s="91" t="s">
        <v>7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9">
        <v>0</v>
      </c>
      <c r="K46" s="126" t="s">
        <v>1418</v>
      </c>
      <c r="L46" s="126" t="s">
        <v>1418</v>
      </c>
      <c r="M46" s="126" t="s">
        <v>1418</v>
      </c>
      <c r="N46" s="126" t="s">
        <v>1418</v>
      </c>
      <c r="O46" s="126" t="s">
        <v>1418</v>
      </c>
      <c r="P46" s="126" t="s">
        <v>1418</v>
      </c>
      <c r="Q46" s="126" t="s">
        <v>1418</v>
      </c>
      <c r="R46" s="126" t="s">
        <v>1418</v>
      </c>
      <c r="S46" s="126" t="s">
        <v>1418</v>
      </c>
      <c r="T46" s="126" t="s">
        <v>1418</v>
      </c>
      <c r="U46" s="126" t="s">
        <v>1418</v>
      </c>
      <c r="V46" s="126" t="s">
        <v>1418</v>
      </c>
      <c r="W46" s="126" t="s">
        <v>1418</v>
      </c>
      <c r="X46" s="126" t="s">
        <v>1418</v>
      </c>
      <c r="Y46" s="126" t="s">
        <v>1418</v>
      </c>
      <c r="Z46" s="33"/>
    </row>
    <row r="47" spans="1:26">
      <c r="A47" s="120"/>
      <c r="B47" s="91" t="s">
        <v>8</v>
      </c>
      <c r="C47" s="85">
        <v>0</v>
      </c>
      <c r="D47" s="86">
        <v>0</v>
      </c>
      <c r="E47" s="87">
        <v>0</v>
      </c>
      <c r="F47" s="88">
        <v>0</v>
      </c>
      <c r="G47" s="85">
        <v>0</v>
      </c>
      <c r="H47" s="86">
        <v>0</v>
      </c>
      <c r="I47" s="87">
        <v>0</v>
      </c>
      <c r="J47" s="89">
        <v>0</v>
      </c>
      <c r="K47" s="126" t="s">
        <v>1418</v>
      </c>
      <c r="L47" s="126" t="s">
        <v>1418</v>
      </c>
      <c r="M47" s="126" t="s">
        <v>1418</v>
      </c>
      <c r="N47" s="126" t="s">
        <v>1418</v>
      </c>
      <c r="O47" s="126" t="s">
        <v>1418</v>
      </c>
      <c r="P47" s="126" t="s">
        <v>1418</v>
      </c>
      <c r="Q47" s="126" t="s">
        <v>1418</v>
      </c>
      <c r="R47" s="126" t="s">
        <v>1418</v>
      </c>
      <c r="S47" s="126" t="s">
        <v>1418</v>
      </c>
      <c r="T47" s="126" t="s">
        <v>1418</v>
      </c>
      <c r="U47" s="126" t="s">
        <v>1418</v>
      </c>
      <c r="V47" s="126" t="s">
        <v>1418</v>
      </c>
      <c r="W47" s="126" t="s">
        <v>1418</v>
      </c>
      <c r="X47" s="126" t="s">
        <v>1418</v>
      </c>
      <c r="Y47" s="126" t="s">
        <v>1418</v>
      </c>
      <c r="Z47" s="33"/>
    </row>
    <row r="48" spans="1:26">
      <c r="A48" s="120"/>
      <c r="B48" s="91" t="s">
        <v>9</v>
      </c>
      <c r="C48" s="85">
        <v>0</v>
      </c>
      <c r="D48" s="86">
        <v>0</v>
      </c>
      <c r="E48" s="87">
        <v>0</v>
      </c>
      <c r="F48" s="88">
        <v>0</v>
      </c>
      <c r="G48" s="85">
        <v>0</v>
      </c>
      <c r="H48" s="86">
        <v>0</v>
      </c>
      <c r="I48" s="87">
        <v>0</v>
      </c>
      <c r="J48" s="89">
        <v>0</v>
      </c>
      <c r="K48" s="126" t="s">
        <v>1418</v>
      </c>
      <c r="L48" s="126" t="s">
        <v>1418</v>
      </c>
      <c r="M48" s="126" t="s">
        <v>1418</v>
      </c>
      <c r="N48" s="126" t="s">
        <v>1418</v>
      </c>
      <c r="O48" s="126" t="s">
        <v>1418</v>
      </c>
      <c r="P48" s="126" t="s">
        <v>1418</v>
      </c>
      <c r="Q48" s="126" t="s">
        <v>1418</v>
      </c>
      <c r="R48" s="126" t="s">
        <v>1418</v>
      </c>
      <c r="S48" s="126" t="s">
        <v>1418</v>
      </c>
      <c r="T48" s="126" t="s">
        <v>1418</v>
      </c>
      <c r="U48" s="126" t="s">
        <v>1418</v>
      </c>
      <c r="V48" s="126" t="s">
        <v>1418</v>
      </c>
      <c r="W48" s="126" t="s">
        <v>1418</v>
      </c>
      <c r="X48" s="126" t="s">
        <v>1418</v>
      </c>
      <c r="Y48" s="126" t="s">
        <v>1418</v>
      </c>
      <c r="Z48" s="33"/>
    </row>
    <row r="49" spans="1:26">
      <c r="A49" s="120"/>
      <c r="B49" s="91" t="s">
        <v>10</v>
      </c>
      <c r="C49" s="85">
        <v>-4.4414561781727403E-3</v>
      </c>
      <c r="D49" s="86">
        <v>-1.5156289874038822E-3</v>
      </c>
      <c r="E49" s="87">
        <v>9.3869830598160044E-3</v>
      </c>
      <c r="F49" s="88">
        <v>4.5327042288446501E-3</v>
      </c>
      <c r="G49" s="85">
        <v>1.195775070763656E-2</v>
      </c>
      <c r="H49" s="86">
        <v>6.2161601343448426E-3</v>
      </c>
      <c r="I49" s="87">
        <v>1.771865512941927E-2</v>
      </c>
      <c r="J49" s="89">
        <v>2.9433314203895977E-3</v>
      </c>
      <c r="K49" s="126" t="s">
        <v>1418</v>
      </c>
      <c r="L49" s="126" t="s">
        <v>1418</v>
      </c>
      <c r="M49" s="126" t="s">
        <v>1418</v>
      </c>
      <c r="N49" s="126" t="s">
        <v>1418</v>
      </c>
      <c r="O49" s="126" t="s">
        <v>1418</v>
      </c>
      <c r="P49" s="126" t="s">
        <v>1418</v>
      </c>
      <c r="Q49" s="126" t="s">
        <v>1418</v>
      </c>
      <c r="R49" s="126" t="s">
        <v>1418</v>
      </c>
      <c r="S49" s="126" t="s">
        <v>1418</v>
      </c>
      <c r="T49" s="126" t="s">
        <v>1418</v>
      </c>
      <c r="U49" s="126" t="s">
        <v>1418</v>
      </c>
      <c r="V49" s="126" t="s">
        <v>1418</v>
      </c>
      <c r="W49" s="126" t="s">
        <v>1418</v>
      </c>
      <c r="X49" s="126" t="s">
        <v>1418</v>
      </c>
      <c r="Y49" s="126" t="s">
        <v>1418</v>
      </c>
      <c r="Z49" s="33"/>
    </row>
    <row r="50" spans="1:26">
      <c r="A50" s="120"/>
      <c r="B50" s="91" t="s">
        <v>11</v>
      </c>
      <c r="C50" s="85">
        <v>0</v>
      </c>
      <c r="D50" s="86">
        <v>0</v>
      </c>
      <c r="E50" s="87">
        <v>0</v>
      </c>
      <c r="F50" s="88">
        <v>0</v>
      </c>
      <c r="G50" s="85">
        <v>0</v>
      </c>
      <c r="H50" s="86">
        <v>0</v>
      </c>
      <c r="I50" s="87">
        <v>0</v>
      </c>
      <c r="J50" s="89">
        <v>0</v>
      </c>
      <c r="K50" s="126" t="s">
        <v>1418</v>
      </c>
      <c r="L50" s="126" t="s">
        <v>1418</v>
      </c>
      <c r="M50" s="126" t="s">
        <v>1418</v>
      </c>
      <c r="N50" s="126" t="s">
        <v>1418</v>
      </c>
      <c r="O50" s="126" t="s">
        <v>1418</v>
      </c>
      <c r="P50" s="126" t="s">
        <v>1418</v>
      </c>
      <c r="Q50" s="126" t="s">
        <v>1418</v>
      </c>
      <c r="R50" s="126" t="s">
        <v>1418</v>
      </c>
      <c r="S50" s="126" t="s">
        <v>1418</v>
      </c>
      <c r="T50" s="126" t="s">
        <v>1418</v>
      </c>
      <c r="U50" s="126" t="s">
        <v>1418</v>
      </c>
      <c r="V50" s="126" t="s">
        <v>1418</v>
      </c>
      <c r="W50" s="126" t="s">
        <v>1418</v>
      </c>
      <c r="X50" s="126" t="s">
        <v>1418</v>
      </c>
      <c r="Y50" s="126" t="s">
        <v>1418</v>
      </c>
      <c r="Z50" s="33"/>
    </row>
    <row r="51" spans="1:26">
      <c r="A51" s="120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26" t="s">
        <v>1418</v>
      </c>
      <c r="L51" s="126" t="s">
        <v>1418</v>
      </c>
      <c r="M51" s="126" t="s">
        <v>1418</v>
      </c>
      <c r="N51" s="126" t="s">
        <v>1418</v>
      </c>
      <c r="O51" s="126" t="s">
        <v>1418</v>
      </c>
      <c r="P51" s="126" t="s">
        <v>1418</v>
      </c>
      <c r="Q51" s="126" t="s">
        <v>1418</v>
      </c>
      <c r="R51" s="126" t="s">
        <v>1418</v>
      </c>
      <c r="S51" s="126" t="s">
        <v>1418</v>
      </c>
      <c r="T51" s="126" t="s">
        <v>1418</v>
      </c>
      <c r="U51" s="126" t="s">
        <v>1418</v>
      </c>
      <c r="V51" s="126" t="s">
        <v>1418</v>
      </c>
      <c r="W51" s="126" t="s">
        <v>1418</v>
      </c>
      <c r="X51" s="126" t="s">
        <v>1418</v>
      </c>
      <c r="Y51" s="126" t="s">
        <v>1418</v>
      </c>
      <c r="Z51" s="33"/>
    </row>
    <row r="52" spans="1:26">
      <c r="A52" s="120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26" t="s">
        <v>1418</v>
      </c>
      <c r="L52" s="126" t="s">
        <v>1418</v>
      </c>
      <c r="M52" s="126" t="s">
        <v>1418</v>
      </c>
      <c r="N52" s="126" t="s">
        <v>1418</v>
      </c>
      <c r="O52" s="126" t="s">
        <v>1418</v>
      </c>
      <c r="P52" s="126" t="s">
        <v>1418</v>
      </c>
      <c r="Q52" s="126" t="s">
        <v>1418</v>
      </c>
      <c r="R52" s="126" t="s">
        <v>1418</v>
      </c>
      <c r="S52" s="126" t="s">
        <v>1418</v>
      </c>
      <c r="T52" s="126" t="s">
        <v>1418</v>
      </c>
      <c r="U52" s="126" t="s">
        <v>1418</v>
      </c>
      <c r="V52" s="126" t="s">
        <v>1418</v>
      </c>
      <c r="W52" s="126" t="s">
        <v>1418</v>
      </c>
      <c r="X52" s="126" t="s">
        <v>1418</v>
      </c>
      <c r="Y52" s="126" t="s">
        <v>1418</v>
      </c>
      <c r="Z52" s="33"/>
    </row>
    <row r="53" spans="1:26">
      <c r="A53" s="120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26" t="s">
        <v>1418</v>
      </c>
      <c r="L53" s="126" t="s">
        <v>1418</v>
      </c>
      <c r="M53" s="126" t="s">
        <v>1418</v>
      </c>
      <c r="N53" s="126" t="s">
        <v>1418</v>
      </c>
      <c r="O53" s="126" t="s">
        <v>1418</v>
      </c>
      <c r="P53" s="126" t="s">
        <v>1418</v>
      </c>
      <c r="Q53" s="126" t="s">
        <v>1418</v>
      </c>
      <c r="R53" s="126" t="s">
        <v>1418</v>
      </c>
      <c r="S53" s="126" t="s">
        <v>1418</v>
      </c>
      <c r="T53" s="126" t="s">
        <v>1418</v>
      </c>
      <c r="U53" s="126" t="s">
        <v>1418</v>
      </c>
      <c r="V53" s="126" t="s">
        <v>1418</v>
      </c>
      <c r="W53" s="126" t="s">
        <v>1418</v>
      </c>
      <c r="X53" s="126" t="s">
        <v>1418</v>
      </c>
      <c r="Y53" s="126" t="s">
        <v>1418</v>
      </c>
      <c r="Z53" s="33"/>
    </row>
    <row r="54" spans="1:26">
      <c r="A54" s="120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26" t="s">
        <v>1418</v>
      </c>
      <c r="L54" s="126" t="s">
        <v>1418</v>
      </c>
      <c r="M54" s="126" t="s">
        <v>1418</v>
      </c>
      <c r="N54" s="126" t="s">
        <v>1418</v>
      </c>
      <c r="O54" s="126" t="s">
        <v>1418</v>
      </c>
      <c r="P54" s="126" t="s">
        <v>1418</v>
      </c>
      <c r="Q54" s="126" t="s">
        <v>1418</v>
      </c>
      <c r="R54" s="126" t="s">
        <v>1418</v>
      </c>
      <c r="S54" s="126" t="s">
        <v>1418</v>
      </c>
      <c r="T54" s="126" t="s">
        <v>1418</v>
      </c>
      <c r="U54" s="126" t="s">
        <v>1418</v>
      </c>
      <c r="V54" s="126" t="s">
        <v>1418</v>
      </c>
      <c r="W54" s="126" t="s">
        <v>1418</v>
      </c>
      <c r="X54" s="126" t="s">
        <v>1418</v>
      </c>
      <c r="Y54" s="126" t="s">
        <v>1418</v>
      </c>
      <c r="Z54" s="33"/>
    </row>
    <row r="55" spans="1:26">
      <c r="A55" s="120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26" t="s">
        <v>1418</v>
      </c>
      <c r="L55" s="126" t="s">
        <v>1418</v>
      </c>
      <c r="M55" s="126" t="s">
        <v>1418</v>
      </c>
      <c r="N55" s="126" t="s">
        <v>1418</v>
      </c>
      <c r="O55" s="126" t="s">
        <v>1418</v>
      </c>
      <c r="P55" s="126" t="s">
        <v>1418</v>
      </c>
      <c r="Q55" s="126" t="s">
        <v>1418</v>
      </c>
      <c r="R55" s="126" t="s">
        <v>1418</v>
      </c>
      <c r="S55" s="126" t="s">
        <v>1418</v>
      </c>
      <c r="T55" s="126" t="s">
        <v>1418</v>
      </c>
      <c r="U55" s="126" t="s">
        <v>1418</v>
      </c>
      <c r="V55" s="126" t="s">
        <v>1418</v>
      </c>
      <c r="W55" s="126" t="s">
        <v>1418</v>
      </c>
      <c r="X55" s="126" t="s">
        <v>1418</v>
      </c>
      <c r="Y55" s="126" t="s">
        <v>1418</v>
      </c>
      <c r="Z55" s="33"/>
    </row>
    <row r="56" spans="1:26">
      <c r="A56" s="120"/>
      <c r="B56" s="91" t="s">
        <v>17</v>
      </c>
      <c r="C56" s="85">
        <v>0</v>
      </c>
      <c r="D56" s="86">
        <v>0</v>
      </c>
      <c r="E56" s="87">
        <v>0</v>
      </c>
      <c r="F56" s="88">
        <v>0</v>
      </c>
      <c r="G56" s="85">
        <v>0</v>
      </c>
      <c r="H56" s="86">
        <v>0</v>
      </c>
      <c r="I56" s="87">
        <v>0</v>
      </c>
      <c r="J56" s="89">
        <v>0</v>
      </c>
      <c r="K56" s="126" t="s">
        <v>1418</v>
      </c>
      <c r="L56" s="126" t="s">
        <v>1418</v>
      </c>
      <c r="M56" s="126" t="s">
        <v>1418</v>
      </c>
      <c r="N56" s="126" t="s">
        <v>1418</v>
      </c>
      <c r="O56" s="126" t="s">
        <v>1418</v>
      </c>
      <c r="P56" s="126" t="s">
        <v>1418</v>
      </c>
      <c r="Q56" s="126" t="s">
        <v>1418</v>
      </c>
      <c r="R56" s="126" t="s">
        <v>1418</v>
      </c>
      <c r="S56" s="126" t="s">
        <v>1418</v>
      </c>
      <c r="T56" s="126" t="s">
        <v>1418</v>
      </c>
      <c r="U56" s="126" t="s">
        <v>1418</v>
      </c>
      <c r="V56" s="126" t="s">
        <v>1418</v>
      </c>
      <c r="W56" s="126" t="s">
        <v>1418</v>
      </c>
      <c r="X56" s="126" t="s">
        <v>1418</v>
      </c>
      <c r="Y56" s="126" t="s">
        <v>1418</v>
      </c>
      <c r="Z56" s="33"/>
    </row>
    <row r="57" spans="1:26">
      <c r="A57" s="120"/>
      <c r="B57" s="92" t="s">
        <v>25</v>
      </c>
      <c r="C57" s="93">
        <v>-1.0102303336601004E-3</v>
      </c>
      <c r="D57" s="94">
        <v>1</v>
      </c>
      <c r="E57" s="95">
        <v>6.4112267806737622E-2</v>
      </c>
      <c r="F57" s="96">
        <v>1</v>
      </c>
      <c r="G57" s="93">
        <v>0.10657694253266792</v>
      </c>
      <c r="H57" s="94">
        <v>1</v>
      </c>
      <c r="I57" s="95">
        <v>0.14875197337145996</v>
      </c>
      <c r="J57" s="97">
        <v>0.99999999999999989</v>
      </c>
      <c r="K57" s="126" t="s">
        <v>1418</v>
      </c>
      <c r="L57" s="126" t="s">
        <v>1418</v>
      </c>
      <c r="M57" s="126" t="s">
        <v>1418</v>
      </c>
      <c r="N57" s="126" t="s">
        <v>1418</v>
      </c>
      <c r="O57" s="126" t="s">
        <v>1418</v>
      </c>
      <c r="P57" s="126" t="s">
        <v>1418</v>
      </c>
      <c r="Q57" s="126" t="s">
        <v>1418</v>
      </c>
      <c r="R57" s="126" t="s">
        <v>1418</v>
      </c>
      <c r="S57" s="126" t="s">
        <v>1418</v>
      </c>
      <c r="T57" s="126" t="s">
        <v>1418</v>
      </c>
      <c r="U57" s="126" t="s">
        <v>1418</v>
      </c>
      <c r="V57" s="126" t="s">
        <v>1418</v>
      </c>
      <c r="W57" s="126" t="s">
        <v>1418</v>
      </c>
      <c r="X57" s="126" t="s">
        <v>1418</v>
      </c>
      <c r="Y57" s="126" t="s">
        <v>1418</v>
      </c>
      <c r="Z57" s="33"/>
    </row>
    <row r="58" spans="1:26">
      <c r="A58" s="120"/>
      <c r="B58" s="98" t="s">
        <v>24</v>
      </c>
      <c r="C58" s="99">
        <v>-91.539999999999992</v>
      </c>
      <c r="D58" s="123"/>
      <c r="E58" s="100">
        <v>829.83</v>
      </c>
      <c r="F58" s="123"/>
      <c r="G58" s="99">
        <v>1850.3400000000001</v>
      </c>
      <c r="H58" s="123"/>
      <c r="I58" s="100">
        <v>3219.54</v>
      </c>
      <c r="J58" s="127"/>
      <c r="K58" s="126" t="s">
        <v>1418</v>
      </c>
      <c r="L58" s="126" t="s">
        <v>1418</v>
      </c>
      <c r="M58" s="126" t="s">
        <v>1418</v>
      </c>
      <c r="N58" s="126" t="s">
        <v>1418</v>
      </c>
      <c r="O58" s="126" t="s">
        <v>1418</v>
      </c>
      <c r="P58" s="126" t="s">
        <v>1418</v>
      </c>
      <c r="Q58" s="126" t="s">
        <v>1418</v>
      </c>
      <c r="R58" s="126" t="s">
        <v>1418</v>
      </c>
      <c r="S58" s="126" t="s">
        <v>1418</v>
      </c>
      <c r="T58" s="126" t="s">
        <v>1418</v>
      </c>
      <c r="U58" s="126" t="s">
        <v>1418</v>
      </c>
      <c r="V58" s="126" t="s">
        <v>1418</v>
      </c>
      <c r="W58" s="126" t="s">
        <v>1418</v>
      </c>
      <c r="X58" s="126" t="s">
        <v>1418</v>
      </c>
      <c r="Y58" s="126" t="s">
        <v>1418</v>
      </c>
      <c r="Z58" s="33"/>
    </row>
    <row r="59" spans="1:26">
      <c r="A59" s="120"/>
      <c r="B59" s="124"/>
      <c r="C59" s="125"/>
      <c r="D59" s="125"/>
      <c r="E59" s="125"/>
      <c r="F59" s="125"/>
      <c r="G59" s="125"/>
      <c r="H59" s="125"/>
      <c r="I59" s="125"/>
      <c r="J59" s="128"/>
      <c r="K59" s="126" t="s">
        <v>1418</v>
      </c>
      <c r="L59" s="126" t="s">
        <v>1418</v>
      </c>
      <c r="M59" s="126" t="s">
        <v>1418</v>
      </c>
      <c r="N59" s="126" t="s">
        <v>1418</v>
      </c>
      <c r="O59" s="126" t="s">
        <v>1418</v>
      </c>
      <c r="P59" s="126" t="s">
        <v>1418</v>
      </c>
      <c r="Q59" s="126" t="s">
        <v>1418</v>
      </c>
      <c r="R59" s="126" t="s">
        <v>1418</v>
      </c>
      <c r="S59" s="126" t="s">
        <v>1418</v>
      </c>
      <c r="T59" s="126" t="s">
        <v>1418</v>
      </c>
      <c r="U59" s="126" t="s">
        <v>1418</v>
      </c>
      <c r="V59" s="126" t="s">
        <v>1418</v>
      </c>
      <c r="W59" s="126" t="s">
        <v>1418</v>
      </c>
      <c r="X59" s="126" t="s">
        <v>1418</v>
      </c>
      <c r="Y59" s="126" t="s">
        <v>1418</v>
      </c>
      <c r="Z59" s="33"/>
    </row>
    <row r="60" spans="1:26">
      <c r="A60" s="120"/>
      <c r="B60" s="84" t="s">
        <v>19</v>
      </c>
      <c r="C60" s="103">
        <v>-3.8413677619870746E-3</v>
      </c>
      <c r="D60" s="104">
        <v>0.6555955429762006</v>
      </c>
      <c r="E60" s="105">
        <v>5.9663469997451417E-2</v>
      </c>
      <c r="F60" s="106">
        <v>0.657213840265091</v>
      </c>
      <c r="G60" s="103">
        <v>8.7131217576279382E-2</v>
      </c>
      <c r="H60" s="104">
        <v>0.64423240202940002</v>
      </c>
      <c r="I60" s="105">
        <v>0.12910331798517255</v>
      </c>
      <c r="J60" s="107">
        <v>0.65197142815822684</v>
      </c>
      <c r="K60" s="126" t="s">
        <v>1418</v>
      </c>
      <c r="L60" s="126" t="s">
        <v>1418</v>
      </c>
      <c r="M60" s="126" t="s">
        <v>1418</v>
      </c>
      <c r="N60" s="126" t="s">
        <v>1418</v>
      </c>
      <c r="O60" s="126" t="s">
        <v>1418</v>
      </c>
      <c r="P60" s="126" t="s">
        <v>1418</v>
      </c>
      <c r="Q60" s="126" t="s">
        <v>1418</v>
      </c>
      <c r="R60" s="126" t="s">
        <v>1418</v>
      </c>
      <c r="S60" s="126" t="s">
        <v>1418</v>
      </c>
      <c r="T60" s="126" t="s">
        <v>1418</v>
      </c>
      <c r="U60" s="126" t="s">
        <v>1418</v>
      </c>
      <c r="V60" s="126" t="s">
        <v>1418</v>
      </c>
      <c r="W60" s="126" t="s">
        <v>1418</v>
      </c>
      <c r="X60" s="126" t="s">
        <v>1418</v>
      </c>
      <c r="Y60" s="126" t="s">
        <v>1418</v>
      </c>
      <c r="Z60" s="33"/>
    </row>
    <row r="61" spans="1:26">
      <c r="A61" s="120"/>
      <c r="B61" s="91" t="s">
        <v>20</v>
      </c>
      <c r="C61" s="85">
        <v>2.8311374283269742E-3</v>
      </c>
      <c r="D61" s="86">
        <v>0.34440445702379946</v>
      </c>
      <c r="E61" s="87">
        <v>4.4487978092862049E-3</v>
      </c>
      <c r="F61" s="88">
        <v>0.342786159734909</v>
      </c>
      <c r="G61" s="85">
        <v>1.9445724956388532E-2</v>
      </c>
      <c r="H61" s="86">
        <v>0.35576759797059998</v>
      </c>
      <c r="I61" s="87">
        <v>1.9648655386287187E-2</v>
      </c>
      <c r="J61" s="89">
        <v>0.34802857184177316</v>
      </c>
      <c r="K61" s="126" t="s">
        <v>1418</v>
      </c>
      <c r="L61" s="126" t="s">
        <v>1418</v>
      </c>
      <c r="M61" s="126" t="s">
        <v>1418</v>
      </c>
      <c r="N61" s="126" t="s">
        <v>1418</v>
      </c>
      <c r="O61" s="126" t="s">
        <v>1418</v>
      </c>
      <c r="P61" s="126" t="s">
        <v>1418</v>
      </c>
      <c r="Q61" s="126" t="s">
        <v>1418</v>
      </c>
      <c r="R61" s="126" t="s">
        <v>1418</v>
      </c>
      <c r="S61" s="126" t="s">
        <v>1418</v>
      </c>
      <c r="T61" s="126" t="s">
        <v>1418</v>
      </c>
      <c r="U61" s="126" t="s">
        <v>1418</v>
      </c>
      <c r="V61" s="126" t="s">
        <v>1418</v>
      </c>
      <c r="W61" s="126" t="s">
        <v>1418</v>
      </c>
      <c r="X61" s="126" t="s">
        <v>1418</v>
      </c>
      <c r="Y61" s="126" t="s">
        <v>1418</v>
      </c>
      <c r="Z61" s="33"/>
    </row>
    <row r="62" spans="1:26">
      <c r="A62" s="120"/>
      <c r="B62" s="92" t="s">
        <v>25</v>
      </c>
      <c r="C62" s="93">
        <v>-1.0102303336601004E-3</v>
      </c>
      <c r="D62" s="94">
        <v>1</v>
      </c>
      <c r="E62" s="95">
        <v>6.4112267806737622E-2</v>
      </c>
      <c r="F62" s="96">
        <v>1</v>
      </c>
      <c r="G62" s="93">
        <v>0.10657694253266792</v>
      </c>
      <c r="H62" s="94">
        <v>1</v>
      </c>
      <c r="I62" s="95">
        <v>0.14875197337145973</v>
      </c>
      <c r="J62" s="97">
        <v>1</v>
      </c>
      <c r="K62" s="126" t="s">
        <v>1418</v>
      </c>
      <c r="L62" s="126" t="s">
        <v>1418</v>
      </c>
      <c r="M62" s="126" t="s">
        <v>1418</v>
      </c>
      <c r="N62" s="126" t="s">
        <v>1418</v>
      </c>
      <c r="O62" s="126" t="s">
        <v>1418</v>
      </c>
      <c r="P62" s="126" t="s">
        <v>1418</v>
      </c>
      <c r="Q62" s="126" t="s">
        <v>1418</v>
      </c>
      <c r="R62" s="126" t="s">
        <v>1418</v>
      </c>
      <c r="S62" s="126" t="s">
        <v>1418</v>
      </c>
      <c r="T62" s="126" t="s">
        <v>1418</v>
      </c>
      <c r="U62" s="126" t="s">
        <v>1418</v>
      </c>
      <c r="V62" s="126" t="s">
        <v>1418</v>
      </c>
      <c r="W62" s="126" t="s">
        <v>1418</v>
      </c>
      <c r="X62" s="126" t="s">
        <v>1418</v>
      </c>
      <c r="Y62" s="126" t="s">
        <v>1418</v>
      </c>
      <c r="Z62" s="33"/>
    </row>
    <row r="63" spans="1:26">
      <c r="A63" s="120"/>
      <c r="B63" s="124"/>
      <c r="C63" s="125"/>
      <c r="D63" s="125"/>
      <c r="E63" s="125"/>
      <c r="F63" s="125"/>
      <c r="G63" s="125"/>
      <c r="H63" s="125"/>
      <c r="I63" s="125"/>
      <c r="J63" s="128"/>
      <c r="K63" s="126" t="s">
        <v>1418</v>
      </c>
      <c r="L63" s="126" t="s">
        <v>1418</v>
      </c>
      <c r="M63" s="126" t="s">
        <v>1418</v>
      </c>
      <c r="N63" s="126" t="s">
        <v>1418</v>
      </c>
      <c r="O63" s="126" t="s">
        <v>1418</v>
      </c>
      <c r="P63" s="126" t="s">
        <v>1418</v>
      </c>
      <c r="Q63" s="126" t="s">
        <v>1418</v>
      </c>
      <c r="R63" s="126" t="s">
        <v>1418</v>
      </c>
      <c r="S63" s="126" t="s">
        <v>1418</v>
      </c>
      <c r="T63" s="126" t="s">
        <v>1418</v>
      </c>
      <c r="U63" s="126" t="s">
        <v>1418</v>
      </c>
      <c r="V63" s="126" t="s">
        <v>1418</v>
      </c>
      <c r="W63" s="126" t="s">
        <v>1418</v>
      </c>
      <c r="X63" s="126" t="s">
        <v>1418</v>
      </c>
      <c r="Y63" s="126" t="s">
        <v>1418</v>
      </c>
      <c r="Z63" s="33"/>
    </row>
    <row r="64" spans="1:26">
      <c r="A64" s="120"/>
      <c r="B64" s="84" t="s">
        <v>21</v>
      </c>
      <c r="C64" s="103">
        <v>3.3183583069347883E-3</v>
      </c>
      <c r="D64" s="104">
        <v>1.0015156289874039</v>
      </c>
      <c r="E64" s="105">
        <v>5.4766641837436549E-2</v>
      </c>
      <c r="F64" s="106">
        <v>0.99546729577115534</v>
      </c>
      <c r="G64" s="103">
        <v>9.4707147911202688E-2</v>
      </c>
      <c r="H64" s="104">
        <v>0.99378383986565522</v>
      </c>
      <c r="I64" s="105">
        <v>0.13120237114936725</v>
      </c>
      <c r="J64" s="107">
        <v>0.99705680089668591</v>
      </c>
      <c r="K64" s="126" t="s">
        <v>1418</v>
      </c>
      <c r="L64" s="126" t="s">
        <v>1418</v>
      </c>
      <c r="M64" s="126" t="s">
        <v>1418</v>
      </c>
      <c r="N64" s="126" t="s">
        <v>1418</v>
      </c>
      <c r="O64" s="126" t="s">
        <v>1418</v>
      </c>
      <c r="P64" s="126" t="s">
        <v>1418</v>
      </c>
      <c r="Q64" s="126" t="s">
        <v>1418</v>
      </c>
      <c r="R64" s="126" t="s">
        <v>1418</v>
      </c>
      <c r="S64" s="126" t="s">
        <v>1418</v>
      </c>
      <c r="T64" s="126" t="s">
        <v>1418</v>
      </c>
      <c r="U64" s="126" t="s">
        <v>1418</v>
      </c>
      <c r="V64" s="126" t="s">
        <v>1418</v>
      </c>
      <c r="W64" s="126" t="s">
        <v>1418</v>
      </c>
      <c r="X64" s="126" t="s">
        <v>1418</v>
      </c>
      <c r="Y64" s="126" t="s">
        <v>1418</v>
      </c>
      <c r="Z64" s="33"/>
    </row>
    <row r="65" spans="1:26">
      <c r="A65" s="120"/>
      <c r="B65" s="91" t="s">
        <v>22</v>
      </c>
      <c r="C65" s="85">
        <v>-4.3285886405948892E-3</v>
      </c>
      <c r="D65" s="86">
        <v>-1.5156289874038822E-3</v>
      </c>
      <c r="E65" s="87">
        <v>9.3456259693010715E-3</v>
      </c>
      <c r="F65" s="88">
        <v>4.5327042288446492E-3</v>
      </c>
      <c r="G65" s="85">
        <v>1.1869794621465226E-2</v>
      </c>
      <c r="H65" s="86">
        <v>6.2161601343448426E-3</v>
      </c>
      <c r="I65" s="87">
        <v>1.7549602222092467E-2</v>
      </c>
      <c r="J65" s="89">
        <v>2.9431991033140076E-3</v>
      </c>
      <c r="K65" s="126" t="s">
        <v>1418</v>
      </c>
      <c r="L65" s="126" t="s">
        <v>1418</v>
      </c>
      <c r="M65" s="126" t="s">
        <v>1418</v>
      </c>
      <c r="N65" s="126" t="s">
        <v>1418</v>
      </c>
      <c r="O65" s="126" t="s">
        <v>1418</v>
      </c>
      <c r="P65" s="126" t="s">
        <v>1418</v>
      </c>
      <c r="Q65" s="126" t="s">
        <v>1418</v>
      </c>
      <c r="R65" s="126" t="s">
        <v>1418</v>
      </c>
      <c r="S65" s="126" t="s">
        <v>1418</v>
      </c>
      <c r="T65" s="126" t="s">
        <v>1418</v>
      </c>
      <c r="U65" s="126" t="s">
        <v>1418</v>
      </c>
      <c r="V65" s="126" t="s">
        <v>1418</v>
      </c>
      <c r="W65" s="126" t="s">
        <v>1418</v>
      </c>
      <c r="X65" s="126" t="s">
        <v>1418</v>
      </c>
      <c r="Y65" s="126" t="s">
        <v>1418</v>
      </c>
      <c r="Z65" s="33"/>
    </row>
    <row r="66" spans="1:26">
      <c r="A66" s="120"/>
      <c r="B66" s="108" t="s">
        <v>25</v>
      </c>
      <c r="C66" s="109">
        <v>-1.0102303336601004E-3</v>
      </c>
      <c r="D66" s="110">
        <v>1</v>
      </c>
      <c r="E66" s="111">
        <v>6.4112267806737622E-2</v>
      </c>
      <c r="F66" s="112">
        <v>1</v>
      </c>
      <c r="G66" s="109">
        <v>0.10657694253266792</v>
      </c>
      <c r="H66" s="110">
        <v>1</v>
      </c>
      <c r="I66" s="111">
        <v>0.14875197337145973</v>
      </c>
      <c r="J66" s="113">
        <v>0.99999999999999989</v>
      </c>
      <c r="K66" s="126" t="s">
        <v>1418</v>
      </c>
      <c r="L66" s="126" t="s">
        <v>1418</v>
      </c>
      <c r="M66" s="126" t="s">
        <v>1418</v>
      </c>
      <c r="N66" s="126" t="s">
        <v>1418</v>
      </c>
      <c r="O66" s="126" t="s">
        <v>1418</v>
      </c>
      <c r="P66" s="126" t="s">
        <v>1418</v>
      </c>
      <c r="Q66" s="126" t="s">
        <v>1418</v>
      </c>
      <c r="R66" s="126" t="s">
        <v>1418</v>
      </c>
      <c r="S66" s="126" t="s">
        <v>1418</v>
      </c>
      <c r="T66" s="126" t="s">
        <v>1418</v>
      </c>
      <c r="U66" s="126" t="s">
        <v>1418</v>
      </c>
      <c r="V66" s="126" t="s">
        <v>1418</v>
      </c>
      <c r="W66" s="126" t="s">
        <v>1418</v>
      </c>
      <c r="X66" s="126" t="s">
        <v>1418</v>
      </c>
      <c r="Y66" s="126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2026-01-20T14:52:15Z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