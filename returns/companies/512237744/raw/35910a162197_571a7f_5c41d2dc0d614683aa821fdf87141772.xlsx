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migdal-group.co.il\dfs$\Public_Folders2\Makefet\הנהלת חשבונות\דיווח כספי\דיווח לאוצר\פרסום מרכיבי תשואה\2025\12-25\קבצים מונגשים 12-25\"/>
    </mc:Choice>
  </mc:AlternateContent>
  <xr:revisionPtr revIDLastSave="0" documentId="8_{FA38C3BD-42AD-4F9D-AEBE-9DB0CC7C4085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4" i="6"/>
  <c r="B25" i="6"/>
  <c r="B23" i="6"/>
  <c r="AC3" i="8" l="1"/>
  <c r="B26" i="6"/>
  <c r="C4" i="5"/>
  <c r="C3" i="5"/>
</calcChain>
</file>

<file path=xl/sharedStrings.xml><?xml version="1.0" encoding="utf-8"?>
<sst xmlns="http://schemas.openxmlformats.org/spreadsheetml/2006/main" count="5549" uniqueCount="1418">
  <si>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</si>
  <si>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</si>
  <si>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</si>
  <si>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</si>
  <si>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</si>
  <si>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</si>
  <si>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</si>
  <si>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</si>
  <si>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</si>
  <si>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</si>
  <si>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</si>
  <si>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</si>
  <si>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</si>
  <si>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</si>
  <si>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</si>
  <si>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</si>
  <si>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</si>
  <si>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</si>
  <si>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</si>
  <si>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</si>
  <si>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</si>
  <si>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</si>
  <si>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</si>
  <si>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</si>
  <si>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</si>
  <si>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</si>
  <si>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</si>
  <si>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</si>
  <si>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</si>
  <si>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</si>
  <si>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</si>
  <si>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</si>
  <si>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</si>
  <si>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</si>
  <si>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</si>
  <si>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</si>
  <si>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</si>
  <si>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</si>
  <si>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</si>
  <si>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</si>
  <si>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</si>
  <si>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</si>
  <si>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</si>
  <si>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</si>
  <si>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</si>
  <si>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</si>
  <si>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</si>
  <si>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</si>
  <si>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</si>
  <si>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</si>
  <si>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</si>
  <si>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</si>
  <si>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</si>
  <si>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</si>
  <si>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</si>
  <si>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</si>
  <si>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</si>
  <si>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</si>
  <si>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</si>
  <si>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</si>
  <si>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</si>
  <si>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</si>
  <si>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</si>
  <si>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</si>
  <si>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</si>
  <si>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</si>
  <si>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</si>
  <si>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</si>
  <si>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</si>
  <si>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</si>
  <si>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</si>
  <si>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</si>
  <si>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</si>
  <si>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</si>
  <si>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</si>
  <si>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</si>
  <si>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</si>
  <si>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</si>
  <si>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</si>
  <si>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</si>
  <si>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</si>
  <si>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</si>
  <si>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</si>
  <si>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</si>
  <si>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</si>
  <si>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</si>
  <si>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</si>
  <si>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</si>
  <si>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</si>
  <si>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</si>
  <si>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</si>
  <si>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</si>
  <si>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</si>
  <si>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</si>
  <si>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</si>
  <si>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</si>
  <si>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</si>
  <si>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</si>
  <si>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</si>
  <si>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</si>
  <si>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</si>
  <si>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</si>
  <si>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</si>
  <si>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</si>
  <si>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</si>
  <si>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</si>
  <si>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</si>
  <si>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</si>
  <si>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</si>
  <si>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</si>
  <si>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</si>
  <si>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</si>
  <si>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</si>
  <si>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</si>
  <si>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</si>
  <si>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</si>
  <si>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</si>
  <si>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</si>
  <si>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</si>
  <si>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</si>
  <si>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</si>
  <si>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</si>
  <si>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</si>
  <si>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</si>
  <si>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</si>
  <si>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</si>
  <si>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</si>
  <si>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</si>
  <si>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</si>
  <si>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</si>
  <si>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</si>
  <si>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</si>
  <si>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</si>
  <si>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</si>
  <si>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</si>
  <si>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</si>
  <si>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</si>
  <si>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</si>
  <si>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</si>
  <si>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</si>
  <si>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</si>
  <si>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</si>
  <si>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</si>
  <si>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</si>
  <si>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</si>
  <si>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</si>
  <si>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</si>
  <si>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</si>
  <si>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</si>
  <si>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</si>
  <si>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</si>
  <si>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</si>
  <si>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</si>
  <si>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</si>
  <si>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</si>
  <si>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</si>
  <si>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</si>
  <si>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</si>
  <si>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</si>
  <si>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</si>
  <si>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</si>
  <si>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</si>
  <si>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</si>
  <si>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</si>
  <si>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</si>
  <si>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</si>
  <si>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</si>
  <si>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</si>
  <si>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</si>
  <si>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</si>
  <si>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</si>
  <si>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</si>
  <si>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</si>
  <si>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</si>
  <si>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</si>
  <si>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</si>
  <si>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</si>
  <si>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</si>
  <si>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</si>
  <si>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</si>
  <si>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</si>
  <si>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</si>
  <si>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</si>
  <si>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</si>
  <si>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</si>
  <si>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</si>
  <si>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</si>
  <si>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</si>
  <si>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</si>
  <si>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</si>
  <si>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</si>
  <si>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</si>
  <si>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</si>
  <si>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</si>
  <si>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</si>
  <si>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</si>
  <si>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</si>
  <si>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</si>
  <si>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</si>
  <si>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</si>
  <si>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</si>
  <si>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</si>
  <si>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</si>
  <si>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</si>
  <si>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</si>
  <si>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</si>
  <si>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</si>
  <si>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</si>
  <si>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</si>
  <si>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</si>
  <si>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</si>
  <si>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</si>
  <si>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</si>
  <si>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</si>
  <si>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</si>
  <si>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</si>
  <si>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</si>
  <si>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</si>
  <si>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</si>
  <si>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</si>
  <si>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</si>
  <si>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</si>
  <si>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</si>
  <si>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</si>
  <si>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</si>
  <si>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</si>
  <si>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</si>
  <si>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</si>
  <si>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</si>
  <si>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</si>
  <si>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</si>
  <si>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</si>
  <si>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</si>
  <si>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</si>
  <si>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</si>
  <si>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</si>
  <si>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</si>
  <si>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</si>
  <si>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</si>
  <si>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</si>
  <si>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</si>
  <si>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</si>
  <si>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</si>
  <si>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</si>
  <si>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</si>
  <si>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</si>
  <si>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</si>
  <si>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</si>
  <si>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</si>
  <si>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</si>
  <si>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</si>
  <si>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</si>
  <si>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</si>
  <si>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</si>
  <si>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</si>
  <si>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</si>
  <si>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</si>
  <si>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</si>
  <si>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</si>
  <si>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</si>
  <si>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</si>
  <si>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</si>
  <si>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</si>
  <si>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</si>
  <si>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</si>
  <si>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</si>
  <si>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</si>
  <si>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</si>
  <si>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</si>
  <si>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</si>
  <si>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</si>
  <si>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</si>
  <si>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</si>
  <si>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</si>
  <si>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</si>
  <si>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</si>
  <si>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</si>
  <si>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</si>
  <si>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</si>
  <si>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</si>
  <si>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</si>
  <si>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</si>
  <si>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</si>
  <si>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</si>
  <si>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</si>
  <si>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</si>
  <si>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</si>
  <si>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</si>
  <si>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</si>
  <si>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</si>
  <si>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</si>
  <si>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</si>
  <si>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</si>
  <si>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</si>
  <si>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</si>
  <si>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</si>
  <si>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</si>
  <si>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</si>
  <si>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</si>
  <si>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</si>
  <si>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</si>
  <si>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</si>
  <si>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</si>
  <si>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</si>
  <si>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</si>
  <si>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</si>
  <si>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</si>
  <si>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</si>
  <si>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</si>
  <si>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</si>
  <si>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</si>
  <si>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</si>
  <si>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</si>
  <si>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</si>
  <si>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</si>
  <si>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</si>
  <si>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</si>
  <si>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</si>
  <si>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</si>
  <si>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</si>
  <si>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</si>
  <si>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</si>
  <si>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</si>
  <si>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</si>
  <si>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</si>
  <si>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</si>
  <si>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</si>
  <si>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</si>
  <si>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</si>
  <si>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</si>
  <si>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</si>
  <si>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</si>
  <si>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</si>
  <si>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</si>
  <si>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</si>
  <si>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</si>
  <si>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</si>
  <si>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</si>
  <si>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</si>
  <si>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</si>
  <si>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</si>
  <si>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</si>
  <si>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</si>
  <si>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</si>
  <si>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</si>
  <si>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</si>
  <si>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</si>
  <si>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</si>
  <si>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</si>
  <si>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</si>
  <si>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</si>
  <si>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</si>
  <si>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</si>
  <si>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</si>
  <si>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</si>
  <si>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</si>
  <si>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</si>
  <si>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</si>
  <si>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</si>
  <si>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</si>
  <si>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</si>
  <si>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</si>
  <si>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</si>
  <si>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</si>
  <si>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</si>
  <si>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</si>
  <si>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</si>
  <si>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</si>
  <si>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</si>
  <si>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</si>
  <si>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</si>
  <si>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</si>
  <si>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</si>
  <si>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</si>
  <si>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</si>
  <si>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</si>
  <si>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</si>
  <si>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</si>
  <si>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</si>
  <si>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</si>
  <si>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</si>
  <si>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</si>
  <si>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</si>
  <si>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</si>
  <si>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</si>
  <si>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</si>
  <si>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</si>
  <si>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</si>
  <si>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</si>
  <si>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</si>
  <si>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</si>
  <si>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</si>
  <si>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</si>
  <si>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</si>
  <si>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</si>
  <si>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</si>
  <si>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</si>
  <si>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</si>
  <si>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</si>
  <si>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</si>
  <si>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</si>
  <si>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</si>
  <si>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</si>
  <si>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</si>
  <si>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</si>
  <si>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</si>
  <si>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</si>
  <si>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</si>
  <si>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</si>
  <si>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</si>
  <si>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</si>
  <si>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</si>
  <si>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</si>
  <si>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</si>
  <si>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</si>
  <si>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</si>
  <si>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</si>
  <si>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</si>
  <si>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</si>
  <si>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</si>
  <si>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</si>
  <si>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</si>
  <si>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</si>
  <si>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</si>
  <si>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</si>
  <si>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</si>
  <si>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</si>
  <si>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</si>
  <si>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</si>
  <si>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</si>
  <si>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</si>
  <si>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</si>
  <si>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</si>
  <si>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</si>
  <si>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</si>
  <si>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</si>
  <si>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</si>
  <si>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</si>
  <si>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</si>
  <si>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</si>
  <si>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</si>
  <si>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</si>
  <si>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</si>
  <si>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</si>
  <si>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</si>
  <si>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</si>
  <si>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</si>
  <si>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</si>
  <si>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</si>
  <si>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</si>
  <si>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</si>
  <si>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</si>
  <si>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</si>
  <si>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</si>
  <si>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</si>
  <si>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</si>
  <si>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</si>
  <si>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</si>
  <si>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</si>
  <si>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</si>
  <si>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</si>
  <si>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</si>
  <si>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</si>
  <si>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</si>
  <si>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</si>
  <si>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</si>
  <si>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</si>
  <si>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</si>
  <si>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</si>
  <si>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</si>
  <si>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</si>
  <si>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</si>
  <si>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</si>
  <si>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</si>
  <si>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</si>
  <si>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</si>
  <si>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</si>
  <si>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</si>
  <si>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</si>
  <si>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</si>
  <si>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</si>
  <si>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</si>
  <si>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</si>
  <si>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</si>
  <si>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</si>
  <si>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</si>
  <si>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</si>
  <si>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</si>
  <si>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</si>
  <si>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</si>
  <si>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</si>
  <si>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</si>
  <si>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</si>
  <si>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</si>
  <si>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</si>
  <si>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</si>
  <si>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</si>
  <si>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</si>
  <si>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</si>
  <si>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</si>
  <si>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</si>
  <si>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</si>
  <si>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</si>
  <si>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</si>
  <si>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</si>
  <si>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</si>
  <si>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</si>
  <si>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</si>
  <si>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</si>
  <si>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</si>
  <si>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</si>
  <si>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</si>
  <si>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</si>
  <si>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</si>
  <si>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</si>
  <si>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</si>
  <si>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</si>
  <si>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</si>
  <si>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</si>
  <si>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</si>
  <si>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</si>
  <si>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</si>
  <si>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</si>
  <si>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</si>
  <si>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</si>
  <si>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</si>
  <si>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</si>
  <si>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</si>
  <si>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</si>
  <si>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</si>
  <si>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</si>
  <si>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</si>
  <si>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</si>
  <si>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</si>
  <si>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</si>
  <si>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</si>
  <si>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</si>
  <si>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</si>
  <si>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</si>
  <si>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</si>
  <si>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</si>
  <si>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</si>
  <si>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</si>
  <si>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</si>
  <si>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</si>
  <si>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</si>
  <si>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</si>
  <si>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</si>
  <si>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</si>
  <si>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</si>
  <si>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</si>
  <si>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</si>
  <si>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</si>
  <si>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</si>
  <si>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</si>
  <si>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</si>
  <si>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</si>
  <si>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</si>
  <si>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</si>
  <si>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</si>
  <si>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</si>
  <si>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</si>
  <si>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</si>
  <si>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</si>
  <si>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</si>
  <si>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</si>
  <si>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</si>
  <si>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</si>
  <si>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</si>
  <si>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</si>
  <si>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</si>
  <si>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</si>
  <si>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</si>
  <si>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</si>
  <si>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</si>
  <si>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</si>
  <si>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</si>
  <si>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</si>
  <si>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</si>
  <si>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</si>
  <si>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</si>
  <si>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</si>
  <si>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</si>
  <si>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</si>
  <si>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</si>
  <si>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</si>
  <si>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</si>
  <si>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</si>
  <si>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</si>
  <si>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</si>
  <si>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</si>
  <si>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</si>
  <si>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</si>
  <si>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</si>
  <si>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</si>
  <si>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</si>
  <si>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</si>
  <si>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</si>
  <si>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</si>
  <si>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</si>
  <si>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</si>
  <si>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</si>
  <si>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</si>
  <si>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</si>
  <si>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</si>
  <si>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</si>
  <si>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</si>
  <si>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</si>
  <si>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</si>
  <si>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</si>
  <si>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</si>
  <si>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</si>
  <si>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</si>
  <si>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</si>
  <si>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</si>
  <si>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</si>
  <si>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</si>
  <si>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</si>
  <si>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</si>
  <si>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</si>
  <si>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</si>
  <si>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</si>
  <si>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</si>
  <si>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</si>
  <si>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</si>
  <si>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</si>
  <si>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</si>
  <si>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</si>
  <si>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</si>
  <si>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</si>
  <si>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</si>
  <si>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</si>
  <si>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</si>
  <si>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</si>
  <si>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</si>
  <si>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</si>
  <si>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</si>
  <si>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</si>
  <si>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</si>
  <si>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</si>
  <si>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</si>
  <si>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</si>
  <si>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</si>
  <si>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</si>
  <si>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</si>
  <si>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</si>
  <si>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</si>
  <si>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</si>
  <si>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</si>
  <si>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</si>
  <si>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</si>
  <si>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</si>
  <si>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</si>
  <si>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</si>
  <si>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</si>
  <si>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</si>
  <si>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</si>
  <si>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</si>
  <si>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</si>
  <si>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</si>
  <si>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</si>
  <si>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</si>
  <si>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</si>
  <si>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</si>
  <si>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</si>
  <si>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</si>
  <si>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</si>
  <si>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</si>
  <si>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</si>
  <si>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</si>
  <si>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</si>
  <si>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</si>
  <si>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</si>
  <si>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</si>
  <si>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</si>
  <si>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</si>
  <si>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</si>
  <si>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</si>
  <si>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</si>
  <si>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</si>
  <si>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</si>
  <si>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</si>
  <si>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</si>
  <si>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</si>
  <si>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</si>
  <si>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</si>
  <si>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</si>
  <si>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</si>
  <si>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</si>
  <si>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</si>
  <si>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</si>
  <si>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</si>
  <si>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</si>
  <si>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</si>
  <si>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</si>
  <si>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</si>
  <si>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</si>
  <si>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</si>
  <si>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</si>
  <si>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</si>
  <si>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</si>
  <si>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</si>
  <si>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</si>
  <si>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</si>
  <si>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</si>
  <si>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</si>
  <si>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</si>
  <si>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</si>
  <si>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</si>
  <si>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</si>
  <si>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</si>
  <si>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</si>
  <si>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</si>
  <si>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</si>
  <si>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</si>
  <si>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</si>
  <si>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</si>
  <si>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</si>
  <si>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</si>
  <si>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</si>
  <si>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</si>
  <si>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</si>
  <si>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</si>
  <si>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</si>
  <si>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</si>
  <si>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</si>
  <si>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</si>
  <si>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</si>
  <si>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</si>
  <si>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</si>
  <si>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</si>
  <si>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</si>
  <si>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</si>
  <si>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</si>
  <si>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</si>
  <si>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</si>
  <si>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</si>
  <si>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</si>
  <si>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</si>
  <si>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</si>
  <si>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</si>
  <si>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</si>
  <si>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</si>
  <si>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</si>
  <si>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</si>
  <si>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</si>
  <si>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</si>
  <si>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</si>
  <si>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</si>
  <si>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</si>
  <si>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</si>
  <si>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</si>
  <si>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</si>
  <si>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</si>
  <si>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</si>
  <si>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</si>
  <si>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</si>
  <si>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</si>
  <si>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</si>
  <si>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</si>
  <si>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</si>
  <si>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</si>
  <si>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</si>
  <si>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</si>
  <si>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</si>
  <si>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</si>
  <si>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</si>
  <si>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</si>
  <si>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</si>
  <si>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</si>
  <si>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</si>
  <si>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</si>
  <si>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</si>
  <si>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</si>
  <si>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</si>
  <si>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</si>
  <si>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</si>
  <si>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</si>
  <si>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</si>
  <si>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</si>
  <si>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</si>
  <si>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</si>
  <si>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</si>
  <si>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</si>
  <si>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</si>
  <si>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</si>
  <si>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</si>
  <si>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</si>
  <si>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</si>
  <si>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</si>
  <si>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</si>
  <si>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</si>
  <si>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</si>
  <si>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</si>
  <si>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</si>
  <si>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</si>
  <si>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</si>
  <si>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</si>
  <si>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</si>
  <si>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</si>
  <si>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</si>
  <si>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</si>
  <si>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</si>
  <si>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</si>
  <si>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</si>
  <si>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</si>
  <si>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</si>
  <si>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</si>
  <si>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</si>
  <si>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</si>
  <si>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</si>
  <si>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</si>
  <si>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</si>
  <si>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</si>
  <si>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</si>
  <si>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</si>
  <si>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</si>
  <si>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</si>
  <si>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</si>
  <si>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</si>
  <si>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</si>
  <si>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</si>
  <si>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</si>
  <si>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</si>
  <si>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</si>
  <si>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</si>
  <si>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</si>
  <si>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</si>
  <si>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</si>
  <si>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</si>
  <si>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</si>
  <si>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</si>
  <si>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</si>
  <si>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</si>
  <si>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</si>
  <si>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</si>
  <si>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</si>
  <si>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</si>
  <si>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</si>
  <si>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</si>
  <si>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</si>
  <si>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</si>
  <si>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</si>
  <si>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</si>
  <si>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</si>
  <si>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</si>
  <si>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</si>
  <si>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</si>
  <si>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</si>
  <si>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</si>
  <si>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</si>
  <si>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</si>
  <si>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</si>
  <si>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</si>
  <si>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</si>
  <si>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</si>
  <si>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</si>
  <si>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</si>
  <si>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</si>
  <si>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</si>
  <si>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</si>
  <si>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</si>
  <si>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</si>
  <si>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</si>
  <si>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</si>
  <si>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</si>
  <si>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</si>
  <si>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</si>
  <si>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</si>
  <si>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</si>
  <si>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</si>
  <si>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</si>
  <si>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</si>
  <si>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</si>
  <si>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</si>
  <si>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</si>
  <si>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</si>
  <si>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</si>
  <si>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</si>
  <si>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</si>
  <si>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</si>
  <si>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</si>
  <si>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</si>
  <si>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</si>
  <si>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</si>
  <si>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</si>
  <si>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</si>
  <si>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</si>
  <si>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</si>
  <si>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</si>
  <si>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</si>
  <si>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</si>
  <si>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</si>
  <si>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</si>
  <si>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</si>
  <si>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</si>
  <si>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</si>
  <si>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</si>
  <si>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</si>
  <si>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</si>
  <si>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</si>
  <si>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</si>
  <si>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</si>
  <si>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</si>
  <si>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</si>
  <si>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</si>
  <si>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</si>
  <si>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</si>
  <si>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</si>
  <si>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</si>
  <si>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</si>
  <si>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</si>
  <si>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</si>
  <si>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</si>
  <si>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</si>
  <si>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</si>
  <si>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</si>
  <si>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</si>
  <si>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</si>
  <si>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</si>
  <si>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</si>
  <si>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</si>
  <si>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</si>
  <si>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</si>
  <si>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</si>
  <si>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</si>
  <si>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</si>
  <si>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</si>
  <si>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</si>
  <si>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</si>
  <si>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</si>
  <si>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</si>
  <si>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</si>
  <si>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</si>
  <si>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</si>
  <si>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</si>
  <si>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</si>
  <si>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</si>
  <si>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</si>
  <si>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</si>
  <si>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</si>
  <si>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</si>
  <si>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</si>
  <si>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</si>
  <si>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</si>
  <si>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</si>
  <si>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</si>
  <si>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</si>
  <si>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</si>
  <si>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</si>
  <si>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</si>
  <si>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</si>
  <si>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</si>
  <si>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</si>
  <si>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</si>
  <si>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</si>
  <si>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</si>
  <si>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</si>
  <si>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</si>
  <si>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</si>
  <si>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</si>
  <si>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</si>
  <si>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</si>
  <si>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</si>
  <si>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</si>
  <si>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</si>
  <si>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</si>
  <si>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</si>
  <si>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</si>
  <si>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</si>
  <si>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</si>
  <si>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</si>
  <si>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</si>
  <si>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</si>
  <si>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</si>
  <si>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</si>
  <si>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</si>
  <si>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</si>
  <si>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</si>
  <si>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</si>
  <si>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</si>
  <si>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</si>
  <si>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</si>
  <si>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</si>
  <si>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</si>
  <si>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</si>
  <si>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</si>
  <si>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</si>
  <si>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</si>
  <si>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</si>
  <si>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</si>
  <si>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</si>
  <si>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</si>
  <si>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</si>
  <si>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</si>
  <si>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</si>
  <si>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</si>
  <si>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</si>
  <si>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</si>
  <si>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</si>
  <si>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</si>
  <si>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</si>
  <si>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</si>
  <si>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</si>
  <si>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</si>
  <si>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</si>
  <si>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</si>
  <si>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</si>
  <si>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</si>
  <si>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</si>
  <si>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</si>
  <si>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</si>
  <si>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</si>
  <si>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</si>
  <si>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</si>
  <si>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</si>
  <si>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</si>
  <si>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</si>
  <si>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</si>
  <si>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</si>
  <si>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</si>
  <si>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</si>
  <si>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</si>
  <si>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</si>
  <si>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</si>
  <si>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</si>
  <si>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</si>
  <si>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</si>
  <si>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</si>
  <si>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</si>
  <si>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</si>
  <si>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</si>
  <si>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</si>
  <si>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</si>
  <si>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</si>
  <si>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</si>
  <si>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</si>
  <si>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</si>
  <si>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</si>
  <si>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</si>
  <si>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</si>
  <si>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</si>
  <si>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</si>
  <si>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</si>
  <si>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</si>
  <si>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</si>
  <si>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</si>
  <si>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</si>
  <si>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</si>
  <si>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</si>
  <si>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</si>
  <si>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</si>
  <si>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</si>
  <si>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</si>
  <si>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</si>
  <si>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</si>
  <si>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</si>
  <si>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</si>
  <si>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</si>
  <si>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</si>
  <si>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</si>
  <si>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</si>
  <si>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</si>
  <si>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</si>
  <si>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</si>
  <si>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</si>
  <si>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</si>
  <si>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</si>
  <si>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</si>
  <si>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</si>
  <si>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</si>
  <si>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</si>
  <si>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</si>
  <si>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</si>
  <si>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</si>
  <si>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</si>
  <si>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</si>
  <si>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</si>
  <si>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</si>
  <si>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</si>
  <si>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</si>
  <si>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</si>
  <si>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</si>
  <si>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</si>
  <si>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</si>
  <si>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</si>
  <si>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</si>
  <si>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</si>
  <si>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</si>
  <si>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</si>
  <si>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</si>
  <si>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</si>
  <si>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</si>
  <si>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</si>
  <si>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</si>
  <si>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</si>
  <si>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</si>
  <si>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</si>
  <si>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</si>
  <si>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</si>
  <si>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</si>
  <si>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</si>
  <si>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</si>
  <si>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</si>
  <si>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</si>
  <si>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</si>
  <si>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</si>
  <si>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</si>
  <si>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</si>
  <si>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</si>
  <si>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</si>
  <si>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</si>
  <si>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</si>
  <si>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</si>
  <si>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</si>
  <si>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</si>
  <si>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</si>
  <si>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</si>
  <si>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</si>
  <si>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</si>
  <si>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</si>
  <si>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</si>
  <si>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</si>
  <si>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</si>
  <si>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</si>
  <si>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</si>
  <si>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</si>
  <si>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</si>
  <si>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</si>
  <si>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</si>
  <si>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</si>
  <si>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</si>
  <si>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</si>
  <si>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</si>
  <si>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</si>
  <si>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</si>
  <si>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</si>
  <si>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</si>
  <si>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</si>
  <si>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</si>
  <si>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</si>
  <si>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</si>
  <si>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</si>
  <si>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</si>
  <si>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</si>
  <si>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</si>
  <si>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</si>
  <si>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</si>
  <si>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</si>
  <si>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</si>
  <si>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</si>
  <si>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</si>
  <si>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</si>
  <si>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</si>
  <si>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</si>
  <si>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</si>
  <si>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</si>
  <si>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</si>
  <si>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</si>
  <si>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</si>
  <si>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</si>
  <si>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</si>
  <si>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</si>
  <si>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</si>
  <si>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</si>
  <si>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</si>
  <si>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</si>
  <si>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</si>
  <si>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</si>
  <si>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</si>
  <si>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</si>
  <si>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</si>
  <si>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</si>
  <si>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</si>
  <si>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</si>
  <si>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</si>
  <si>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</si>
  <si>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</si>
  <si>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</si>
  <si>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</si>
  <si>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</si>
  <si>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</si>
  <si>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</si>
  <si>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</si>
  <si>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</si>
  <si>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</si>
  <si>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</si>
  <si>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</si>
  <si>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</si>
  <si>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</si>
  <si>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</si>
  <si>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</si>
  <si>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</si>
  <si>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</si>
  <si>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</si>
  <si>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</si>
  <si>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</si>
  <si>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</si>
  <si>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</si>
  <si>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</si>
  <si>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</si>
  <si>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</si>
  <si>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</si>
  <si>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</si>
  <si>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</si>
  <si>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</si>
  <si>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</si>
  <si>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</si>
  <si>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</si>
  <si>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</si>
  <si>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</si>
  <si>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</si>
  <si>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</si>
  <si>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</si>
  <si>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</si>
  <si>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</si>
  <si>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</si>
  <si>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</si>
  <si>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</si>
  <si>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</si>
  <si>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</si>
  <si>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</si>
  <si>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</si>
  <si>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</si>
  <si>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</si>
  <si>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</si>
  <si>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</si>
  <si>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</si>
  <si>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</si>
  <si>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</si>
  <si>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</si>
  <si>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</si>
  <si>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</si>
  <si>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</si>
  <si>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</si>
  <si>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</si>
  <si>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</si>
  <si>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</si>
  <si>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</si>
  <si>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</si>
  <si>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</si>
  <si>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</si>
  <si>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</si>
  <si>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</si>
  <si>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</si>
  <si>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</si>
  <si>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</si>
  <si>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</si>
  <si>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</si>
  <si>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</si>
  <si>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</si>
  <si>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</si>
  <si>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</si>
  <si>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</si>
  <si>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</si>
  <si>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</si>
  <si>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</si>
  <si>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</si>
  <si>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</si>
  <si>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</si>
  <si>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</si>
  <si>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</si>
  <si>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</si>
  <si>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</si>
  <si>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</si>
  <si>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</si>
  <si>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</si>
  <si>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</si>
  <si>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</si>
  <si>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</si>
  <si>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</si>
  <si>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</si>
  <si>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</si>
  <si>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</si>
  <si>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</si>
  <si>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</si>
  <si>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</si>
  <si>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</si>
  <si>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</si>
  <si>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</si>
  <si>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</si>
  <si>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</si>
  <si>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</si>
  <si>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</si>
  <si>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</si>
  <si>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</si>
  <si>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</si>
  <si>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</si>
  <si>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</si>
  <si>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</si>
  <si>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</si>
  <si>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</si>
  <si>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</si>
  <si>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</si>
  <si>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</si>
  <si>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</si>
  <si>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</si>
  <si>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</si>
  <si>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</si>
  <si>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</si>
  <si>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</si>
  <si>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</si>
  <si>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</si>
  <si>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</si>
  <si>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</si>
  <si>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</si>
  <si>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</si>
  <si>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</si>
  <si>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</si>
  <si>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</si>
  <si>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</si>
  <si>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</si>
  <si>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</si>
  <si>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</si>
  <si>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</si>
  <si>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</si>
  <si>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</si>
  <si>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</si>
  <si>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</si>
  <si>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</si>
  <si>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</si>
  <si>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</si>
  <si>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</si>
  <si>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</si>
  <si>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</si>
  <si>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</si>
  <si>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</si>
  <si>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</si>
  <si>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</si>
  <si>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</si>
  <si>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</si>
  <si>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</si>
  <si>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</si>
  <si>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</si>
  <si>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</si>
  <si>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</si>
  <si>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</si>
  <si>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</si>
  <si>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</si>
  <si>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</si>
  <si>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</si>
  <si>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</si>
  <si>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</si>
  <si>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</si>
  <si>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</si>
  <si>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</si>
  <si>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</si>
  <si>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</si>
  <si>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</si>
  <si>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</si>
  <si>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</si>
  <si>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</si>
  <si>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</si>
  <si>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</si>
  <si>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</si>
  <si>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</si>
  <si>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</si>
  <si>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</si>
  <si>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</si>
  <si>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</si>
  <si>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</si>
  <si>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</si>
  <si>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</si>
  <si>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</si>
  <si>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</si>
  <si>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</si>
  <si>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</si>
  <si>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</si>
  <si>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</si>
  <si>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</si>
  <si>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</si>
  <si>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</si>
  <si>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</si>
  <si>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</si>
  <si>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</si>
  <si>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</si>
  <si>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</si>
  <si>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</si>
  <si>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</si>
  <si>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</si>
  <si>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</si>
  <si>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</si>
  <si>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</si>
  <si>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</si>
  <si>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</si>
  <si>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</si>
  <si>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</si>
  <si>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</si>
  <si>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</si>
  <si>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</si>
  <si>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</si>
  <si>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</si>
  <si>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</si>
  <si>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</si>
  <si>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</si>
  <si>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</si>
  <si>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</si>
  <si>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</si>
  <si>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</si>
  <si>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</si>
  <si>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</si>
  <si>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</si>
  <si>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</si>
  <si>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</si>
  <si>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</si>
  <si>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</si>
  <si>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</si>
  <si>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</si>
  <si>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</si>
  <si>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</si>
  <si>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</si>
  <si>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</si>
  <si>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</si>
  <si>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</si>
  <si>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</si>
  <si>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</si>
  <si>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31.12.25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</si>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</sst>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_-&quot;₪&quot;* #,##0_-;\-&quot;₪&quot;* #,##0_-;_-&quot;₪&quot;* &quot;-&quot;_-;_-@_-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 [$€-2]\ * #,##0.00_ ;_ [$€-2]\ * \-#,##0.00_ ;_ [$€-2]\ * &quot;-&quot;??_ "/>
    <numFmt numFmtId="175" formatCode="mmmm\ yyyy"/>
    <numFmt numFmtId="176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4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5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1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6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0" fillId="0" borderId="2" xfId="0" applyNumberFormat="1" applyBorder="1" applyAlignment="1">
      <alignment horizontal="center" vertical="top" wrapText="1"/>
    </xf>
    <xf numFmtId="176" fontId="0" fillId="0" borderId="2" xfId="0" applyNumberFormat="1" applyBorder="1" applyAlignment="1">
      <alignment horizontal="right" vertical="top"/>
    </xf>
    <xf numFmtId="176" fontId="0" fillId="0" borderId="2" xfId="0" applyNumberFormat="1" applyBorder="1"/>
    <xf numFmtId="176" fontId="0" fillId="0" borderId="14" xfId="0" applyNumberFormat="1" applyBorder="1" applyAlignment="1">
      <alignment horizontal="center" vertical="top"/>
    </xf>
    <xf numFmtId="176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6" fontId="14" fillId="0" borderId="0" xfId="0" applyNumberFormat="1" applyFont="1"/>
    <xf numFmtId="176" fontId="16" fillId="0" borderId="0" xfId="0" applyNumberFormat="1" applyFont="1"/>
    <xf numFmtId="176" fontId="14" fillId="0" borderId="0" xfId="0" applyNumberFormat="1" applyFont="1" applyAlignment="1">
      <alignment vertical="top"/>
    </xf>
    <xf numFmtId="176" fontId="3" fillId="12" borderId="26" xfId="1" applyNumberFormat="1" applyFont="1" applyFill="1" applyBorder="1"/>
    <xf numFmtId="176" fontId="2" fillId="0" borderId="28" xfId="0" applyNumberFormat="1" applyFont="1" applyBorder="1"/>
    <xf numFmtId="176" fontId="2" fillId="0" borderId="19" xfId="0" applyNumberFormat="1" applyFont="1" applyBorder="1"/>
    <xf numFmtId="176" fontId="14" fillId="0" borderId="0" xfId="0" applyNumberFormat="1" applyFont="1" applyProtection="1">
      <protection locked="0"/>
    </xf>
    <xf numFmtId="176" fontId="3" fillId="12" borderId="27" xfId="1" applyNumberFormat="1" applyFont="1" applyFill="1" applyBorder="1"/>
    <xf numFmtId="176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4" t="s">
        <v>1417</v>
      </c>
      <c r="D1" s="8" t="s">
        <v>74</v>
      </c>
    </row>
    <row r="2" spans="1:4">
      <c r="A2" s="70" t="s">
        <v>64</v>
      </c>
      <c r="B2" s="9">
        <v>1</v>
      </c>
      <c r="C2" s="9" t="s">
        <v>65</v>
      </c>
      <c r="D2" s="10" t="s">
        <v>79</v>
      </c>
    </row>
    <row r="3" spans="1:4">
      <c r="A3" s="75"/>
      <c r="B3" s="9">
        <v>2</v>
      </c>
      <c r="C3" s="9" t="s">
        <v>66</v>
      </c>
      <c r="D3" s="10" t="s">
        <v>67</v>
      </c>
    </row>
    <row r="4" spans="1:4">
      <c r="A4" s="75"/>
      <c r="B4" s="9">
        <v>3</v>
      </c>
      <c r="C4" s="9" t="s">
        <v>68</v>
      </c>
      <c r="D4" s="10" t="s">
        <v>69</v>
      </c>
    </row>
    <row r="5" spans="1:4">
      <c r="A5" s="75"/>
      <c r="B5" s="71">
        <v>4</v>
      </c>
      <c r="C5" s="9" t="s">
        <v>70</v>
      </c>
      <c r="D5" s="10" t="s">
        <v>75</v>
      </c>
    </row>
    <row r="6" spans="1:4">
      <c r="A6" s="75"/>
      <c r="B6" s="76"/>
      <c r="C6" s="77"/>
      <c r="D6" s="58" t="s">
        <v>909</v>
      </c>
    </row>
    <row r="7" spans="1:4">
      <c r="A7" s="75"/>
      <c r="B7" s="76"/>
      <c r="C7" s="77"/>
      <c r="D7" s="57" t="s">
        <v>1384</v>
      </c>
    </row>
    <row r="8" spans="1:4">
      <c r="A8" s="75"/>
      <c r="B8" s="76"/>
      <c r="C8" s="77"/>
      <c r="D8" s="59" t="s">
        <v>1385</v>
      </c>
    </row>
    <row r="9" spans="1:4">
      <c r="A9" s="75"/>
      <c r="B9" s="76"/>
      <c r="C9" s="77"/>
      <c r="D9" s="10" t="s">
        <v>76</v>
      </c>
    </row>
    <row r="10" spans="1:4">
      <c r="A10" s="75"/>
      <c r="B10" s="76"/>
      <c r="C10" s="77"/>
      <c r="D10" s="58" t="s">
        <v>77</v>
      </c>
    </row>
    <row r="11" spans="1:4">
      <c r="A11" s="75"/>
      <c r="B11" s="76"/>
      <c r="C11" s="77"/>
      <c r="D11" s="57" t="s">
        <v>78</v>
      </c>
    </row>
    <row r="12" spans="1:4">
      <c r="A12" s="75"/>
      <c r="B12" s="76"/>
      <c r="C12" s="77"/>
      <c r="D12" s="10" t="s">
        <v>71</v>
      </c>
    </row>
    <row r="13" spans="1:4">
      <c r="A13" s="75"/>
      <c r="B13" s="76"/>
      <c r="C13" s="77"/>
      <c r="D13" s="10" t="s">
        <v>1377</v>
      </c>
    </row>
    <row r="14" spans="1:4">
      <c r="A14" s="75"/>
      <c r="B14" s="76"/>
      <c r="C14" s="77"/>
      <c r="D14" s="10" t="s">
        <v>1378</v>
      </c>
    </row>
    <row r="15" spans="1:4">
      <c r="A15" s="72" t="s">
        <v>905</v>
      </c>
      <c r="B15" s="9">
        <v>5</v>
      </c>
      <c r="C15" s="9" t="s">
        <v>72</v>
      </c>
      <c r="D15" s="10" t="s">
        <v>73</v>
      </c>
    </row>
    <row r="16" spans="1:4">
      <c r="A16" s="78"/>
      <c r="B16" s="9">
        <v>6</v>
      </c>
      <c r="C16" s="77"/>
      <c r="D16" s="9" t="s">
        <v>904</v>
      </c>
    </row>
    <row r="17" spans="1:4" ht="28.5">
      <c r="A17" s="79"/>
      <c r="B17" s="9">
        <v>7</v>
      </c>
      <c r="C17" s="77"/>
      <c r="D17" s="60" t="s">
        <v>1403</v>
      </c>
    </row>
    <row r="19" spans="1:4" ht="16.899999999999999" customHeight="1">
      <c r="A19" s="12" t="s">
        <v>885</v>
      </c>
      <c r="B19" s="30">
        <v>2025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14244</v>
      </c>
      <c r="C21" s="27"/>
    </row>
    <row r="22" spans="1:4" ht="15">
      <c r="A22" s="13" t="s">
        <v>886</v>
      </c>
      <c r="B22" s="30" t="s">
        <v>1416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מקפת משלימה משולב סחיר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512237744_p14244_Yield425.xlsx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2"/>
      <c r="B1" s="3" t="s">
        <v>0</v>
      </c>
    </row>
    <row r="2" spans="1:31" ht="18.75">
      <c r="A2" s="122"/>
      <c r="B2" s="6" t="s">
        <v>821</v>
      </c>
      <c r="C2" s="25">
        <f>הנחיות!B21</f>
        <v>14244</v>
      </c>
      <c r="D2" s="73"/>
      <c r="E2" s="73"/>
    </row>
    <row r="3" spans="1:31" ht="18.75">
      <c r="A3" s="122"/>
      <c r="B3" s="7" t="s">
        <v>28</v>
      </c>
      <c r="C3" s="24" t="str">
        <f ca="1">הנחיות!B23</f>
        <v>מגדל מקפת משלימה משולב סחיר</v>
      </c>
      <c r="D3" s="24"/>
    </row>
    <row r="4" spans="1:31" ht="18.75">
      <c r="A4" s="122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2"/>
      <c r="B5" s="7" t="s">
        <v>29</v>
      </c>
      <c r="C5" s="25">
        <f>הנחיות!B19</f>
        <v>2025</v>
      </c>
      <c r="D5" s="7" t="s">
        <v>903</v>
      </c>
      <c r="E5" s="25" t="str">
        <f>הנחיות!B22</f>
        <v>31.12.25</v>
      </c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4">
        <f>W5+1</f>
        <v>1</v>
      </c>
      <c r="Z5" s="4"/>
    </row>
    <row r="6" spans="1:31" s="20" customFormat="1" ht="47.45" customHeight="1">
      <c r="A6" s="124"/>
      <c r="B6" s="116" t="s">
        <v>26</v>
      </c>
      <c r="C6" s="117" t="s">
        <v>30</v>
      </c>
      <c r="D6" s="118" t="s">
        <v>31</v>
      </c>
      <c r="E6" s="119" t="s">
        <v>32</v>
      </c>
      <c r="F6" s="120" t="s">
        <v>33</v>
      </c>
      <c r="G6" s="117" t="s">
        <v>34</v>
      </c>
      <c r="H6" s="118" t="s">
        <v>35</v>
      </c>
      <c r="I6" s="119" t="s">
        <v>36</v>
      </c>
      <c r="J6" s="120" t="s">
        <v>37</v>
      </c>
      <c r="K6" s="117" t="s">
        <v>38</v>
      </c>
      <c r="L6" s="118" t="s">
        <v>39</v>
      </c>
      <c r="M6" s="119" t="s">
        <v>40</v>
      </c>
      <c r="N6" s="120" t="s">
        <v>41</v>
      </c>
      <c r="O6" s="117" t="s">
        <v>42</v>
      </c>
      <c r="P6" s="118" t="s">
        <v>43</v>
      </c>
      <c r="Q6" s="119" t="s">
        <v>44</v>
      </c>
      <c r="R6" s="120" t="s">
        <v>45</v>
      </c>
      <c r="S6" s="117" t="s">
        <v>46</v>
      </c>
      <c r="T6" s="118" t="s">
        <v>47</v>
      </c>
      <c r="U6" s="119" t="s">
        <v>48</v>
      </c>
      <c r="V6" s="120" t="s">
        <v>49</v>
      </c>
      <c r="W6" s="117" t="s">
        <v>50</v>
      </c>
      <c r="X6" s="118" t="s">
        <v>51</v>
      </c>
      <c r="Y6" s="119" t="s">
        <v>52</v>
      </c>
      <c r="Z6" s="121" t="s">
        <v>53</v>
      </c>
      <c r="AE6" s="21"/>
    </row>
    <row r="7" spans="1:31">
      <c r="A7" s="122"/>
      <c r="B7" s="86" t="s">
        <v>1</v>
      </c>
      <c r="C7" s="87">
        <v>-8.1322944294622099E-4</v>
      </c>
      <c r="D7" s="88">
        <v>0.25426349262720954</v>
      </c>
      <c r="E7" s="89">
        <v>7.2329005807947029E-4</v>
      </c>
      <c r="F7" s="90">
        <v>0.24134031163253078</v>
      </c>
      <c r="G7" s="87">
        <v>3.8284867090801777E-3</v>
      </c>
      <c r="H7" s="88">
        <v>0.24375398021027303</v>
      </c>
      <c r="I7" s="89">
        <v>-4.0965221879120167E-4</v>
      </c>
      <c r="J7" s="90">
        <v>0.25904936262272044</v>
      </c>
      <c r="K7" s="87">
        <v>-1.2793590054137216E-3</v>
      </c>
      <c r="L7" s="88">
        <v>0.24412314403082597</v>
      </c>
      <c r="M7" s="89">
        <v>-1.4942383664440554E-3</v>
      </c>
      <c r="N7" s="90">
        <v>0.23910368987126407</v>
      </c>
      <c r="O7" s="87">
        <v>9.9120265904126888E-4</v>
      </c>
      <c r="P7" s="88">
        <v>0.22181515948850428</v>
      </c>
      <c r="Q7" s="89">
        <v>-2.977758866368558E-4</v>
      </c>
      <c r="R7" s="90">
        <v>0.22386455573128811</v>
      </c>
      <c r="S7" s="87">
        <v>2.4914200998315568E-4</v>
      </c>
      <c r="T7" s="88">
        <v>0.22594076684764169</v>
      </c>
      <c r="U7" s="89">
        <v>-4.8489613910719206E-5</v>
      </c>
      <c r="V7" s="90">
        <v>0.22152065731881551</v>
      </c>
      <c r="W7" s="87">
        <v>9.4741390986469447E-4</v>
      </c>
      <c r="X7" s="88">
        <v>0.21105279428164817</v>
      </c>
      <c r="Y7" s="89">
        <v>-3.1994766089845283E-4</v>
      </c>
      <c r="Z7" s="91">
        <v>0.20942828115468087</v>
      </c>
      <c r="AE7" s="2"/>
    </row>
    <row r="8" spans="1:31" ht="30">
      <c r="A8" s="122"/>
      <c r="B8" s="92" t="s">
        <v>908</v>
      </c>
      <c r="C8" s="87">
        <v>3.2447465716069467E-4</v>
      </c>
      <c r="D8" s="88">
        <v>0.11250767640821346</v>
      </c>
      <c r="E8" s="89">
        <v>9.2858113534588342E-4</v>
      </c>
      <c r="F8" s="90">
        <v>0.11368435890431372</v>
      </c>
      <c r="G8" s="87">
        <v>-8.512744493414582E-4</v>
      </c>
      <c r="H8" s="88">
        <v>0.11427681266268844</v>
      </c>
      <c r="I8" s="89">
        <v>1.6590091483444074E-3</v>
      </c>
      <c r="J8" s="90">
        <v>0.11445572212246789</v>
      </c>
      <c r="K8" s="87">
        <v>-5.6209410244020971E-4</v>
      </c>
      <c r="L8" s="88">
        <v>0.1131620851542305</v>
      </c>
      <c r="M8" s="89">
        <v>2.2880955641565301E-3</v>
      </c>
      <c r="N8" s="90">
        <v>0.11466678147303901</v>
      </c>
      <c r="O8" s="87">
        <v>1.7449793982780126E-5</v>
      </c>
      <c r="P8" s="88">
        <v>0.11801619704162168</v>
      </c>
      <c r="Q8" s="89">
        <v>9.0616874476732827E-4</v>
      </c>
      <c r="R8" s="90">
        <v>0.11762624303195453</v>
      </c>
      <c r="S8" s="87">
        <v>1.0468311912104893E-3</v>
      </c>
      <c r="T8" s="88">
        <v>0.11692803366031708</v>
      </c>
      <c r="U8" s="89">
        <v>1.4216580145873057E-3</v>
      </c>
      <c r="V8" s="90">
        <v>0.11801345931028097</v>
      </c>
      <c r="W8" s="87">
        <v>1.9765909271286474E-4</v>
      </c>
      <c r="X8" s="88">
        <v>0.11905499096731241</v>
      </c>
      <c r="Y8" s="89">
        <v>1.0157396988155483E-4</v>
      </c>
      <c r="Z8" s="91">
        <v>0.11809599022890291</v>
      </c>
      <c r="AE8" s="2"/>
    </row>
    <row r="9" spans="1:31">
      <c r="A9" s="122"/>
      <c r="B9" s="93" t="s">
        <v>2</v>
      </c>
      <c r="C9" s="87">
        <v>0</v>
      </c>
      <c r="D9" s="88">
        <v>0</v>
      </c>
      <c r="E9" s="89">
        <v>0</v>
      </c>
      <c r="F9" s="90">
        <v>0</v>
      </c>
      <c r="G9" s="87">
        <v>0</v>
      </c>
      <c r="H9" s="88">
        <v>0</v>
      </c>
      <c r="I9" s="89">
        <v>0</v>
      </c>
      <c r="J9" s="90">
        <v>0</v>
      </c>
      <c r="K9" s="87">
        <v>0</v>
      </c>
      <c r="L9" s="88">
        <v>0</v>
      </c>
      <c r="M9" s="89">
        <v>0</v>
      </c>
      <c r="N9" s="90">
        <v>0</v>
      </c>
      <c r="O9" s="87">
        <v>0</v>
      </c>
      <c r="P9" s="88">
        <v>0</v>
      </c>
      <c r="Q9" s="89">
        <v>0</v>
      </c>
      <c r="R9" s="90">
        <v>0</v>
      </c>
      <c r="S9" s="87">
        <v>0</v>
      </c>
      <c r="T9" s="88">
        <v>0</v>
      </c>
      <c r="U9" s="89">
        <v>0</v>
      </c>
      <c r="V9" s="90">
        <v>0</v>
      </c>
      <c r="W9" s="87">
        <v>0</v>
      </c>
      <c r="X9" s="88">
        <v>0</v>
      </c>
      <c r="Y9" s="89">
        <v>0</v>
      </c>
      <c r="Z9" s="91">
        <v>0</v>
      </c>
      <c r="AE9" s="2"/>
    </row>
    <row r="10" spans="1:31">
      <c r="A10" s="122"/>
      <c r="B10" s="93" t="s">
        <v>3</v>
      </c>
      <c r="C10" s="87">
        <v>0</v>
      </c>
      <c r="D10" s="88">
        <v>0</v>
      </c>
      <c r="E10" s="89">
        <v>0</v>
      </c>
      <c r="F10" s="90">
        <v>0</v>
      </c>
      <c r="G10" s="87">
        <v>0</v>
      </c>
      <c r="H10" s="88">
        <v>0</v>
      </c>
      <c r="I10" s="89">
        <v>0</v>
      </c>
      <c r="J10" s="90">
        <v>0</v>
      </c>
      <c r="K10" s="87">
        <v>0</v>
      </c>
      <c r="L10" s="88">
        <v>0</v>
      </c>
      <c r="M10" s="89">
        <v>0</v>
      </c>
      <c r="N10" s="90">
        <v>0</v>
      </c>
      <c r="O10" s="87">
        <v>0</v>
      </c>
      <c r="P10" s="88">
        <v>0</v>
      </c>
      <c r="Q10" s="89">
        <v>0</v>
      </c>
      <c r="R10" s="90">
        <v>0</v>
      </c>
      <c r="S10" s="87">
        <v>0</v>
      </c>
      <c r="T10" s="88">
        <v>0</v>
      </c>
      <c r="U10" s="89">
        <v>0</v>
      </c>
      <c r="V10" s="90">
        <v>0</v>
      </c>
      <c r="W10" s="87">
        <v>0</v>
      </c>
      <c r="X10" s="88">
        <v>0</v>
      </c>
      <c r="Y10" s="89">
        <v>0</v>
      </c>
      <c r="Z10" s="91">
        <v>0</v>
      </c>
      <c r="AE10" s="2"/>
    </row>
    <row r="11" spans="1:31">
      <c r="A11" s="122"/>
      <c r="B11" s="93" t="s">
        <v>4</v>
      </c>
      <c r="C11" s="87">
        <v>-1.5998218993805685E-4</v>
      </c>
      <c r="D11" s="88">
        <v>0.25372808208830122</v>
      </c>
      <c r="E11" s="89">
        <v>2.6751953766393612E-3</v>
      </c>
      <c r="F11" s="90">
        <v>0.25734799127374897</v>
      </c>
      <c r="G11" s="87">
        <v>4.7047023234273073E-4</v>
      </c>
      <c r="H11" s="88">
        <v>0.26012434727384348</v>
      </c>
      <c r="I11" s="89">
        <v>2.3071212120378565E-3</v>
      </c>
      <c r="J11" s="90">
        <v>0.26373898164854281</v>
      </c>
      <c r="K11" s="87">
        <v>5.3612982609822324E-4</v>
      </c>
      <c r="L11" s="88">
        <v>0.26671557794950623</v>
      </c>
      <c r="M11" s="89">
        <v>3.5017572140337767E-3</v>
      </c>
      <c r="N11" s="90">
        <v>0.26752582771520755</v>
      </c>
      <c r="O11" s="87">
        <v>9.9190267016398639E-4</v>
      </c>
      <c r="P11" s="88">
        <v>0.2651412674285496</v>
      </c>
      <c r="Q11" s="89">
        <v>1.5611075432789077E-3</v>
      </c>
      <c r="R11" s="90">
        <v>0.26890782006175001</v>
      </c>
      <c r="S11" s="87">
        <v>2.4713301603472597E-3</v>
      </c>
      <c r="T11" s="88">
        <v>0.2713656786510848</v>
      </c>
      <c r="U11" s="89">
        <v>1.1370149642530004E-3</v>
      </c>
      <c r="V11" s="90">
        <v>0.27314247944007081</v>
      </c>
      <c r="W11" s="87">
        <v>9.945923391504333E-4</v>
      </c>
      <c r="X11" s="88">
        <v>0.2762683675655267</v>
      </c>
      <c r="Y11" s="89">
        <v>8.702718828613173E-4</v>
      </c>
      <c r="Z11" s="91">
        <v>0.27398541155083189</v>
      </c>
      <c r="AE11" s="2"/>
    </row>
    <row r="12" spans="1:31">
      <c r="A12" s="122"/>
      <c r="B12" s="93" t="s">
        <v>5</v>
      </c>
      <c r="C12" s="87">
        <v>0</v>
      </c>
      <c r="D12" s="88">
        <v>0</v>
      </c>
      <c r="E12" s="89">
        <v>0</v>
      </c>
      <c r="F12" s="90">
        <v>0</v>
      </c>
      <c r="G12" s="87">
        <v>0</v>
      </c>
      <c r="H12" s="88">
        <v>0</v>
      </c>
      <c r="I12" s="89">
        <v>9.5499182968858894E-7</v>
      </c>
      <c r="J12" s="90">
        <v>0</v>
      </c>
      <c r="K12" s="87">
        <v>1.7771831825135039E-6</v>
      </c>
      <c r="L12" s="88">
        <v>0</v>
      </c>
      <c r="M12" s="89">
        <v>0</v>
      </c>
      <c r="N12" s="90">
        <v>0</v>
      </c>
      <c r="O12" s="87">
        <v>0</v>
      </c>
      <c r="P12" s="88">
        <v>0</v>
      </c>
      <c r="Q12" s="89">
        <v>0</v>
      </c>
      <c r="R12" s="90">
        <v>0</v>
      </c>
      <c r="S12" s="87">
        <v>0</v>
      </c>
      <c r="T12" s="88">
        <v>0</v>
      </c>
      <c r="U12" s="89">
        <v>0</v>
      </c>
      <c r="V12" s="90">
        <v>0</v>
      </c>
      <c r="W12" s="87">
        <v>0</v>
      </c>
      <c r="X12" s="88">
        <v>0</v>
      </c>
      <c r="Y12" s="89">
        <v>0</v>
      </c>
      <c r="Z12" s="91">
        <v>0</v>
      </c>
      <c r="AE12" s="2"/>
    </row>
    <row r="13" spans="1:31">
      <c r="A13" s="122"/>
      <c r="B13" s="93" t="s">
        <v>6</v>
      </c>
      <c r="C13" s="87">
        <v>2.5393383949713815E-3</v>
      </c>
      <c r="D13" s="88">
        <v>0.15450722081326307</v>
      </c>
      <c r="E13" s="89">
        <v>-9.3101974969601875E-4</v>
      </c>
      <c r="F13" s="90">
        <v>0.15999147654618182</v>
      </c>
      <c r="G13" s="87">
        <v>-7.9255598808976261E-3</v>
      </c>
      <c r="H13" s="88">
        <v>0.15766261296922127</v>
      </c>
      <c r="I13" s="89">
        <v>5.617668737778094E-3</v>
      </c>
      <c r="J13" s="90">
        <v>0.16089439730087257</v>
      </c>
      <c r="K13" s="87">
        <v>8.5589794578559662E-3</v>
      </c>
      <c r="L13" s="88">
        <v>0.16021236211649895</v>
      </c>
      <c r="M13" s="89">
        <v>1.5570391973105219E-2</v>
      </c>
      <c r="N13" s="90">
        <v>0.16471026187989779</v>
      </c>
      <c r="O13" s="87">
        <v>3.0555855814535953E-3</v>
      </c>
      <c r="P13" s="88">
        <v>0.17872029416348617</v>
      </c>
      <c r="Q13" s="89">
        <v>1.1538410159019578E-3</v>
      </c>
      <c r="R13" s="90">
        <v>0.17588056598935825</v>
      </c>
      <c r="S13" s="87">
        <v>8.6593842458486964E-3</v>
      </c>
      <c r="T13" s="88">
        <v>0.18554518976056195</v>
      </c>
      <c r="U13" s="89">
        <v>6.7445171452160989E-3</v>
      </c>
      <c r="V13" s="90">
        <v>0.19508092446341743</v>
      </c>
      <c r="W13" s="87">
        <v>5.5917714034283703E-3</v>
      </c>
      <c r="X13" s="88">
        <v>0.20012366021222339</v>
      </c>
      <c r="Y13" s="89">
        <v>7.8094167450099006E-3</v>
      </c>
      <c r="Z13" s="91">
        <v>0.20835386651759866</v>
      </c>
      <c r="AE13" s="2"/>
    </row>
    <row r="14" spans="1:31">
      <c r="A14" s="122"/>
      <c r="B14" s="93" t="s">
        <v>62</v>
      </c>
      <c r="C14" s="87">
        <v>4.0801753496331169E-3</v>
      </c>
      <c r="D14" s="88">
        <v>0.21184893578791902</v>
      </c>
      <c r="E14" s="89">
        <v>1.6485826379878633E-3</v>
      </c>
      <c r="F14" s="90">
        <v>0.21205320681401826</v>
      </c>
      <c r="G14" s="87">
        <v>1.3870252522851991E-3</v>
      </c>
      <c r="H14" s="88">
        <v>0.21740979951153602</v>
      </c>
      <c r="I14" s="89">
        <v>-1.1044409292179369E-3</v>
      </c>
      <c r="J14" s="90">
        <v>0.2014788959497241</v>
      </c>
      <c r="K14" s="87">
        <v>3.9983081487098664E-3</v>
      </c>
      <c r="L14" s="88">
        <v>0.19619265964321081</v>
      </c>
      <c r="M14" s="89">
        <v>2.8836117761666526E-3</v>
      </c>
      <c r="N14" s="90">
        <v>0.1936682912358566</v>
      </c>
      <c r="O14" s="87">
        <v>1.8290001217359459E-3</v>
      </c>
      <c r="P14" s="88">
        <v>0.19100913205390038</v>
      </c>
      <c r="Q14" s="89">
        <v>1.5861683362528734E-3</v>
      </c>
      <c r="R14" s="90">
        <v>0.18851951581284276</v>
      </c>
      <c r="S14" s="87">
        <v>3.9849251896676291E-3</v>
      </c>
      <c r="T14" s="88">
        <v>0.1793133454753609</v>
      </c>
      <c r="U14" s="89">
        <v>9.1593248540274951E-5</v>
      </c>
      <c r="V14" s="90">
        <v>0.17281174227337229</v>
      </c>
      <c r="W14" s="87">
        <v>1.863597801348722E-3</v>
      </c>
      <c r="X14" s="88">
        <v>0.17383458831208751</v>
      </c>
      <c r="Y14" s="89">
        <v>2.0473971241634698E-4</v>
      </c>
      <c r="Z14" s="91">
        <v>0.17286190829876441</v>
      </c>
      <c r="AE14" s="2"/>
    </row>
    <row r="15" spans="1:31">
      <c r="A15" s="122"/>
      <c r="B15" s="93" t="s">
        <v>7</v>
      </c>
      <c r="C15" s="87">
        <v>-4.1690250442674492E-4</v>
      </c>
      <c r="D15" s="88">
        <v>1.116318698286963E-2</v>
      </c>
      <c r="E15" s="89">
        <v>-1.3616885797750571E-4</v>
      </c>
      <c r="F15" s="90">
        <v>1.1189045604471055E-2</v>
      </c>
      <c r="G15" s="87">
        <v>7.0444677744366377E-4</v>
      </c>
      <c r="H15" s="88">
        <v>1.1288903415432048E-2</v>
      </c>
      <c r="I15" s="89">
        <v>-3.473409852185966E-5</v>
      </c>
      <c r="J15" s="90">
        <v>1.1255142565771165E-2</v>
      </c>
      <c r="K15" s="87">
        <v>-8.4582196898953167E-5</v>
      </c>
      <c r="L15" s="88">
        <v>1.1157276062378865E-2</v>
      </c>
      <c r="M15" s="89">
        <v>-1.4191317854403795E-4</v>
      </c>
      <c r="N15" s="90">
        <v>1.0916603945274609E-2</v>
      </c>
      <c r="O15" s="87">
        <v>-9.1133522789928193E-5</v>
      </c>
      <c r="P15" s="88">
        <v>9.5323444319352201E-3</v>
      </c>
      <c r="Q15" s="89">
        <v>-5.6285814457698801E-5</v>
      </c>
      <c r="R15" s="90">
        <v>9.3703326468685521E-3</v>
      </c>
      <c r="S15" s="87">
        <v>-2.6345815648255313E-5</v>
      </c>
      <c r="T15" s="88">
        <v>9.2950085581255046E-3</v>
      </c>
      <c r="U15" s="89">
        <v>-5.7194178361558482E-5</v>
      </c>
      <c r="V15" s="90">
        <v>9.012843100174639E-3</v>
      </c>
      <c r="W15" s="87">
        <v>5.2796652066442685E-5</v>
      </c>
      <c r="X15" s="88">
        <v>8.0308165891690327E-3</v>
      </c>
      <c r="Y15" s="89">
        <v>-1.0946594585237893E-4</v>
      </c>
      <c r="Z15" s="91">
        <v>7.6220259308619172E-3</v>
      </c>
      <c r="AE15" s="2"/>
    </row>
    <row r="16" spans="1:31">
      <c r="A16" s="122"/>
      <c r="B16" s="93" t="s">
        <v>8</v>
      </c>
      <c r="C16" s="87">
        <v>4.648901316079609E-6</v>
      </c>
      <c r="D16" s="88">
        <v>6.1009239081016755E-4</v>
      </c>
      <c r="E16" s="89">
        <v>2.6909853229241145E-5</v>
      </c>
      <c r="F16" s="90">
        <v>6.4484510365577115E-4</v>
      </c>
      <c r="G16" s="87">
        <v>7.920600702938262E-6</v>
      </c>
      <c r="H16" s="88">
        <v>6.680792301341315E-4</v>
      </c>
      <c r="I16" s="89">
        <v>-2.5675870664355476E-5</v>
      </c>
      <c r="J16" s="90">
        <v>6.7520473724550216E-4</v>
      </c>
      <c r="K16" s="87">
        <v>-5.2600782955131245E-6</v>
      </c>
      <c r="L16" s="88">
        <v>8.5155995529023862E-4</v>
      </c>
      <c r="M16" s="89">
        <v>2.2275917976987701E-5</v>
      </c>
      <c r="N16" s="90">
        <v>9.2973657865289114E-4</v>
      </c>
      <c r="O16" s="87">
        <v>4.5416966673955991E-5</v>
      </c>
      <c r="P16" s="88">
        <v>9.7192101061395865E-4</v>
      </c>
      <c r="Q16" s="89">
        <v>1.1953108236083715E-5</v>
      </c>
      <c r="R16" s="90">
        <v>9.988111230244789E-4</v>
      </c>
      <c r="S16" s="87">
        <v>-6.594525308872081E-7</v>
      </c>
      <c r="T16" s="88">
        <v>1.0064342628902758E-3</v>
      </c>
      <c r="U16" s="89">
        <v>1.9158367517752944E-5</v>
      </c>
      <c r="V16" s="90">
        <v>9.9678992736851844E-4</v>
      </c>
      <c r="W16" s="87">
        <v>1.9443826689097054E-5</v>
      </c>
      <c r="X16" s="88">
        <v>1.0057343349352326E-3</v>
      </c>
      <c r="Y16" s="89">
        <v>-1.3525884307563389E-5</v>
      </c>
      <c r="Z16" s="91">
        <v>1.1385165882451785E-3</v>
      </c>
      <c r="AE16" s="2"/>
    </row>
    <row r="17" spans="1:31">
      <c r="A17" s="122"/>
      <c r="B17" s="93" t="s">
        <v>9</v>
      </c>
      <c r="C17" s="87">
        <v>4.783704693279213E-6</v>
      </c>
      <c r="D17" s="88">
        <v>1.4711105333708882E-4</v>
      </c>
      <c r="E17" s="89">
        <v>5.1136876998544498E-6</v>
      </c>
      <c r="F17" s="90">
        <v>1.7391828936237522E-4</v>
      </c>
      <c r="G17" s="87">
        <v>-4.0190273130469088E-5</v>
      </c>
      <c r="H17" s="88">
        <v>1.4416677016750577E-4</v>
      </c>
      <c r="I17" s="89">
        <v>6.9301589178711557E-6</v>
      </c>
      <c r="J17" s="90">
        <v>8.6569398099036989E-5</v>
      </c>
      <c r="K17" s="87">
        <v>1.3243395139174698E-5</v>
      </c>
      <c r="L17" s="88">
        <v>9.4472269274929136E-5</v>
      </c>
      <c r="M17" s="89">
        <v>3.8494369556438065E-5</v>
      </c>
      <c r="N17" s="90">
        <v>9.9357763764805447E-5</v>
      </c>
      <c r="O17" s="87">
        <v>8.2907492383205945E-6</v>
      </c>
      <c r="P17" s="88">
        <v>1.7084711005834128E-4</v>
      </c>
      <c r="Q17" s="89">
        <v>-4.3650978888609487E-6</v>
      </c>
      <c r="R17" s="90">
        <v>1.6208360785043959E-4</v>
      </c>
      <c r="S17" s="87">
        <v>2.9271895886648925E-6</v>
      </c>
      <c r="T17" s="88">
        <v>1.7355229502636886E-4</v>
      </c>
      <c r="U17" s="89">
        <v>4.4109520623795391E-5</v>
      </c>
      <c r="V17" s="90">
        <v>2.1359537894357592E-4</v>
      </c>
      <c r="W17" s="87">
        <v>1.5963633560355986E-5</v>
      </c>
      <c r="X17" s="88">
        <v>1.8716707255039206E-4</v>
      </c>
      <c r="Y17" s="89">
        <v>1.8595881477278675E-5</v>
      </c>
      <c r="Z17" s="91">
        <v>1.9280158943093146E-4</v>
      </c>
      <c r="AE17" s="2"/>
    </row>
    <row r="18" spans="1:31">
      <c r="A18" s="122"/>
      <c r="B18" s="93" t="s">
        <v>10</v>
      </c>
      <c r="C18" s="87">
        <v>6.7053909375603257E-3</v>
      </c>
      <c r="D18" s="88">
        <v>8.1121424014535108E-4</v>
      </c>
      <c r="E18" s="89">
        <v>-3.6140171007622819E-3</v>
      </c>
      <c r="F18" s="90">
        <v>3.2734536272451876E-3</v>
      </c>
      <c r="G18" s="87">
        <v>-1.5120989506657388E-2</v>
      </c>
      <c r="H18" s="88">
        <v>-5.6378770433683622E-3</v>
      </c>
      <c r="I18" s="89">
        <v>1.3792928854292994E-3</v>
      </c>
      <c r="J18" s="90">
        <v>-1.191314425151819E-2</v>
      </c>
      <c r="K18" s="87">
        <v>1.3244891033088737E-2</v>
      </c>
      <c r="L18" s="88">
        <v>7.0799735105074278E-3</v>
      </c>
      <c r="M18" s="89">
        <v>1.3739886712214376E-2</v>
      </c>
      <c r="N18" s="90">
        <v>7.995910858576278E-3</v>
      </c>
      <c r="O18" s="87">
        <v>3.6330786544729399E-3</v>
      </c>
      <c r="P18" s="88">
        <v>1.4412578440793126E-2</v>
      </c>
      <c r="Q18" s="89">
        <v>5.4398104423876359E-3</v>
      </c>
      <c r="R18" s="90">
        <v>1.4815669221689374E-2</v>
      </c>
      <c r="S18" s="87">
        <v>9.0881874421668545E-3</v>
      </c>
      <c r="T18" s="88">
        <v>1.0484419951476734E-2</v>
      </c>
      <c r="U18" s="89">
        <v>7.2983616101415048E-3</v>
      </c>
      <c r="V18" s="90">
        <v>9.0286055193767138E-3</v>
      </c>
      <c r="W18" s="87">
        <v>-1.1110670614119715E-3</v>
      </c>
      <c r="X18" s="88">
        <v>1.0231940987935071E-2</v>
      </c>
      <c r="Y18" s="89">
        <v>1.237205052549178E-3</v>
      </c>
      <c r="Z18" s="91">
        <v>8.0803113797998389E-3</v>
      </c>
      <c r="AE18" s="2"/>
    </row>
    <row r="19" spans="1:31">
      <c r="A19" s="122"/>
      <c r="B19" s="93" t="s">
        <v>11</v>
      </c>
      <c r="C19" s="87">
        <v>1.6361120319122511E-4</v>
      </c>
      <c r="D19" s="88">
        <v>3.7264236372157935E-4</v>
      </c>
      <c r="E19" s="89">
        <v>-3.469714942457037E-5</v>
      </c>
      <c r="F19" s="90">
        <v>2.6042520058677397E-4</v>
      </c>
      <c r="G19" s="87">
        <v>1.3342068048458584E-4</v>
      </c>
      <c r="H19" s="88">
        <v>2.702416509997881E-4</v>
      </c>
      <c r="I19" s="89">
        <v>2.1524815285813668E-4</v>
      </c>
      <c r="J19" s="90">
        <v>2.7886790607457921E-4</v>
      </c>
      <c r="K19" s="87">
        <v>4.0861674897391332E-4</v>
      </c>
      <c r="L19" s="88">
        <v>4.1088930827632217E-4</v>
      </c>
      <c r="M19" s="89">
        <v>3.9269110777811854E-4</v>
      </c>
      <c r="N19" s="90">
        <v>3.8353867846628738E-4</v>
      </c>
      <c r="O19" s="87">
        <v>-1.2026982397286471E-4</v>
      </c>
      <c r="P19" s="88">
        <v>2.1025883053716981E-4</v>
      </c>
      <c r="Q19" s="89">
        <v>3.9948338158629907E-5</v>
      </c>
      <c r="R19" s="90">
        <v>-1.4559722662656977E-4</v>
      </c>
      <c r="S19" s="87">
        <v>-7.9135850633607505E-5</v>
      </c>
      <c r="T19" s="88">
        <v>-5.2429462485254543E-5</v>
      </c>
      <c r="U19" s="89">
        <v>-1.4685398607457189E-5</v>
      </c>
      <c r="V19" s="90">
        <v>1.7890326817933009E-4</v>
      </c>
      <c r="W19" s="87">
        <v>3.360558225909889E-4</v>
      </c>
      <c r="X19" s="88">
        <v>2.09939676612173E-4</v>
      </c>
      <c r="Y19" s="89">
        <v>2.3681368628161035E-6</v>
      </c>
      <c r="Z19" s="91">
        <v>2.4088676088347244E-4</v>
      </c>
    </row>
    <row r="20" spans="1:31">
      <c r="A20" s="122"/>
      <c r="B20" s="93" t="s">
        <v>12</v>
      </c>
      <c r="C20" s="87">
        <v>0</v>
      </c>
      <c r="D20" s="88">
        <v>0</v>
      </c>
      <c r="E20" s="89">
        <v>0</v>
      </c>
      <c r="F20" s="90">
        <v>0</v>
      </c>
      <c r="G20" s="87">
        <v>0</v>
      </c>
      <c r="H20" s="88">
        <v>0</v>
      </c>
      <c r="I20" s="89">
        <v>0</v>
      </c>
      <c r="J20" s="90">
        <v>0</v>
      </c>
      <c r="K20" s="87">
        <v>0</v>
      </c>
      <c r="L20" s="88">
        <v>0</v>
      </c>
      <c r="M20" s="89">
        <v>0</v>
      </c>
      <c r="N20" s="90">
        <v>0</v>
      </c>
      <c r="O20" s="87">
        <v>0</v>
      </c>
      <c r="P20" s="88">
        <v>0</v>
      </c>
      <c r="Q20" s="89">
        <v>0</v>
      </c>
      <c r="R20" s="90">
        <v>0</v>
      </c>
      <c r="S20" s="87">
        <v>0</v>
      </c>
      <c r="T20" s="88">
        <v>0</v>
      </c>
      <c r="U20" s="89">
        <v>0</v>
      </c>
      <c r="V20" s="90">
        <v>0</v>
      </c>
      <c r="W20" s="87">
        <v>0</v>
      </c>
      <c r="X20" s="88">
        <v>0</v>
      </c>
      <c r="Y20" s="89">
        <v>0</v>
      </c>
      <c r="Z20" s="91">
        <v>0</v>
      </c>
    </row>
    <row r="21" spans="1:31">
      <c r="A21" s="122"/>
      <c r="B21" s="93" t="s">
        <v>13</v>
      </c>
      <c r="C21" s="87">
        <v>0</v>
      </c>
      <c r="D21" s="88">
        <v>0</v>
      </c>
      <c r="E21" s="89">
        <v>0</v>
      </c>
      <c r="F21" s="90">
        <v>0</v>
      </c>
      <c r="G21" s="87">
        <v>0</v>
      </c>
      <c r="H21" s="88">
        <v>0</v>
      </c>
      <c r="I21" s="89">
        <v>0</v>
      </c>
      <c r="J21" s="90">
        <v>0</v>
      </c>
      <c r="K21" s="87">
        <v>0</v>
      </c>
      <c r="L21" s="88">
        <v>0</v>
      </c>
      <c r="M21" s="89">
        <v>0</v>
      </c>
      <c r="N21" s="90">
        <v>0</v>
      </c>
      <c r="O21" s="87">
        <v>0</v>
      </c>
      <c r="P21" s="88">
        <v>0</v>
      </c>
      <c r="Q21" s="89">
        <v>0</v>
      </c>
      <c r="R21" s="90">
        <v>0</v>
      </c>
      <c r="S21" s="87">
        <v>0</v>
      </c>
      <c r="T21" s="88">
        <v>0</v>
      </c>
      <c r="U21" s="89">
        <v>0</v>
      </c>
      <c r="V21" s="90">
        <v>0</v>
      </c>
      <c r="W21" s="87">
        <v>0</v>
      </c>
      <c r="X21" s="88">
        <v>0</v>
      </c>
      <c r="Y21" s="89">
        <v>0</v>
      </c>
      <c r="Z21" s="91">
        <v>0</v>
      </c>
    </row>
    <row r="22" spans="1:31">
      <c r="A22" s="122"/>
      <c r="B22" s="93" t="s">
        <v>14</v>
      </c>
      <c r="C22" s="87">
        <v>0</v>
      </c>
      <c r="D22" s="88">
        <v>0</v>
      </c>
      <c r="E22" s="89">
        <v>0</v>
      </c>
      <c r="F22" s="90">
        <v>0</v>
      </c>
      <c r="G22" s="87">
        <v>0</v>
      </c>
      <c r="H22" s="88">
        <v>0</v>
      </c>
      <c r="I22" s="89">
        <v>0</v>
      </c>
      <c r="J22" s="90">
        <v>0</v>
      </c>
      <c r="K22" s="87">
        <v>0</v>
      </c>
      <c r="L22" s="88">
        <v>0</v>
      </c>
      <c r="M22" s="89">
        <v>0</v>
      </c>
      <c r="N22" s="90">
        <v>0</v>
      </c>
      <c r="O22" s="87">
        <v>0</v>
      </c>
      <c r="P22" s="88">
        <v>0</v>
      </c>
      <c r="Q22" s="89">
        <v>0</v>
      </c>
      <c r="R22" s="90">
        <v>0</v>
      </c>
      <c r="S22" s="87">
        <v>0</v>
      </c>
      <c r="T22" s="88">
        <v>0</v>
      </c>
      <c r="U22" s="89">
        <v>0</v>
      </c>
      <c r="V22" s="90">
        <v>0</v>
      </c>
      <c r="W22" s="87">
        <v>0</v>
      </c>
      <c r="X22" s="88">
        <v>0</v>
      </c>
      <c r="Y22" s="89">
        <v>0</v>
      </c>
      <c r="Z22" s="91">
        <v>0</v>
      </c>
    </row>
    <row r="23" spans="1:31">
      <c r="A23" s="122"/>
      <c r="B23" s="93" t="s">
        <v>15</v>
      </c>
      <c r="C23" s="87">
        <v>0</v>
      </c>
      <c r="D23" s="88">
        <v>0</v>
      </c>
      <c r="E23" s="89">
        <v>0</v>
      </c>
      <c r="F23" s="90">
        <v>0</v>
      </c>
      <c r="G23" s="87">
        <v>0</v>
      </c>
      <c r="H23" s="88">
        <v>0</v>
      </c>
      <c r="I23" s="89">
        <v>0</v>
      </c>
      <c r="J23" s="90">
        <v>0</v>
      </c>
      <c r="K23" s="87">
        <v>0</v>
      </c>
      <c r="L23" s="88">
        <v>0</v>
      </c>
      <c r="M23" s="89">
        <v>0</v>
      </c>
      <c r="N23" s="90">
        <v>0</v>
      </c>
      <c r="O23" s="87">
        <v>0</v>
      </c>
      <c r="P23" s="88">
        <v>0</v>
      </c>
      <c r="Q23" s="89">
        <v>0</v>
      </c>
      <c r="R23" s="90">
        <v>0</v>
      </c>
      <c r="S23" s="87">
        <v>0</v>
      </c>
      <c r="T23" s="88">
        <v>0</v>
      </c>
      <c r="U23" s="89">
        <v>0</v>
      </c>
      <c r="V23" s="90">
        <v>0</v>
      </c>
      <c r="W23" s="87">
        <v>0</v>
      </c>
      <c r="X23" s="88">
        <v>0</v>
      </c>
      <c r="Y23" s="89">
        <v>0</v>
      </c>
      <c r="Z23" s="91">
        <v>0</v>
      </c>
    </row>
    <row r="24" spans="1:31">
      <c r="A24" s="122"/>
      <c r="B24" s="93" t="s">
        <v>16</v>
      </c>
      <c r="C24" s="87">
        <v>0</v>
      </c>
      <c r="D24" s="88">
        <v>0</v>
      </c>
      <c r="E24" s="89">
        <v>0</v>
      </c>
      <c r="F24" s="90">
        <v>0</v>
      </c>
      <c r="G24" s="87">
        <v>0</v>
      </c>
      <c r="H24" s="88">
        <v>0</v>
      </c>
      <c r="I24" s="89">
        <v>0</v>
      </c>
      <c r="J24" s="90">
        <v>0</v>
      </c>
      <c r="K24" s="87">
        <v>0</v>
      </c>
      <c r="L24" s="88">
        <v>0</v>
      </c>
      <c r="M24" s="89">
        <v>0</v>
      </c>
      <c r="N24" s="90">
        <v>0</v>
      </c>
      <c r="O24" s="87">
        <v>0</v>
      </c>
      <c r="P24" s="88">
        <v>0</v>
      </c>
      <c r="Q24" s="89">
        <v>0</v>
      </c>
      <c r="R24" s="90">
        <v>0</v>
      </c>
      <c r="S24" s="87">
        <v>0</v>
      </c>
      <c r="T24" s="88">
        <v>0</v>
      </c>
      <c r="U24" s="89">
        <v>0</v>
      </c>
      <c r="V24" s="90">
        <v>0</v>
      </c>
      <c r="W24" s="87">
        <v>0</v>
      </c>
      <c r="X24" s="88">
        <v>0</v>
      </c>
      <c r="Y24" s="89">
        <v>0</v>
      </c>
      <c r="Z24" s="91">
        <v>0</v>
      </c>
    </row>
    <row r="25" spans="1:31">
      <c r="A25" s="122"/>
      <c r="B25" s="93" t="s">
        <v>17</v>
      </c>
      <c r="C25" s="87">
        <v>-8.5542121507916241E-7</v>
      </c>
      <c r="D25" s="88">
        <v>4.0345244209673189E-5</v>
      </c>
      <c r="E25" s="89">
        <v>1.7834887870315933E-7</v>
      </c>
      <c r="F25" s="90">
        <v>4.0967003885156678E-5</v>
      </c>
      <c r="G25" s="87">
        <v>8.3933768764757296E-7</v>
      </c>
      <c r="H25" s="88">
        <v>3.8933349072710443E-5</v>
      </c>
      <c r="I25" s="89">
        <v>0</v>
      </c>
      <c r="J25" s="90">
        <v>0</v>
      </c>
      <c r="K25" s="87">
        <v>0</v>
      </c>
      <c r="L25" s="88">
        <v>0</v>
      </c>
      <c r="M25" s="89">
        <v>0</v>
      </c>
      <c r="N25" s="90">
        <v>0</v>
      </c>
      <c r="O25" s="87">
        <v>0</v>
      </c>
      <c r="P25" s="88">
        <v>0</v>
      </c>
      <c r="Q25" s="89">
        <v>0</v>
      </c>
      <c r="R25" s="90">
        <v>0</v>
      </c>
      <c r="S25" s="87">
        <v>0</v>
      </c>
      <c r="T25" s="88">
        <v>0</v>
      </c>
      <c r="U25" s="89">
        <v>0</v>
      </c>
      <c r="V25" s="90">
        <v>0</v>
      </c>
      <c r="W25" s="87">
        <v>0</v>
      </c>
      <c r="X25" s="88">
        <v>0</v>
      </c>
      <c r="Y25" s="89">
        <v>0</v>
      </c>
      <c r="Z25" s="91">
        <v>0</v>
      </c>
    </row>
    <row r="26" spans="1:31">
      <c r="A26" s="122"/>
      <c r="B26" s="94" t="s">
        <v>18</v>
      </c>
      <c r="C26" s="95">
        <v>1.2431453590000001E-2</v>
      </c>
      <c r="D26" s="96">
        <v>0.99999999999999978</v>
      </c>
      <c r="E26" s="97">
        <v>1.2919482399999999E-3</v>
      </c>
      <c r="F26" s="98">
        <v>1</v>
      </c>
      <c r="G26" s="95">
        <v>-1.7405404520000001E-2</v>
      </c>
      <c r="H26" s="96">
        <v>1</v>
      </c>
      <c r="I26" s="97">
        <v>9.6117221699999998E-3</v>
      </c>
      <c r="J26" s="98">
        <v>0.99999999999999989</v>
      </c>
      <c r="K26" s="95">
        <v>2.4830650409999998E-2</v>
      </c>
      <c r="L26" s="96">
        <v>1</v>
      </c>
      <c r="M26" s="97">
        <v>3.6801053090000001E-2</v>
      </c>
      <c r="N26" s="98">
        <v>0.99999999999999989</v>
      </c>
      <c r="O26" s="95">
        <v>1.0360523849999999E-2</v>
      </c>
      <c r="P26" s="96">
        <v>0.99999999999999978</v>
      </c>
      <c r="Q26" s="97">
        <v>1.034057073E-2</v>
      </c>
      <c r="R26" s="98">
        <v>0.99999999999999989</v>
      </c>
      <c r="S26" s="95">
        <v>2.539658631E-2</v>
      </c>
      <c r="T26" s="96">
        <v>1</v>
      </c>
      <c r="U26" s="97">
        <v>1.663604368E-2</v>
      </c>
      <c r="V26" s="98">
        <v>0.99999999999999978</v>
      </c>
      <c r="W26" s="95">
        <v>8.9082274199999995E-3</v>
      </c>
      <c r="X26" s="96">
        <v>1.0000000000000002</v>
      </c>
      <c r="Y26" s="97">
        <v>9.8012318899999996E-3</v>
      </c>
      <c r="Z26" s="99">
        <v>1</v>
      </c>
    </row>
    <row r="27" spans="1:31">
      <c r="A27" s="122"/>
      <c r="B27" s="100" t="s">
        <v>24</v>
      </c>
      <c r="C27" s="101">
        <v>61.277220000000014</v>
      </c>
      <c r="D27" s="125"/>
      <c r="E27" s="102">
        <v>4.8083400000000074</v>
      </c>
      <c r="F27" s="125"/>
      <c r="G27" s="101">
        <v>-102.83731</v>
      </c>
      <c r="H27" s="125"/>
      <c r="I27" s="102">
        <v>39.087389999999999</v>
      </c>
      <c r="J27" s="125"/>
      <c r="K27" s="101">
        <v>155.59662</v>
      </c>
      <c r="L27" s="125"/>
      <c r="M27" s="102">
        <v>260.22669999999999</v>
      </c>
      <c r="N27" s="125"/>
      <c r="O27" s="101">
        <v>78.955090000000013</v>
      </c>
      <c r="P27" s="125"/>
      <c r="Q27" s="102">
        <v>89.084150000000022</v>
      </c>
      <c r="R27" s="125"/>
      <c r="S27" s="101">
        <v>201.80476999999999</v>
      </c>
      <c r="T27" s="125"/>
      <c r="U27" s="102">
        <v>145.80020000000005</v>
      </c>
      <c r="V27" s="125"/>
      <c r="W27" s="101">
        <v>90.022050000000021</v>
      </c>
      <c r="X27" s="125"/>
      <c r="Y27" s="102">
        <v>103.45737000000001</v>
      </c>
      <c r="Z27" s="103"/>
    </row>
    <row r="28" spans="1:31">
      <c r="A28" s="122"/>
      <c r="B28" s="126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04"/>
    </row>
    <row r="29" spans="1:31">
      <c r="A29" s="122"/>
      <c r="B29" s="86" t="s">
        <v>19</v>
      </c>
      <c r="C29" s="105">
        <v>4.9950525363395212E-3</v>
      </c>
      <c r="D29" s="106">
        <v>0.75408502455231741</v>
      </c>
      <c r="E29" s="107">
        <v>6.6318450548535834E-3</v>
      </c>
      <c r="F29" s="108">
        <v>0.74912648954415761</v>
      </c>
      <c r="G29" s="105">
        <v>-7.7230610566862692E-3</v>
      </c>
      <c r="H29" s="106">
        <v>0.75012141667015397</v>
      </c>
      <c r="I29" s="107">
        <v>1.1182315277416888E-2</v>
      </c>
      <c r="J29" s="108">
        <v>0.76570705243852255</v>
      </c>
      <c r="K29" s="105">
        <v>1.1815547994498018E-2</v>
      </c>
      <c r="L29" s="106">
        <v>0.7512668408003047</v>
      </c>
      <c r="M29" s="107">
        <v>2.4690634007226497E-2</v>
      </c>
      <c r="N29" s="108">
        <v>0.75129089338387356</v>
      </c>
      <c r="O29" s="105">
        <v>4.4465875757514987E-3</v>
      </c>
      <c r="P29" s="106">
        <v>0.75139255095845003</v>
      </c>
      <c r="Q29" s="107">
        <v>4.8584222395593925E-3</v>
      </c>
      <c r="R29" s="108">
        <v>0.74941626314544829</v>
      </c>
      <c r="S29" s="105">
        <v>1.0373979666841558E-2</v>
      </c>
      <c r="T29" s="106">
        <v>0.7541866844895464</v>
      </c>
      <c r="U29" s="107">
        <v>1.0705719947079346E-2</v>
      </c>
      <c r="V29" s="108">
        <v>0.7594440578647218</v>
      </c>
      <c r="W29" s="105">
        <v>7.485160961497833E-3</v>
      </c>
      <c r="X29" s="106">
        <v>0.75803199719879011</v>
      </c>
      <c r="Y29" s="107">
        <v>1.0945880446387772E-2</v>
      </c>
      <c r="Z29" s="109">
        <v>0.75916155539594721</v>
      </c>
    </row>
    <row r="30" spans="1:31">
      <c r="A30" s="122"/>
      <c r="B30" s="93" t="s">
        <v>20</v>
      </c>
      <c r="C30" s="87">
        <v>7.4364010536604802E-3</v>
      </c>
      <c r="D30" s="88">
        <v>0.24591497544768265</v>
      </c>
      <c r="E30" s="89">
        <v>-5.339896814853585E-3</v>
      </c>
      <c r="F30" s="90">
        <v>0.25087351045584227</v>
      </c>
      <c r="G30" s="87">
        <v>-9.6826530282437418E-3</v>
      </c>
      <c r="H30" s="88">
        <v>0.24987858332984603</v>
      </c>
      <c r="I30" s="89">
        <v>-1.5705931074168791E-3</v>
      </c>
      <c r="J30" s="90">
        <v>0.23429294756147753</v>
      </c>
      <c r="K30" s="87">
        <v>1.3015102415501972E-2</v>
      </c>
      <c r="L30" s="88">
        <v>0.2487331591996953</v>
      </c>
      <c r="M30" s="89">
        <v>1.2110419082773527E-2</v>
      </c>
      <c r="N30" s="90">
        <v>0.24870910661612639</v>
      </c>
      <c r="O30" s="87">
        <v>5.9139362742484988E-3</v>
      </c>
      <c r="P30" s="88">
        <v>0.24860744904154991</v>
      </c>
      <c r="Q30" s="89">
        <v>5.4821484904406092E-3</v>
      </c>
      <c r="R30" s="90">
        <v>0.25058373685455165</v>
      </c>
      <c r="S30" s="87">
        <v>1.5022606643158442E-2</v>
      </c>
      <c r="T30" s="88">
        <v>0.24581331551045352</v>
      </c>
      <c r="U30" s="89">
        <v>5.930323732920656E-3</v>
      </c>
      <c r="V30" s="90">
        <v>0.24055594213527814</v>
      </c>
      <c r="W30" s="87">
        <v>1.423066458502167E-3</v>
      </c>
      <c r="X30" s="88">
        <v>0.24196800280121003</v>
      </c>
      <c r="Y30" s="89">
        <v>-1.1446485563877833E-3</v>
      </c>
      <c r="Z30" s="91">
        <v>0.24083844460405276</v>
      </c>
    </row>
    <row r="31" spans="1:31">
      <c r="A31" s="122"/>
      <c r="B31" s="94" t="s">
        <v>18</v>
      </c>
      <c r="C31" s="95">
        <v>1.2431453590000001E-2</v>
      </c>
      <c r="D31" s="96">
        <v>0.99999999999999978</v>
      </c>
      <c r="E31" s="97">
        <v>1.2919482399999999E-3</v>
      </c>
      <c r="F31" s="98">
        <v>1</v>
      </c>
      <c r="G31" s="95">
        <v>-1.7405404520000001E-2</v>
      </c>
      <c r="H31" s="96">
        <v>1</v>
      </c>
      <c r="I31" s="97">
        <v>9.6117221699999998E-3</v>
      </c>
      <c r="J31" s="98">
        <v>0.99999999999999989</v>
      </c>
      <c r="K31" s="95">
        <v>2.4830650409999998E-2</v>
      </c>
      <c r="L31" s="96">
        <v>1</v>
      </c>
      <c r="M31" s="97">
        <v>3.6801053090000001E-2</v>
      </c>
      <c r="N31" s="98">
        <v>0.99999999999999989</v>
      </c>
      <c r="O31" s="95">
        <v>1.0360523849999999E-2</v>
      </c>
      <c r="P31" s="96">
        <v>0.99999999999999978</v>
      </c>
      <c r="Q31" s="97">
        <v>1.034057073E-2</v>
      </c>
      <c r="R31" s="98">
        <v>0.99999999999999989</v>
      </c>
      <c r="S31" s="95">
        <v>2.539658631E-2</v>
      </c>
      <c r="T31" s="96">
        <v>1</v>
      </c>
      <c r="U31" s="97">
        <v>1.663604368E-2</v>
      </c>
      <c r="V31" s="98">
        <v>0.99999999999999978</v>
      </c>
      <c r="W31" s="95">
        <v>8.9082274199999995E-3</v>
      </c>
      <c r="X31" s="96">
        <v>1.0000000000000002</v>
      </c>
      <c r="Y31" s="97">
        <v>9.8012318899999996E-3</v>
      </c>
      <c r="Z31" s="99">
        <v>1</v>
      </c>
    </row>
    <row r="32" spans="1:31">
      <c r="A32" s="122"/>
      <c r="B32" s="126"/>
      <c r="C32" s="127"/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04"/>
    </row>
    <row r="33" spans="1:26">
      <c r="A33" s="122"/>
      <c r="B33" s="86" t="s">
        <v>21</v>
      </c>
      <c r="C33" s="105">
        <v>9.9186033428468774E-3</v>
      </c>
      <c r="D33" s="106">
        <v>0.99450623969813146</v>
      </c>
      <c r="E33" s="107">
        <v>2.210734729175449E-3</v>
      </c>
      <c r="F33" s="108">
        <v>0.99404145047665704</v>
      </c>
      <c r="G33" s="105">
        <v>-1.1510351467933546E-2</v>
      </c>
      <c r="H33" s="106">
        <v>1.0000399502728479</v>
      </c>
      <c r="I33" s="107">
        <v>9.1759610647427423E-3</v>
      </c>
      <c r="J33" s="108">
        <v>1.0042639665586928</v>
      </c>
      <c r="K33" s="105">
        <v>1.9756232149604949E-2</v>
      </c>
      <c r="L33" s="106">
        <v>0.99817445942776672</v>
      </c>
      <c r="M33" s="107">
        <v>3.1687630621834433E-2</v>
      </c>
      <c r="N33" s="108">
        <v>0.99528392665686605</v>
      </c>
      <c r="O33" s="105">
        <v>9.4694408622001767E-3</v>
      </c>
      <c r="P33" s="106">
        <v>0.99097675371285321</v>
      </c>
      <c r="Q33" s="107">
        <v>8.190090685938161E-3</v>
      </c>
      <c r="R33" s="108">
        <v>0.9932869486578535</v>
      </c>
      <c r="S33" s="105">
        <v>2.3064853144401414E-2</v>
      </c>
      <c r="T33" s="106">
        <v>0.9947780972339344</v>
      </c>
      <c r="U33" s="107">
        <v>1.3864623717762845E-2</v>
      </c>
      <c r="V33" s="108">
        <v>0.99368923393389241</v>
      </c>
      <c r="W33" s="105">
        <v>9.1318149165458291E-3</v>
      </c>
      <c r="X33" s="106">
        <v>0.99185500444714503</v>
      </c>
      <c r="Y33" s="107">
        <v>8.2110662570863899E-3</v>
      </c>
      <c r="Z33" s="109">
        <v>0.99313249730443343</v>
      </c>
    </row>
    <row r="34" spans="1:26">
      <c r="A34" s="122"/>
      <c r="B34" s="93" t="s">
        <v>22</v>
      </c>
      <c r="C34" s="87">
        <v>2.5128502471531188E-3</v>
      </c>
      <c r="D34" s="88">
        <v>5.4937603018685036E-3</v>
      </c>
      <c r="E34" s="89">
        <v>-9.1878648917544982E-4</v>
      </c>
      <c r="F34" s="90">
        <v>5.9585495233429268E-3</v>
      </c>
      <c r="G34" s="87">
        <v>-5.8953626169964612E-3</v>
      </c>
      <c r="H34" s="88">
        <v>-3.9950272848019605E-5</v>
      </c>
      <c r="I34" s="89">
        <v>4.3576110525726851E-4</v>
      </c>
      <c r="J34" s="90">
        <v>-4.263966558692738E-3</v>
      </c>
      <c r="K34" s="87">
        <v>5.0744182603950439E-3</v>
      </c>
      <c r="L34" s="88">
        <v>1.8255405722333131E-3</v>
      </c>
      <c r="M34" s="89">
        <v>5.1134224681656021E-3</v>
      </c>
      <c r="N34" s="90">
        <v>4.7160733431339009E-3</v>
      </c>
      <c r="O34" s="87">
        <v>8.9108298779982432E-4</v>
      </c>
      <c r="P34" s="88">
        <v>9.0232462871467165E-3</v>
      </c>
      <c r="Q34" s="89">
        <v>2.1504800440618373E-3</v>
      </c>
      <c r="R34" s="90">
        <v>6.7130513421465032E-3</v>
      </c>
      <c r="S34" s="87">
        <v>2.3317331655985916E-3</v>
      </c>
      <c r="T34" s="88">
        <v>5.2219027660656489E-3</v>
      </c>
      <c r="U34" s="89">
        <v>2.7714199622371717E-3</v>
      </c>
      <c r="V34" s="90">
        <v>6.3107660661077024E-3</v>
      </c>
      <c r="W34" s="87">
        <v>-2.2358749654583643E-4</v>
      </c>
      <c r="X34" s="88">
        <v>8.1449955528549722E-3</v>
      </c>
      <c r="Y34" s="89">
        <v>1.5901656329136143E-3</v>
      </c>
      <c r="Z34" s="91">
        <v>6.8675026955665958E-3</v>
      </c>
    </row>
    <row r="35" spans="1:26">
      <c r="A35" s="122"/>
      <c r="B35" s="110" t="s">
        <v>18</v>
      </c>
      <c r="C35" s="111">
        <v>1.2431453590000001E-2</v>
      </c>
      <c r="D35" s="112">
        <v>0.99999999999999978</v>
      </c>
      <c r="E35" s="113">
        <v>1.2919482399999999E-3</v>
      </c>
      <c r="F35" s="114">
        <v>1</v>
      </c>
      <c r="G35" s="111">
        <v>-1.7405404520000001E-2</v>
      </c>
      <c r="H35" s="112">
        <v>1</v>
      </c>
      <c r="I35" s="113">
        <v>9.6117221699999998E-3</v>
      </c>
      <c r="J35" s="114">
        <v>0.99999999999999989</v>
      </c>
      <c r="K35" s="111">
        <v>2.4830650409999998E-2</v>
      </c>
      <c r="L35" s="112">
        <v>1</v>
      </c>
      <c r="M35" s="113">
        <v>3.6801053090000001E-2</v>
      </c>
      <c r="N35" s="114">
        <v>0.99999999999999989</v>
      </c>
      <c r="O35" s="111">
        <v>1.0360523849999999E-2</v>
      </c>
      <c r="P35" s="112">
        <v>0.99999999999999978</v>
      </c>
      <c r="Q35" s="113">
        <v>1.034057073E-2</v>
      </c>
      <c r="R35" s="114">
        <v>0.99999999999999989</v>
      </c>
      <c r="S35" s="111">
        <v>2.539658631E-2</v>
      </c>
      <c r="T35" s="112">
        <v>1</v>
      </c>
      <c r="U35" s="113">
        <v>1.663604368E-2</v>
      </c>
      <c r="V35" s="114">
        <v>0.99999999999999978</v>
      </c>
      <c r="W35" s="111">
        <v>8.9082274199999995E-3</v>
      </c>
      <c r="X35" s="112">
        <v>1.0000000000000002</v>
      </c>
      <c r="Y35" s="113">
        <v>9.8012318899999996E-3</v>
      </c>
      <c r="Z35" s="115">
        <v>1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2"/>
      <c r="B37" s="80" t="s">
        <v>23</v>
      </c>
      <c r="C37" s="81" t="s">
        <v>54</v>
      </c>
      <c r="D37" s="82" t="s">
        <v>55</v>
      </c>
      <c r="E37" s="83" t="s">
        <v>56</v>
      </c>
      <c r="F37" s="84" t="s">
        <v>57</v>
      </c>
      <c r="G37" s="81" t="s">
        <v>58</v>
      </c>
      <c r="H37" s="82" t="s">
        <v>59</v>
      </c>
      <c r="I37" s="83" t="s">
        <v>60</v>
      </c>
      <c r="J37" s="85" t="s">
        <v>61</v>
      </c>
      <c r="K37" s="128" t="s">
        <v>1417</v>
      </c>
      <c r="L37" s="128" t="s">
        <v>1417</v>
      </c>
      <c r="M37" s="128" t="s">
        <v>1417</v>
      </c>
      <c r="N37" s="128" t="s">
        <v>1417</v>
      </c>
      <c r="O37" s="128" t="s">
        <v>1417</v>
      </c>
      <c r="P37" s="128" t="s">
        <v>1417</v>
      </c>
      <c r="Q37" s="128" t="s">
        <v>1417</v>
      </c>
      <c r="R37" s="128" t="s">
        <v>1417</v>
      </c>
      <c r="S37" s="128" t="s">
        <v>1417</v>
      </c>
      <c r="T37" s="128" t="s">
        <v>1417</v>
      </c>
      <c r="U37" s="128" t="s">
        <v>1417</v>
      </c>
      <c r="V37" s="128" t="s">
        <v>1417</v>
      </c>
      <c r="W37" s="128" t="s">
        <v>1417</v>
      </c>
      <c r="X37" s="128" t="s">
        <v>1417</v>
      </c>
      <c r="Y37" s="128" t="s">
        <v>1417</v>
      </c>
      <c r="Z37" s="33"/>
    </row>
    <row r="38" spans="1:26">
      <c r="A38" s="122"/>
      <c r="B38" s="86" t="s">
        <v>1</v>
      </c>
      <c r="C38" s="87">
        <v>3.7004495940170037E-3</v>
      </c>
      <c r="D38" s="88">
        <v>0.24645259482333778</v>
      </c>
      <c r="E38" s="89">
        <v>8.0653187554185558E-4</v>
      </c>
      <c r="F38" s="90">
        <v>0.24693899683247067</v>
      </c>
      <c r="G38" s="87">
        <v>2.4407922143988361E-3</v>
      </c>
      <c r="H38" s="88">
        <v>0.23925049589580649</v>
      </c>
      <c r="I38" s="89">
        <v>3.7045955245634003E-3</v>
      </c>
      <c r="J38" s="91">
        <v>0.22181798638483466</v>
      </c>
      <c r="K38" s="128" t="s">
        <v>1417</v>
      </c>
      <c r="L38" s="128" t="s">
        <v>1417</v>
      </c>
      <c r="M38" s="128" t="s">
        <v>1417</v>
      </c>
      <c r="N38" s="128" t="s">
        <v>1417</v>
      </c>
      <c r="O38" s="128" t="s">
        <v>1417</v>
      </c>
      <c r="P38" s="128" t="s">
        <v>1417</v>
      </c>
      <c r="Q38" s="128" t="s">
        <v>1417</v>
      </c>
      <c r="R38" s="128" t="s">
        <v>1417</v>
      </c>
      <c r="S38" s="128" t="s">
        <v>1417</v>
      </c>
      <c r="T38" s="128" t="s">
        <v>1417</v>
      </c>
      <c r="U38" s="128" t="s">
        <v>1417</v>
      </c>
      <c r="V38" s="128" t="s">
        <v>1417</v>
      </c>
      <c r="W38" s="128" t="s">
        <v>1417</v>
      </c>
      <c r="X38" s="128" t="s">
        <v>1417</v>
      </c>
      <c r="Y38" s="128" t="s">
        <v>1417</v>
      </c>
      <c r="Z38" s="33"/>
    </row>
    <row r="39" spans="1:26" ht="30">
      <c r="A39" s="122"/>
      <c r="B39" s="92" t="s">
        <v>908</v>
      </c>
      <c r="C39" s="87">
        <v>3.8390242883168494E-4</v>
      </c>
      <c r="D39" s="88">
        <v>0.11348961599173853</v>
      </c>
      <c r="E39" s="89">
        <v>3.9092350543375627E-3</v>
      </c>
      <c r="F39" s="90">
        <v>0.11379223945415884</v>
      </c>
      <c r="G39" s="87">
        <v>6.2257487332934335E-3</v>
      </c>
      <c r="H39" s="88">
        <v>0.11503599005098292</v>
      </c>
      <c r="I39" s="89">
        <v>8.3659560432770459E-3</v>
      </c>
      <c r="J39" s="91">
        <v>0.11748595653048979</v>
      </c>
      <c r="K39" s="128" t="s">
        <v>1417</v>
      </c>
      <c r="L39" s="128" t="s">
        <v>1417</v>
      </c>
      <c r="M39" s="128" t="s">
        <v>1417</v>
      </c>
      <c r="N39" s="128" t="s">
        <v>1417</v>
      </c>
      <c r="O39" s="128" t="s">
        <v>1417</v>
      </c>
      <c r="P39" s="128" t="s">
        <v>1417</v>
      </c>
      <c r="Q39" s="128" t="s">
        <v>1417</v>
      </c>
      <c r="R39" s="128" t="s">
        <v>1417</v>
      </c>
      <c r="S39" s="128" t="s">
        <v>1417</v>
      </c>
      <c r="T39" s="128" t="s">
        <v>1417</v>
      </c>
      <c r="U39" s="128" t="s">
        <v>1417</v>
      </c>
      <c r="V39" s="128" t="s">
        <v>1417</v>
      </c>
      <c r="W39" s="128" t="s">
        <v>1417</v>
      </c>
      <c r="X39" s="128" t="s">
        <v>1417</v>
      </c>
      <c r="Y39" s="128" t="s">
        <v>1417</v>
      </c>
      <c r="Z39" s="33"/>
    </row>
    <row r="40" spans="1:26">
      <c r="A40" s="122"/>
      <c r="B40" s="93" t="s">
        <v>2</v>
      </c>
      <c r="C40" s="87">
        <v>0</v>
      </c>
      <c r="D40" s="88">
        <v>0</v>
      </c>
      <c r="E40" s="89">
        <v>0</v>
      </c>
      <c r="F40" s="90">
        <v>0</v>
      </c>
      <c r="G40" s="87">
        <v>0</v>
      </c>
      <c r="H40" s="88">
        <v>0</v>
      </c>
      <c r="I40" s="89">
        <v>0</v>
      </c>
      <c r="J40" s="91">
        <v>0</v>
      </c>
      <c r="K40" s="128" t="s">
        <v>1417</v>
      </c>
      <c r="L40" s="128" t="s">
        <v>1417</v>
      </c>
      <c r="M40" s="128" t="s">
        <v>1417</v>
      </c>
      <c r="N40" s="128" t="s">
        <v>1417</v>
      </c>
      <c r="O40" s="128" t="s">
        <v>1417</v>
      </c>
      <c r="P40" s="128" t="s">
        <v>1417</v>
      </c>
      <c r="Q40" s="128" t="s">
        <v>1417</v>
      </c>
      <c r="R40" s="128" t="s">
        <v>1417</v>
      </c>
      <c r="S40" s="128" t="s">
        <v>1417</v>
      </c>
      <c r="T40" s="128" t="s">
        <v>1417</v>
      </c>
      <c r="U40" s="128" t="s">
        <v>1417</v>
      </c>
      <c r="V40" s="128" t="s">
        <v>1417</v>
      </c>
      <c r="W40" s="128" t="s">
        <v>1417</v>
      </c>
      <c r="X40" s="128" t="s">
        <v>1417</v>
      </c>
      <c r="Y40" s="128" t="s">
        <v>1417</v>
      </c>
      <c r="Z40" s="33"/>
    </row>
    <row r="41" spans="1:26">
      <c r="A41" s="122"/>
      <c r="B41" s="93" t="s">
        <v>3</v>
      </c>
      <c r="C41" s="87">
        <v>0</v>
      </c>
      <c r="D41" s="88">
        <v>0</v>
      </c>
      <c r="E41" s="89">
        <v>0</v>
      </c>
      <c r="F41" s="90">
        <v>0</v>
      </c>
      <c r="G41" s="87">
        <v>0</v>
      </c>
      <c r="H41" s="88">
        <v>0</v>
      </c>
      <c r="I41" s="89">
        <v>0</v>
      </c>
      <c r="J41" s="91">
        <v>0</v>
      </c>
      <c r="K41" s="128" t="s">
        <v>1417</v>
      </c>
      <c r="L41" s="128" t="s">
        <v>1417</v>
      </c>
      <c r="M41" s="128" t="s">
        <v>1417</v>
      </c>
      <c r="N41" s="128" t="s">
        <v>1417</v>
      </c>
      <c r="O41" s="128" t="s">
        <v>1417</v>
      </c>
      <c r="P41" s="128" t="s">
        <v>1417</v>
      </c>
      <c r="Q41" s="128" t="s">
        <v>1417</v>
      </c>
      <c r="R41" s="128" t="s">
        <v>1417</v>
      </c>
      <c r="S41" s="128" t="s">
        <v>1417</v>
      </c>
      <c r="T41" s="128" t="s">
        <v>1417</v>
      </c>
      <c r="U41" s="128" t="s">
        <v>1417</v>
      </c>
      <c r="V41" s="128" t="s">
        <v>1417</v>
      </c>
      <c r="W41" s="128" t="s">
        <v>1417</v>
      </c>
      <c r="X41" s="128" t="s">
        <v>1417</v>
      </c>
      <c r="Y41" s="128" t="s">
        <v>1417</v>
      </c>
      <c r="Z41" s="33"/>
    </row>
    <row r="42" spans="1:26">
      <c r="A42" s="122"/>
      <c r="B42" s="93" t="s">
        <v>4</v>
      </c>
      <c r="C42" s="87">
        <v>2.9476750887441582E-3</v>
      </c>
      <c r="D42" s="88">
        <v>0.2570668068786312</v>
      </c>
      <c r="E42" s="89">
        <v>9.6380575159448513E-3</v>
      </c>
      <c r="F42" s="90">
        <v>0.26153013465819175</v>
      </c>
      <c r="G42" s="87">
        <v>1.5491137875078288E-2</v>
      </c>
      <c r="H42" s="88">
        <v>0.26384395267672611</v>
      </c>
      <c r="I42" s="89">
        <v>1.9487978100088139E-2</v>
      </c>
      <c r="J42" s="91">
        <v>0.27090526463043163</v>
      </c>
      <c r="K42" s="128" t="s">
        <v>1417</v>
      </c>
      <c r="L42" s="128" t="s">
        <v>1417</v>
      </c>
      <c r="M42" s="128" t="s">
        <v>1417</v>
      </c>
      <c r="N42" s="128" t="s">
        <v>1417</v>
      </c>
      <c r="O42" s="128" t="s">
        <v>1417</v>
      </c>
      <c r="P42" s="128" t="s">
        <v>1417</v>
      </c>
      <c r="Q42" s="128" t="s">
        <v>1417</v>
      </c>
      <c r="R42" s="128" t="s">
        <v>1417</v>
      </c>
      <c r="S42" s="128" t="s">
        <v>1417</v>
      </c>
      <c r="T42" s="128" t="s">
        <v>1417</v>
      </c>
      <c r="U42" s="128" t="s">
        <v>1417</v>
      </c>
      <c r="V42" s="128" t="s">
        <v>1417</v>
      </c>
      <c r="W42" s="128" t="s">
        <v>1417</v>
      </c>
      <c r="X42" s="128" t="s">
        <v>1417</v>
      </c>
      <c r="Y42" s="128" t="s">
        <v>1417</v>
      </c>
      <c r="Z42" s="33"/>
    </row>
    <row r="43" spans="1:26">
      <c r="A43" s="122"/>
      <c r="B43" s="93" t="s">
        <v>5</v>
      </c>
      <c r="C43" s="87">
        <v>0</v>
      </c>
      <c r="D43" s="88">
        <v>0</v>
      </c>
      <c r="E43" s="89">
        <v>2.732176709319134E-6</v>
      </c>
      <c r="F43" s="90">
        <v>0</v>
      </c>
      <c r="G43" s="87">
        <v>2.732176709319134E-6</v>
      </c>
      <c r="H43" s="88">
        <v>0</v>
      </c>
      <c r="I43" s="89">
        <v>2.732176709319134E-6</v>
      </c>
      <c r="J43" s="91">
        <v>0</v>
      </c>
      <c r="K43" s="128" t="s">
        <v>1417</v>
      </c>
      <c r="L43" s="128" t="s">
        <v>1417</v>
      </c>
      <c r="M43" s="128" t="s">
        <v>1417</v>
      </c>
      <c r="N43" s="128" t="s">
        <v>1417</v>
      </c>
      <c r="O43" s="128" t="s">
        <v>1417</v>
      </c>
      <c r="P43" s="128" t="s">
        <v>1417</v>
      </c>
      <c r="Q43" s="128" t="s">
        <v>1417</v>
      </c>
      <c r="R43" s="128" t="s">
        <v>1417</v>
      </c>
      <c r="S43" s="128" t="s">
        <v>1417</v>
      </c>
      <c r="T43" s="128" t="s">
        <v>1417</v>
      </c>
      <c r="U43" s="128" t="s">
        <v>1417</v>
      </c>
      <c r="V43" s="128" t="s">
        <v>1417</v>
      </c>
      <c r="W43" s="128" t="s">
        <v>1417</v>
      </c>
      <c r="X43" s="128" t="s">
        <v>1417</v>
      </c>
      <c r="Y43" s="128" t="s">
        <v>1417</v>
      </c>
      <c r="Z43" s="33"/>
    </row>
    <row r="44" spans="1:26">
      <c r="A44" s="122"/>
      <c r="B44" s="93" t="s">
        <v>6</v>
      </c>
      <c r="C44" s="87">
        <v>-6.3560661287306499E-3</v>
      </c>
      <c r="D44" s="88">
        <v>0.15738710344288873</v>
      </c>
      <c r="E44" s="89">
        <v>2.3662957398763427E-2</v>
      </c>
      <c r="F44" s="90">
        <v>0.15966305527098926</v>
      </c>
      <c r="G44" s="87">
        <v>3.7368865326622244E-2</v>
      </c>
      <c r="H44" s="88">
        <v>0.16645826461548244</v>
      </c>
      <c r="I44" s="89">
        <v>5.9109854257776116E-2</v>
      </c>
      <c r="J44" s="91">
        <v>0.18691639471236335</v>
      </c>
      <c r="K44" s="128" t="s">
        <v>1417</v>
      </c>
      <c r="L44" s="128" t="s">
        <v>1417</v>
      </c>
      <c r="M44" s="128" t="s">
        <v>1417</v>
      </c>
      <c r="N44" s="128" t="s">
        <v>1417</v>
      </c>
      <c r="O44" s="128" t="s">
        <v>1417</v>
      </c>
      <c r="P44" s="128" t="s">
        <v>1417</v>
      </c>
      <c r="Q44" s="128" t="s">
        <v>1417</v>
      </c>
      <c r="R44" s="128" t="s">
        <v>1417</v>
      </c>
      <c r="S44" s="128" t="s">
        <v>1417</v>
      </c>
      <c r="T44" s="128" t="s">
        <v>1417</v>
      </c>
      <c r="U44" s="128" t="s">
        <v>1417</v>
      </c>
      <c r="V44" s="128" t="s">
        <v>1417</v>
      </c>
      <c r="W44" s="128" t="s">
        <v>1417</v>
      </c>
      <c r="X44" s="128" t="s">
        <v>1417</v>
      </c>
      <c r="Y44" s="128" t="s">
        <v>1417</v>
      </c>
      <c r="Z44" s="33"/>
    </row>
    <row r="45" spans="1:26">
      <c r="A45" s="122"/>
      <c r="B45" s="93" t="s">
        <v>62</v>
      </c>
      <c r="C45" s="87">
        <v>7.0982302206700166E-3</v>
      </c>
      <c r="D45" s="88">
        <v>0.21377064737115778</v>
      </c>
      <c r="E45" s="89">
        <v>1.3170231096541609E-2</v>
      </c>
      <c r="F45" s="90">
        <v>0.2054419648237108</v>
      </c>
      <c r="G45" s="87">
        <v>2.1258081919814844E-2</v>
      </c>
      <c r="H45" s="88">
        <v>0.1990548646982632</v>
      </c>
      <c r="I45" s="89">
        <v>2.4011221163964452E-2</v>
      </c>
      <c r="J45" s="91">
        <v>0.18171693192316926</v>
      </c>
      <c r="K45" s="128" t="s">
        <v>1417</v>
      </c>
      <c r="L45" s="128" t="s">
        <v>1417</v>
      </c>
      <c r="M45" s="128" t="s">
        <v>1417</v>
      </c>
      <c r="N45" s="128" t="s">
        <v>1417</v>
      </c>
      <c r="O45" s="128" t="s">
        <v>1417</v>
      </c>
      <c r="P45" s="128" t="s">
        <v>1417</v>
      </c>
      <c r="Q45" s="128" t="s">
        <v>1417</v>
      </c>
      <c r="R45" s="128" t="s">
        <v>1417</v>
      </c>
      <c r="S45" s="128" t="s">
        <v>1417</v>
      </c>
      <c r="T45" s="128" t="s">
        <v>1417</v>
      </c>
      <c r="U45" s="128" t="s">
        <v>1417</v>
      </c>
      <c r="V45" s="128" t="s">
        <v>1417</v>
      </c>
      <c r="W45" s="128" t="s">
        <v>1417</v>
      </c>
      <c r="X45" s="128" t="s">
        <v>1417</v>
      </c>
      <c r="Y45" s="128" t="s">
        <v>1417</v>
      </c>
      <c r="Z45" s="33"/>
    </row>
    <row r="46" spans="1:26">
      <c r="A46" s="122"/>
      <c r="B46" s="93" t="s">
        <v>7</v>
      </c>
      <c r="C46" s="87">
        <v>1.4935168286245971E-4</v>
      </c>
      <c r="D46" s="88">
        <v>1.1213712000924242E-2</v>
      </c>
      <c r="E46" s="89">
        <v>-9.8408819092480159E-5</v>
      </c>
      <c r="F46" s="90">
        <v>1.1161693096032895E-2</v>
      </c>
      <c r="G46" s="87">
        <v>-2.4185407063792889E-4</v>
      </c>
      <c r="H46" s="88">
        <v>1.0574204912569628E-2</v>
      </c>
      <c r="I46" s="89">
        <v>-3.3055162577606817E-4</v>
      </c>
      <c r="J46" s="91">
        <v>9.1114250289156401E-3</v>
      </c>
      <c r="K46" s="128" t="s">
        <v>1417</v>
      </c>
      <c r="L46" s="128" t="s">
        <v>1417</v>
      </c>
      <c r="M46" s="128" t="s">
        <v>1417</v>
      </c>
      <c r="N46" s="128" t="s">
        <v>1417</v>
      </c>
      <c r="O46" s="128" t="s">
        <v>1417</v>
      </c>
      <c r="P46" s="128" t="s">
        <v>1417</v>
      </c>
      <c r="Q46" s="128" t="s">
        <v>1417</v>
      </c>
      <c r="R46" s="128" t="s">
        <v>1417</v>
      </c>
      <c r="S46" s="128" t="s">
        <v>1417</v>
      </c>
      <c r="T46" s="128" t="s">
        <v>1417</v>
      </c>
      <c r="U46" s="128" t="s">
        <v>1417</v>
      </c>
      <c r="V46" s="128" t="s">
        <v>1417</v>
      </c>
      <c r="W46" s="128" t="s">
        <v>1417</v>
      </c>
      <c r="X46" s="128" t="s">
        <v>1417</v>
      </c>
      <c r="Y46" s="128" t="s">
        <v>1417</v>
      </c>
      <c r="Z46" s="33"/>
    </row>
    <row r="47" spans="1:26">
      <c r="A47" s="122"/>
      <c r="B47" s="93" t="s">
        <v>8</v>
      </c>
      <c r="C47" s="87">
        <v>3.938307215057808E-5</v>
      </c>
      <c r="D47" s="88">
        <v>6.4100557486669E-4</v>
      </c>
      <c r="E47" s="89">
        <v>3.1590309744868474E-5</v>
      </c>
      <c r="F47" s="90">
        <v>7.2991966596478363E-4</v>
      </c>
      <c r="G47" s="87">
        <v>9.0785279174771698E-5</v>
      </c>
      <c r="H47" s="88">
        <v>8.1740937692415731E-4</v>
      </c>
      <c r="I47" s="89">
        <v>1.2003872043373291E-4</v>
      </c>
      <c r="J47" s="91">
        <v>1.0068491179615049E-3</v>
      </c>
      <c r="K47" s="128" t="s">
        <v>1417</v>
      </c>
      <c r="L47" s="128" t="s">
        <v>1417</v>
      </c>
      <c r="M47" s="128" t="s">
        <v>1417</v>
      </c>
      <c r="N47" s="128" t="s">
        <v>1417</v>
      </c>
      <c r="O47" s="128" t="s">
        <v>1417</v>
      </c>
      <c r="P47" s="128" t="s">
        <v>1417</v>
      </c>
      <c r="Q47" s="128" t="s">
        <v>1417</v>
      </c>
      <c r="R47" s="128" t="s">
        <v>1417</v>
      </c>
      <c r="S47" s="128" t="s">
        <v>1417</v>
      </c>
      <c r="T47" s="128" t="s">
        <v>1417</v>
      </c>
      <c r="U47" s="128" t="s">
        <v>1417</v>
      </c>
      <c r="V47" s="128" t="s">
        <v>1417</v>
      </c>
      <c r="W47" s="128" t="s">
        <v>1417</v>
      </c>
      <c r="X47" s="128" t="s">
        <v>1417</v>
      </c>
      <c r="Y47" s="128" t="s">
        <v>1417</v>
      </c>
      <c r="Z47" s="33"/>
    </row>
    <row r="48" spans="1:26">
      <c r="A48" s="122"/>
      <c r="B48" s="93" t="s">
        <v>9</v>
      </c>
      <c r="C48" s="87">
        <v>-3.0316636587953079E-5</v>
      </c>
      <c r="D48" s="88">
        <v>1.5506537095565659E-4</v>
      </c>
      <c r="E48" s="89">
        <v>2.8505106540339836E-5</v>
      </c>
      <c r="F48" s="90">
        <v>1.2426592400095691E-4</v>
      </c>
      <c r="G48" s="87">
        <v>3.5780521267059281E-5</v>
      </c>
      <c r="H48" s="88">
        <v>1.3911983966009899E-4</v>
      </c>
      <c r="I48" s="89">
        <v>1.1516459843928475E-4</v>
      </c>
      <c r="J48" s="91">
        <v>1.7134354537497922E-4</v>
      </c>
      <c r="K48" s="128" t="s">
        <v>1417</v>
      </c>
      <c r="L48" s="128" t="s">
        <v>1417</v>
      </c>
      <c r="M48" s="128" t="s">
        <v>1417</v>
      </c>
      <c r="N48" s="128" t="s">
        <v>1417</v>
      </c>
      <c r="O48" s="128" t="s">
        <v>1417</v>
      </c>
      <c r="P48" s="128" t="s">
        <v>1417</v>
      </c>
      <c r="Q48" s="128" t="s">
        <v>1417</v>
      </c>
      <c r="R48" s="128" t="s">
        <v>1417</v>
      </c>
      <c r="S48" s="128" t="s">
        <v>1417</v>
      </c>
      <c r="T48" s="128" t="s">
        <v>1417</v>
      </c>
      <c r="U48" s="128" t="s">
        <v>1417</v>
      </c>
      <c r="V48" s="128" t="s">
        <v>1417</v>
      </c>
      <c r="W48" s="128" t="s">
        <v>1417</v>
      </c>
      <c r="X48" s="128" t="s">
        <v>1417</v>
      </c>
      <c r="Y48" s="128" t="s">
        <v>1417</v>
      </c>
      <c r="Z48" s="33"/>
    </row>
    <row r="49" spans="1:26">
      <c r="A49" s="122"/>
      <c r="B49" s="93" t="s">
        <v>10</v>
      </c>
      <c r="C49" s="87">
        <v>-1.2100149195548162E-2</v>
      </c>
      <c r="D49" s="88">
        <v>-5.1773639199260773E-4</v>
      </c>
      <c r="E49" s="89">
        <v>1.6137713979553395E-2</v>
      </c>
      <c r="F49" s="90">
        <v>2.6825515693128195E-4</v>
      </c>
      <c r="G49" s="87">
        <v>3.4713906876966807E-2</v>
      </c>
      <c r="H49" s="88">
        <v>4.5913553950607698E-3</v>
      </c>
      <c r="I49" s="89">
        <v>4.2456352431921196E-2</v>
      </c>
      <c r="J49" s="91">
        <v>1.0721348051378162E-2</v>
      </c>
      <c r="K49" s="128" t="s">
        <v>1417</v>
      </c>
      <c r="L49" s="128" t="s">
        <v>1417</v>
      </c>
      <c r="M49" s="128" t="s">
        <v>1417</v>
      </c>
      <c r="N49" s="128" t="s">
        <v>1417</v>
      </c>
      <c r="O49" s="128" t="s">
        <v>1417</v>
      </c>
      <c r="P49" s="128" t="s">
        <v>1417</v>
      </c>
      <c r="Q49" s="128" t="s">
        <v>1417</v>
      </c>
      <c r="R49" s="128" t="s">
        <v>1417</v>
      </c>
      <c r="S49" s="128" t="s">
        <v>1417</v>
      </c>
      <c r="T49" s="128" t="s">
        <v>1417</v>
      </c>
      <c r="U49" s="128" t="s">
        <v>1417</v>
      </c>
      <c r="V49" s="128" t="s">
        <v>1417</v>
      </c>
      <c r="W49" s="128" t="s">
        <v>1417</v>
      </c>
      <c r="X49" s="128" t="s">
        <v>1417</v>
      </c>
      <c r="Y49" s="128" t="s">
        <v>1417</v>
      </c>
      <c r="Z49" s="33"/>
    </row>
    <row r="50" spans="1:26">
      <c r="A50" s="122"/>
      <c r="B50" s="93" t="s">
        <v>11</v>
      </c>
      <c r="C50" s="87">
        <v>2.6230085268136988E-4</v>
      </c>
      <c r="D50" s="88">
        <v>3.0110307176938047E-4</v>
      </c>
      <c r="E50" s="89">
        <v>1.27985022131675E-3</v>
      </c>
      <c r="F50" s="90">
        <v>3.2943418468755499E-4</v>
      </c>
      <c r="G50" s="87">
        <v>1.120721801673992E-3</v>
      </c>
      <c r="H50" s="88">
        <v>2.2098191661674171E-4</v>
      </c>
      <c r="I50" s="89">
        <v>1.4450200276260512E-3</v>
      </c>
      <c r="J50" s="91">
        <v>1.4650007508094405E-4</v>
      </c>
      <c r="K50" s="128" t="s">
        <v>1417</v>
      </c>
      <c r="L50" s="128" t="s">
        <v>1417</v>
      </c>
      <c r="M50" s="128" t="s">
        <v>1417</v>
      </c>
      <c r="N50" s="128" t="s">
        <v>1417</v>
      </c>
      <c r="O50" s="128" t="s">
        <v>1417</v>
      </c>
      <c r="P50" s="128" t="s">
        <v>1417</v>
      </c>
      <c r="Q50" s="128" t="s">
        <v>1417</v>
      </c>
      <c r="R50" s="128" t="s">
        <v>1417</v>
      </c>
      <c r="S50" s="128" t="s">
        <v>1417</v>
      </c>
      <c r="T50" s="128" t="s">
        <v>1417</v>
      </c>
      <c r="U50" s="128" t="s">
        <v>1417</v>
      </c>
      <c r="V50" s="128" t="s">
        <v>1417</v>
      </c>
      <c r="W50" s="128" t="s">
        <v>1417</v>
      </c>
      <c r="X50" s="128" t="s">
        <v>1417</v>
      </c>
      <c r="Y50" s="128" t="s">
        <v>1417</v>
      </c>
      <c r="Z50" s="33"/>
    </row>
    <row r="51" spans="1:26">
      <c r="A51" s="122"/>
      <c r="B51" s="93" t="s">
        <v>12</v>
      </c>
      <c r="C51" s="87">
        <v>0</v>
      </c>
      <c r="D51" s="88">
        <v>0</v>
      </c>
      <c r="E51" s="89">
        <v>0</v>
      </c>
      <c r="F51" s="90">
        <v>0</v>
      </c>
      <c r="G51" s="87">
        <v>0</v>
      </c>
      <c r="H51" s="88">
        <v>0</v>
      </c>
      <c r="I51" s="89">
        <v>0</v>
      </c>
      <c r="J51" s="91">
        <v>0</v>
      </c>
      <c r="K51" s="128" t="s">
        <v>1417</v>
      </c>
      <c r="L51" s="128" t="s">
        <v>1417</v>
      </c>
      <c r="M51" s="128" t="s">
        <v>1417</v>
      </c>
      <c r="N51" s="128" t="s">
        <v>1417</v>
      </c>
      <c r="O51" s="128" t="s">
        <v>1417</v>
      </c>
      <c r="P51" s="128" t="s">
        <v>1417</v>
      </c>
      <c r="Q51" s="128" t="s">
        <v>1417</v>
      </c>
      <c r="R51" s="128" t="s">
        <v>1417</v>
      </c>
      <c r="S51" s="128" t="s">
        <v>1417</v>
      </c>
      <c r="T51" s="128" t="s">
        <v>1417</v>
      </c>
      <c r="U51" s="128" t="s">
        <v>1417</v>
      </c>
      <c r="V51" s="128" t="s">
        <v>1417</v>
      </c>
      <c r="W51" s="128" t="s">
        <v>1417</v>
      </c>
      <c r="X51" s="128" t="s">
        <v>1417</v>
      </c>
      <c r="Y51" s="128" t="s">
        <v>1417</v>
      </c>
      <c r="Z51" s="33"/>
    </row>
    <row r="52" spans="1:26">
      <c r="A52" s="122"/>
      <c r="B52" s="93" t="s">
        <v>13</v>
      </c>
      <c r="C52" s="87">
        <v>0</v>
      </c>
      <c r="D52" s="88">
        <v>0</v>
      </c>
      <c r="E52" s="89">
        <v>0</v>
      </c>
      <c r="F52" s="90">
        <v>0</v>
      </c>
      <c r="G52" s="87">
        <v>0</v>
      </c>
      <c r="H52" s="88">
        <v>0</v>
      </c>
      <c r="I52" s="89">
        <v>0</v>
      </c>
      <c r="J52" s="91">
        <v>0</v>
      </c>
      <c r="K52" s="128" t="s">
        <v>1417</v>
      </c>
      <c r="L52" s="128" t="s">
        <v>1417</v>
      </c>
      <c r="M52" s="128" t="s">
        <v>1417</v>
      </c>
      <c r="N52" s="128" t="s">
        <v>1417</v>
      </c>
      <c r="O52" s="128" t="s">
        <v>1417</v>
      </c>
      <c r="P52" s="128" t="s">
        <v>1417</v>
      </c>
      <c r="Q52" s="128" t="s">
        <v>1417</v>
      </c>
      <c r="R52" s="128" t="s">
        <v>1417</v>
      </c>
      <c r="S52" s="128" t="s">
        <v>1417</v>
      </c>
      <c r="T52" s="128" t="s">
        <v>1417</v>
      </c>
      <c r="U52" s="128" t="s">
        <v>1417</v>
      </c>
      <c r="V52" s="128" t="s">
        <v>1417</v>
      </c>
      <c r="W52" s="128" t="s">
        <v>1417</v>
      </c>
      <c r="X52" s="128" t="s">
        <v>1417</v>
      </c>
      <c r="Y52" s="128" t="s">
        <v>1417</v>
      </c>
      <c r="Z52" s="33"/>
    </row>
    <row r="53" spans="1:26">
      <c r="A53" s="122"/>
      <c r="B53" s="93" t="s">
        <v>14</v>
      </c>
      <c r="C53" s="87">
        <v>0</v>
      </c>
      <c r="D53" s="88">
        <v>0</v>
      </c>
      <c r="E53" s="89">
        <v>0</v>
      </c>
      <c r="F53" s="90">
        <v>0</v>
      </c>
      <c r="G53" s="87">
        <v>0</v>
      </c>
      <c r="H53" s="88">
        <v>0</v>
      </c>
      <c r="I53" s="89">
        <v>0</v>
      </c>
      <c r="J53" s="91">
        <v>0</v>
      </c>
      <c r="K53" s="128" t="s">
        <v>1417</v>
      </c>
      <c r="L53" s="128" t="s">
        <v>1417</v>
      </c>
      <c r="M53" s="128" t="s">
        <v>1417</v>
      </c>
      <c r="N53" s="128" t="s">
        <v>1417</v>
      </c>
      <c r="O53" s="128" t="s">
        <v>1417</v>
      </c>
      <c r="P53" s="128" t="s">
        <v>1417</v>
      </c>
      <c r="Q53" s="128" t="s">
        <v>1417</v>
      </c>
      <c r="R53" s="128" t="s">
        <v>1417</v>
      </c>
      <c r="S53" s="128" t="s">
        <v>1417</v>
      </c>
      <c r="T53" s="128" t="s">
        <v>1417</v>
      </c>
      <c r="U53" s="128" t="s">
        <v>1417</v>
      </c>
      <c r="V53" s="128" t="s">
        <v>1417</v>
      </c>
      <c r="W53" s="128" t="s">
        <v>1417</v>
      </c>
      <c r="X53" s="128" t="s">
        <v>1417</v>
      </c>
      <c r="Y53" s="128" t="s">
        <v>1417</v>
      </c>
      <c r="Z53" s="33"/>
    </row>
    <row r="54" spans="1:26">
      <c r="A54" s="122"/>
      <c r="B54" s="93" t="s">
        <v>15</v>
      </c>
      <c r="C54" s="87">
        <v>0</v>
      </c>
      <c r="D54" s="88">
        <v>0</v>
      </c>
      <c r="E54" s="89">
        <v>0</v>
      </c>
      <c r="F54" s="90">
        <v>0</v>
      </c>
      <c r="G54" s="87">
        <v>0</v>
      </c>
      <c r="H54" s="88">
        <v>0</v>
      </c>
      <c r="I54" s="89">
        <v>0</v>
      </c>
      <c r="J54" s="91">
        <v>0</v>
      </c>
      <c r="K54" s="128" t="s">
        <v>1417</v>
      </c>
      <c r="L54" s="128" t="s">
        <v>1417</v>
      </c>
      <c r="M54" s="128" t="s">
        <v>1417</v>
      </c>
      <c r="N54" s="128" t="s">
        <v>1417</v>
      </c>
      <c r="O54" s="128" t="s">
        <v>1417</v>
      </c>
      <c r="P54" s="128" t="s">
        <v>1417</v>
      </c>
      <c r="Q54" s="128" t="s">
        <v>1417</v>
      </c>
      <c r="R54" s="128" t="s">
        <v>1417</v>
      </c>
      <c r="S54" s="128" t="s">
        <v>1417</v>
      </c>
      <c r="T54" s="128" t="s">
        <v>1417</v>
      </c>
      <c r="U54" s="128" t="s">
        <v>1417</v>
      </c>
      <c r="V54" s="128" t="s">
        <v>1417</v>
      </c>
      <c r="W54" s="128" t="s">
        <v>1417</v>
      </c>
      <c r="X54" s="128" t="s">
        <v>1417</v>
      </c>
      <c r="Y54" s="128" t="s">
        <v>1417</v>
      </c>
      <c r="Z54" s="33"/>
    </row>
    <row r="55" spans="1:26">
      <c r="A55" s="122"/>
      <c r="B55" s="93" t="s">
        <v>16</v>
      </c>
      <c r="C55" s="87">
        <v>0</v>
      </c>
      <c r="D55" s="88">
        <v>0</v>
      </c>
      <c r="E55" s="89">
        <v>0</v>
      </c>
      <c r="F55" s="90">
        <v>0</v>
      </c>
      <c r="G55" s="87">
        <v>0</v>
      </c>
      <c r="H55" s="88">
        <v>0</v>
      </c>
      <c r="I55" s="89">
        <v>0</v>
      </c>
      <c r="J55" s="91">
        <v>0</v>
      </c>
      <c r="K55" s="128" t="s">
        <v>1417</v>
      </c>
      <c r="L55" s="128" t="s">
        <v>1417</v>
      </c>
      <c r="M55" s="128" t="s">
        <v>1417</v>
      </c>
      <c r="N55" s="128" t="s">
        <v>1417</v>
      </c>
      <c r="O55" s="128" t="s">
        <v>1417</v>
      </c>
      <c r="P55" s="128" t="s">
        <v>1417</v>
      </c>
      <c r="Q55" s="128" t="s">
        <v>1417</v>
      </c>
      <c r="R55" s="128" t="s">
        <v>1417</v>
      </c>
      <c r="S55" s="128" t="s">
        <v>1417</v>
      </c>
      <c r="T55" s="128" t="s">
        <v>1417</v>
      </c>
      <c r="U55" s="128" t="s">
        <v>1417</v>
      </c>
      <c r="V55" s="128" t="s">
        <v>1417</v>
      </c>
      <c r="W55" s="128" t="s">
        <v>1417</v>
      </c>
      <c r="X55" s="128" t="s">
        <v>1417</v>
      </c>
      <c r="Y55" s="128" t="s">
        <v>1417</v>
      </c>
      <c r="Z55" s="33"/>
    </row>
    <row r="56" spans="1:26">
      <c r="A56" s="122"/>
      <c r="B56" s="93" t="s">
        <v>17</v>
      </c>
      <c r="C56" s="87">
        <v>1.5622062748165203E-7</v>
      </c>
      <c r="D56" s="88">
        <v>4.008186572251343E-5</v>
      </c>
      <c r="E56" s="89">
        <v>1.8344738327281584E-7</v>
      </c>
      <c r="F56" s="90">
        <v>2.0040932861256718E-5</v>
      </c>
      <c r="G56" s="87">
        <v>2.1544499410344455E-7</v>
      </c>
      <c r="H56" s="88">
        <v>1.3360621907504479E-5</v>
      </c>
      <c r="I56" s="89">
        <v>1.622646303989228E-7</v>
      </c>
      <c r="J56" s="91">
        <v>0</v>
      </c>
      <c r="K56" s="128" t="s">
        <v>1417</v>
      </c>
      <c r="L56" s="128" t="s">
        <v>1417</v>
      </c>
      <c r="M56" s="128" t="s">
        <v>1417</v>
      </c>
      <c r="N56" s="128" t="s">
        <v>1417</v>
      </c>
      <c r="O56" s="128" t="s">
        <v>1417</v>
      </c>
      <c r="P56" s="128" t="s">
        <v>1417</v>
      </c>
      <c r="Q56" s="128" t="s">
        <v>1417</v>
      </c>
      <c r="R56" s="128" t="s">
        <v>1417</v>
      </c>
      <c r="S56" s="128" t="s">
        <v>1417</v>
      </c>
      <c r="T56" s="128" t="s">
        <v>1417</v>
      </c>
      <c r="U56" s="128" t="s">
        <v>1417</v>
      </c>
      <c r="V56" s="128" t="s">
        <v>1417</v>
      </c>
      <c r="W56" s="128" t="s">
        <v>1417</v>
      </c>
      <c r="X56" s="128" t="s">
        <v>1417</v>
      </c>
      <c r="Y56" s="128" t="s">
        <v>1417</v>
      </c>
      <c r="Z56" s="33"/>
    </row>
    <row r="57" spans="1:26">
      <c r="A57" s="122"/>
      <c r="B57" s="94" t="s">
        <v>25</v>
      </c>
      <c r="C57" s="95">
        <v>-3.9050828002820115E-3</v>
      </c>
      <c r="D57" s="96">
        <v>0.99999999999999989</v>
      </c>
      <c r="E57" s="97">
        <v>6.8569179363284771E-2</v>
      </c>
      <c r="F57" s="98">
        <v>1</v>
      </c>
      <c r="G57" s="95">
        <v>0.11850691409935576</v>
      </c>
      <c r="H57" s="96">
        <v>1.0000000000000002</v>
      </c>
      <c r="I57" s="97">
        <v>0.15848852368365307</v>
      </c>
      <c r="J57" s="99">
        <v>0.99999999999999989</v>
      </c>
      <c r="K57" s="128" t="s">
        <v>1417</v>
      </c>
      <c r="L57" s="128" t="s">
        <v>1417</v>
      </c>
      <c r="M57" s="128" t="s">
        <v>1417</v>
      </c>
      <c r="N57" s="128" t="s">
        <v>1417</v>
      </c>
      <c r="O57" s="128" t="s">
        <v>1417</v>
      </c>
      <c r="P57" s="128" t="s">
        <v>1417</v>
      </c>
      <c r="Q57" s="128" t="s">
        <v>1417</v>
      </c>
      <c r="R57" s="128" t="s">
        <v>1417</v>
      </c>
      <c r="S57" s="128" t="s">
        <v>1417</v>
      </c>
      <c r="T57" s="128" t="s">
        <v>1417</v>
      </c>
      <c r="U57" s="128" t="s">
        <v>1417</v>
      </c>
      <c r="V57" s="128" t="s">
        <v>1417</v>
      </c>
      <c r="W57" s="128" t="s">
        <v>1417</v>
      </c>
      <c r="X57" s="128" t="s">
        <v>1417</v>
      </c>
      <c r="Y57" s="128" t="s">
        <v>1417</v>
      </c>
      <c r="Z57" s="33"/>
    </row>
    <row r="58" spans="1:26">
      <c r="A58" s="122"/>
      <c r="B58" s="100" t="s">
        <v>24</v>
      </c>
      <c r="C58" s="101">
        <v>-36.751749999999987</v>
      </c>
      <c r="D58" s="125"/>
      <c r="E58" s="102">
        <v>418.15895999999998</v>
      </c>
      <c r="F58" s="125"/>
      <c r="G58" s="101">
        <v>788.00297</v>
      </c>
      <c r="H58" s="125"/>
      <c r="I58" s="102">
        <v>1127.28259</v>
      </c>
      <c r="J58" s="129"/>
      <c r="K58" s="128" t="s">
        <v>1417</v>
      </c>
      <c r="L58" s="128" t="s">
        <v>1417</v>
      </c>
      <c r="M58" s="128" t="s">
        <v>1417</v>
      </c>
      <c r="N58" s="128" t="s">
        <v>1417</v>
      </c>
      <c r="O58" s="128" t="s">
        <v>1417</v>
      </c>
      <c r="P58" s="128" t="s">
        <v>1417</v>
      </c>
      <c r="Q58" s="128" t="s">
        <v>1417</v>
      </c>
      <c r="R58" s="128" t="s">
        <v>1417</v>
      </c>
      <c r="S58" s="128" t="s">
        <v>1417</v>
      </c>
      <c r="T58" s="128" t="s">
        <v>1417</v>
      </c>
      <c r="U58" s="128" t="s">
        <v>1417</v>
      </c>
      <c r="V58" s="128" t="s">
        <v>1417</v>
      </c>
      <c r="W58" s="128" t="s">
        <v>1417</v>
      </c>
      <c r="X58" s="128" t="s">
        <v>1417</v>
      </c>
      <c r="Y58" s="128" t="s">
        <v>1417</v>
      </c>
      <c r="Z58" s="33"/>
    </row>
    <row r="59" spans="1:26">
      <c r="A59" s="122"/>
      <c r="B59" s="126"/>
      <c r="C59" s="127"/>
      <c r="D59" s="127"/>
      <c r="E59" s="127"/>
      <c r="F59" s="127"/>
      <c r="G59" s="127"/>
      <c r="H59" s="127"/>
      <c r="I59" s="127"/>
      <c r="J59" s="130"/>
      <c r="K59" s="128" t="s">
        <v>1417</v>
      </c>
      <c r="L59" s="128" t="s">
        <v>1417</v>
      </c>
      <c r="M59" s="128" t="s">
        <v>1417</v>
      </c>
      <c r="N59" s="128" t="s">
        <v>1417</v>
      </c>
      <c r="O59" s="128" t="s">
        <v>1417</v>
      </c>
      <c r="P59" s="128" t="s">
        <v>1417</v>
      </c>
      <c r="Q59" s="128" t="s">
        <v>1417</v>
      </c>
      <c r="R59" s="128" t="s">
        <v>1417</v>
      </c>
      <c r="S59" s="128" t="s">
        <v>1417</v>
      </c>
      <c r="T59" s="128" t="s">
        <v>1417</v>
      </c>
      <c r="U59" s="128" t="s">
        <v>1417</v>
      </c>
      <c r="V59" s="128" t="s">
        <v>1417</v>
      </c>
      <c r="W59" s="128" t="s">
        <v>1417</v>
      </c>
      <c r="X59" s="128" t="s">
        <v>1417</v>
      </c>
      <c r="Y59" s="128" t="s">
        <v>1417</v>
      </c>
      <c r="Z59" s="33"/>
    </row>
    <row r="60" spans="1:26">
      <c r="A60" s="122"/>
      <c r="B60" s="86" t="s">
        <v>19</v>
      </c>
      <c r="C60" s="105">
        <v>3.7671280829052146E-3</v>
      </c>
      <c r="D60" s="106">
        <v>0.75111097692220963</v>
      </c>
      <c r="E60" s="107">
        <v>5.2649605335044383E-2</v>
      </c>
      <c r="F60" s="108">
        <v>0.7535996195648883</v>
      </c>
      <c r="G60" s="105">
        <v>7.5034100433984674E-2</v>
      </c>
      <c r="H60" s="106">
        <v>0.75295480177586382</v>
      </c>
      <c r="I60" s="107">
        <v>0.10807023003578295</v>
      </c>
      <c r="J60" s="109">
        <v>0.75470342891953968</v>
      </c>
      <c r="K60" s="128" t="s">
        <v>1417</v>
      </c>
      <c r="L60" s="128" t="s">
        <v>1417</v>
      </c>
      <c r="M60" s="128" t="s">
        <v>1417</v>
      </c>
      <c r="N60" s="128" t="s">
        <v>1417</v>
      </c>
      <c r="O60" s="128" t="s">
        <v>1417</v>
      </c>
      <c r="P60" s="128" t="s">
        <v>1417</v>
      </c>
      <c r="Q60" s="128" t="s">
        <v>1417</v>
      </c>
      <c r="R60" s="128" t="s">
        <v>1417</v>
      </c>
      <c r="S60" s="128" t="s">
        <v>1417</v>
      </c>
      <c r="T60" s="128" t="s">
        <v>1417</v>
      </c>
      <c r="U60" s="128" t="s">
        <v>1417</v>
      </c>
      <c r="V60" s="128" t="s">
        <v>1417</v>
      </c>
      <c r="W60" s="128" t="s">
        <v>1417</v>
      </c>
      <c r="X60" s="128" t="s">
        <v>1417</v>
      </c>
      <c r="Y60" s="128" t="s">
        <v>1417</v>
      </c>
      <c r="Z60" s="33"/>
    </row>
    <row r="61" spans="1:26">
      <c r="A61" s="122"/>
      <c r="B61" s="93" t="s">
        <v>20</v>
      </c>
      <c r="C61" s="87">
        <v>-7.6722108831872261E-3</v>
      </c>
      <c r="D61" s="88">
        <v>0.24888902307779034</v>
      </c>
      <c r="E61" s="89">
        <v>1.5919574028240388E-2</v>
      </c>
      <c r="F61" s="90">
        <v>0.24640038043511167</v>
      </c>
      <c r="G61" s="87">
        <v>4.3472813665371084E-2</v>
      </c>
      <c r="H61" s="88">
        <v>0.24704519822413612</v>
      </c>
      <c r="I61" s="89">
        <v>5.0418293647870115E-2</v>
      </c>
      <c r="J61" s="91">
        <v>0.24529657108046038</v>
      </c>
      <c r="K61" s="128" t="s">
        <v>1417</v>
      </c>
      <c r="L61" s="128" t="s">
        <v>1417</v>
      </c>
      <c r="M61" s="128" t="s">
        <v>1417</v>
      </c>
      <c r="N61" s="128" t="s">
        <v>1417</v>
      </c>
      <c r="O61" s="128" t="s">
        <v>1417</v>
      </c>
      <c r="P61" s="128" t="s">
        <v>1417</v>
      </c>
      <c r="Q61" s="128" t="s">
        <v>1417</v>
      </c>
      <c r="R61" s="128" t="s">
        <v>1417</v>
      </c>
      <c r="S61" s="128" t="s">
        <v>1417</v>
      </c>
      <c r="T61" s="128" t="s">
        <v>1417</v>
      </c>
      <c r="U61" s="128" t="s">
        <v>1417</v>
      </c>
      <c r="V61" s="128" t="s">
        <v>1417</v>
      </c>
      <c r="W61" s="128" t="s">
        <v>1417</v>
      </c>
      <c r="X61" s="128" t="s">
        <v>1417</v>
      </c>
      <c r="Y61" s="128" t="s">
        <v>1417</v>
      </c>
      <c r="Z61" s="33"/>
    </row>
    <row r="62" spans="1:26">
      <c r="A62" s="122"/>
      <c r="B62" s="94" t="s">
        <v>25</v>
      </c>
      <c r="C62" s="95">
        <v>-3.9050828002820115E-3</v>
      </c>
      <c r="D62" s="96">
        <v>1</v>
      </c>
      <c r="E62" s="97">
        <v>6.8569179363284771E-2</v>
      </c>
      <c r="F62" s="98">
        <v>1</v>
      </c>
      <c r="G62" s="95">
        <v>0.11850691409935576</v>
      </c>
      <c r="H62" s="96">
        <v>1</v>
      </c>
      <c r="I62" s="97">
        <v>0.15848852368365307</v>
      </c>
      <c r="J62" s="99">
        <v>1</v>
      </c>
      <c r="K62" s="128" t="s">
        <v>1417</v>
      </c>
      <c r="L62" s="128" t="s">
        <v>1417</v>
      </c>
      <c r="M62" s="128" t="s">
        <v>1417</v>
      </c>
      <c r="N62" s="128" t="s">
        <v>1417</v>
      </c>
      <c r="O62" s="128" t="s">
        <v>1417</v>
      </c>
      <c r="P62" s="128" t="s">
        <v>1417</v>
      </c>
      <c r="Q62" s="128" t="s">
        <v>1417</v>
      </c>
      <c r="R62" s="128" t="s">
        <v>1417</v>
      </c>
      <c r="S62" s="128" t="s">
        <v>1417</v>
      </c>
      <c r="T62" s="128" t="s">
        <v>1417</v>
      </c>
      <c r="U62" s="128" t="s">
        <v>1417</v>
      </c>
      <c r="V62" s="128" t="s">
        <v>1417</v>
      </c>
      <c r="W62" s="128" t="s">
        <v>1417</v>
      </c>
      <c r="X62" s="128" t="s">
        <v>1417</v>
      </c>
      <c r="Y62" s="128" t="s">
        <v>1417</v>
      </c>
      <c r="Z62" s="33"/>
    </row>
    <row r="63" spans="1:26">
      <c r="A63" s="122"/>
      <c r="B63" s="126"/>
      <c r="C63" s="127"/>
      <c r="D63" s="127"/>
      <c r="E63" s="127"/>
      <c r="F63" s="127"/>
      <c r="G63" s="127"/>
      <c r="H63" s="127"/>
      <c r="I63" s="127"/>
      <c r="J63" s="130"/>
      <c r="K63" s="128" t="s">
        <v>1417</v>
      </c>
      <c r="L63" s="128" t="s">
        <v>1417</v>
      </c>
      <c r="M63" s="128" t="s">
        <v>1417</v>
      </c>
      <c r="N63" s="128" t="s">
        <v>1417</v>
      </c>
      <c r="O63" s="128" t="s">
        <v>1417</v>
      </c>
      <c r="P63" s="128" t="s">
        <v>1417</v>
      </c>
      <c r="Q63" s="128" t="s">
        <v>1417</v>
      </c>
      <c r="R63" s="128" t="s">
        <v>1417</v>
      </c>
      <c r="S63" s="128" t="s">
        <v>1417</v>
      </c>
      <c r="T63" s="128" t="s">
        <v>1417</v>
      </c>
      <c r="U63" s="128" t="s">
        <v>1417</v>
      </c>
      <c r="V63" s="128" t="s">
        <v>1417</v>
      </c>
      <c r="W63" s="128" t="s">
        <v>1417</v>
      </c>
      <c r="X63" s="128" t="s">
        <v>1417</v>
      </c>
      <c r="Y63" s="128" t="s">
        <v>1417</v>
      </c>
      <c r="Z63" s="33"/>
    </row>
    <row r="64" spans="1:26">
      <c r="A64" s="122"/>
      <c r="B64" s="86" t="s">
        <v>21</v>
      </c>
      <c r="C64" s="105">
        <v>4.0826311963381074E-4</v>
      </c>
      <c r="D64" s="106">
        <v>0.99619588014921201</v>
      </c>
      <c r="E64" s="107">
        <v>6.227407911451454E-2</v>
      </c>
      <c r="F64" s="108">
        <v>0.99771833218182715</v>
      </c>
      <c r="G64" s="105">
        <v>0.10679272620867285</v>
      </c>
      <c r="H64" s="106">
        <v>0.99615019918840042</v>
      </c>
      <c r="I64" s="107">
        <v>0.14257600778445423</v>
      </c>
      <c r="J64" s="109">
        <v>0.99328606599242542</v>
      </c>
      <c r="K64" s="128" t="s">
        <v>1417</v>
      </c>
      <c r="L64" s="128" t="s">
        <v>1417</v>
      </c>
      <c r="M64" s="128" t="s">
        <v>1417</v>
      </c>
      <c r="N64" s="128" t="s">
        <v>1417</v>
      </c>
      <c r="O64" s="128" t="s">
        <v>1417</v>
      </c>
      <c r="P64" s="128" t="s">
        <v>1417</v>
      </c>
      <c r="Q64" s="128" t="s">
        <v>1417</v>
      </c>
      <c r="R64" s="128" t="s">
        <v>1417</v>
      </c>
      <c r="S64" s="128" t="s">
        <v>1417</v>
      </c>
      <c r="T64" s="128" t="s">
        <v>1417</v>
      </c>
      <c r="U64" s="128" t="s">
        <v>1417</v>
      </c>
      <c r="V64" s="128" t="s">
        <v>1417</v>
      </c>
      <c r="W64" s="128" t="s">
        <v>1417</v>
      </c>
      <c r="X64" s="128" t="s">
        <v>1417</v>
      </c>
      <c r="Y64" s="128" t="s">
        <v>1417</v>
      </c>
      <c r="Z64" s="33"/>
    </row>
    <row r="65" spans="1:26">
      <c r="A65" s="122"/>
      <c r="B65" s="93" t="s">
        <v>22</v>
      </c>
      <c r="C65" s="87">
        <v>-4.313345919915822E-3</v>
      </c>
      <c r="D65" s="88">
        <v>3.8041198507878043E-3</v>
      </c>
      <c r="E65" s="89">
        <v>6.2951002487702298E-3</v>
      </c>
      <c r="F65" s="90">
        <v>2.2816678181729814E-3</v>
      </c>
      <c r="G65" s="87">
        <v>1.1714187890682912E-2</v>
      </c>
      <c r="H65" s="88">
        <v>3.8498008115996399E-3</v>
      </c>
      <c r="I65" s="89">
        <v>1.5912515899198829E-2</v>
      </c>
      <c r="J65" s="91">
        <v>6.7139340075745776E-3</v>
      </c>
      <c r="K65" s="128" t="s">
        <v>1417</v>
      </c>
      <c r="L65" s="128" t="s">
        <v>1417</v>
      </c>
      <c r="M65" s="128" t="s">
        <v>1417</v>
      </c>
      <c r="N65" s="128" t="s">
        <v>1417</v>
      </c>
      <c r="O65" s="128" t="s">
        <v>1417</v>
      </c>
      <c r="P65" s="128" t="s">
        <v>1417</v>
      </c>
      <c r="Q65" s="128" t="s">
        <v>1417</v>
      </c>
      <c r="R65" s="128" t="s">
        <v>1417</v>
      </c>
      <c r="S65" s="128" t="s">
        <v>1417</v>
      </c>
      <c r="T65" s="128" t="s">
        <v>1417</v>
      </c>
      <c r="U65" s="128" t="s">
        <v>1417</v>
      </c>
      <c r="V65" s="128" t="s">
        <v>1417</v>
      </c>
      <c r="W65" s="128" t="s">
        <v>1417</v>
      </c>
      <c r="X65" s="128" t="s">
        <v>1417</v>
      </c>
      <c r="Y65" s="128" t="s">
        <v>1417</v>
      </c>
      <c r="Z65" s="33"/>
    </row>
    <row r="66" spans="1:26">
      <c r="A66" s="122"/>
      <c r="B66" s="110" t="s">
        <v>25</v>
      </c>
      <c r="C66" s="111">
        <v>-3.9050828002820115E-3</v>
      </c>
      <c r="D66" s="112">
        <v>0.99999999999999978</v>
      </c>
      <c r="E66" s="113">
        <v>6.8569179363284771E-2</v>
      </c>
      <c r="F66" s="114">
        <v>1.0000000000000002</v>
      </c>
      <c r="G66" s="111">
        <v>0.11850691409935576</v>
      </c>
      <c r="H66" s="112">
        <v>1</v>
      </c>
      <c r="I66" s="113">
        <v>0.15848852368365307</v>
      </c>
      <c r="J66" s="115">
        <v>1</v>
      </c>
      <c r="K66" s="128" t="s">
        <v>1417</v>
      </c>
      <c r="L66" s="128" t="s">
        <v>1417</v>
      </c>
      <c r="M66" s="128" t="s">
        <v>1417</v>
      </c>
      <c r="N66" s="128" t="s">
        <v>1417</v>
      </c>
      <c r="O66" s="128" t="s">
        <v>1417</v>
      </c>
      <c r="P66" s="128" t="s">
        <v>1417</v>
      </c>
      <c r="Q66" s="128" t="s">
        <v>1417</v>
      </c>
      <c r="R66" s="128" t="s">
        <v>1417</v>
      </c>
      <c r="S66" s="128" t="s">
        <v>1417</v>
      </c>
      <c r="T66" s="128" t="s">
        <v>1417</v>
      </c>
      <c r="U66" s="128" t="s">
        <v>1417</v>
      </c>
      <c r="V66" s="128" t="s">
        <v>1417</v>
      </c>
      <c r="W66" s="128" t="s">
        <v>1417</v>
      </c>
      <c r="X66" s="128" t="s">
        <v>1417</v>
      </c>
      <c r="Y66" s="128" t="s">
        <v>1417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25</v>
      </c>
      <c r="AC3" s="16">
        <f>VLOOKUP(הנחיות!B22,AA5:AB9,2,0)</f>
        <v>4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2025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35">
        <v>9895</v>
      </c>
      <c r="H62" s="35" t="s">
        <v>86</v>
      </c>
      <c r="I62" s="35" t="s">
        <v>115</v>
      </c>
      <c r="J62" s="35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35">
        <v>9898</v>
      </c>
      <c r="H63" s="35" t="s">
        <v>86</v>
      </c>
      <c r="I63" s="35" t="s">
        <v>117</v>
      </c>
      <c r="J63" s="35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35">
        <v>9897</v>
      </c>
      <c r="H64" s="35" t="s">
        <v>86</v>
      </c>
      <c r="I64" s="35" t="s">
        <v>118</v>
      </c>
      <c r="J64" s="35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35">
        <v>9896</v>
      </c>
      <c r="H65" s="35" t="s">
        <v>86</v>
      </c>
      <c r="I65" s="35" t="s">
        <v>119</v>
      </c>
      <c r="J65" s="35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1399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1398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1402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1400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1401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1408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1409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1406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1407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1404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1405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1397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1397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1397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1397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64">
        <v>200000</v>
      </c>
      <c r="H700" s="64" t="s">
        <v>86</v>
      </c>
      <c r="I700" s="64" t="s">
        <v>1396</v>
      </c>
      <c r="J700" s="64" t="s">
        <v>83</v>
      </c>
      <c r="K700" s="65">
        <v>123456789</v>
      </c>
      <c r="L700" s="35" t="s">
        <v>88</v>
      </c>
    </row>
    <row r="701" spans="7:12">
      <c r="G701" s="64">
        <v>200000</v>
      </c>
      <c r="H701" s="64" t="s">
        <v>86</v>
      </c>
      <c r="I701" s="64" t="s">
        <v>1396</v>
      </c>
      <c r="J701" s="64" t="s">
        <v>83</v>
      </c>
      <c r="K701" s="65">
        <v>123456789</v>
      </c>
      <c r="L701" s="35" t="s">
        <v>88</v>
      </c>
    </row>
    <row r="702" spans="7:12">
      <c r="G702" s="64">
        <v>200000</v>
      </c>
      <c r="H702" s="64" t="s">
        <v>86</v>
      </c>
      <c r="I702" s="64" t="s">
        <v>1396</v>
      </c>
      <c r="J702" s="64" t="s">
        <v>83</v>
      </c>
      <c r="K702" s="65">
        <v>123456789</v>
      </c>
      <c r="L702" s="35" t="s">
        <v>88</v>
      </c>
    </row>
    <row r="703" spans="7:12">
      <c r="G703" s="64">
        <v>200000</v>
      </c>
      <c r="H703" s="64" t="s">
        <v>86</v>
      </c>
      <c r="I703" s="64" t="s">
        <v>1396</v>
      </c>
      <c r="J703" s="64" t="s">
        <v>83</v>
      </c>
      <c r="K703" s="65">
        <v>123456789</v>
      </c>
      <c r="L703" s="35" t="s">
        <v>88</v>
      </c>
    </row>
    <row r="704" spans="7:12">
      <c r="G704" s="64">
        <v>200000</v>
      </c>
      <c r="H704" s="64" t="s">
        <v>86</v>
      </c>
      <c r="I704" s="64" t="s">
        <v>1396</v>
      </c>
      <c r="J704" s="64" t="s">
        <v>83</v>
      </c>
      <c r="K704" s="65">
        <v>123456789</v>
      </c>
      <c r="L704" s="35" t="s">
        <v>88</v>
      </c>
    </row>
    <row r="705" spans="7:12">
      <c r="G705" s="64">
        <v>200000</v>
      </c>
      <c r="H705" s="64" t="s">
        <v>86</v>
      </c>
      <c r="I705" s="64" t="s">
        <v>1396</v>
      </c>
      <c r="J705" s="64" t="s">
        <v>83</v>
      </c>
      <c r="K705" s="65">
        <v>123456789</v>
      </c>
      <c r="L705" s="35" t="s">
        <v>88</v>
      </c>
    </row>
    <row r="706" spans="7:12">
      <c r="G706" s="64">
        <v>200000</v>
      </c>
      <c r="H706" s="64" t="s">
        <v>86</v>
      </c>
      <c r="I706" s="64" t="s">
        <v>1396</v>
      </c>
      <c r="J706" s="64" t="s">
        <v>83</v>
      </c>
      <c r="K706" s="65">
        <v>123456789</v>
      </c>
      <c r="L706" s="35" t="s">
        <v>88</v>
      </c>
    </row>
    <row r="707" spans="7:12">
      <c r="G707" s="64">
        <v>200000</v>
      </c>
      <c r="H707" s="64" t="s">
        <v>86</v>
      </c>
      <c r="I707" s="64" t="s">
        <v>1396</v>
      </c>
      <c r="J707" s="64" t="s">
        <v>83</v>
      </c>
      <c r="K707" s="65">
        <v>123456789</v>
      </c>
      <c r="L707" s="35" t="s">
        <v>88</v>
      </c>
    </row>
    <row r="708" spans="7:12">
      <c r="G708" s="64">
        <v>200000</v>
      </c>
      <c r="H708" s="64" t="s">
        <v>86</v>
      </c>
      <c r="I708" s="64" t="s">
        <v>1396</v>
      </c>
      <c r="J708" s="64" t="s">
        <v>83</v>
      </c>
      <c r="K708" s="65">
        <v>123456789</v>
      </c>
      <c r="L708" s="35" t="s">
        <v>88</v>
      </c>
    </row>
    <row r="709" spans="7:12">
      <c r="G709" s="64">
        <v>200000</v>
      </c>
      <c r="H709" s="64" t="s">
        <v>86</v>
      </c>
      <c r="I709" s="64" t="s">
        <v>1396</v>
      </c>
      <c r="J709" s="64" t="s">
        <v>83</v>
      </c>
      <c r="K709" s="65">
        <v>123456789</v>
      </c>
      <c r="L709" s="35" t="s">
        <v>88</v>
      </c>
    </row>
    <row r="710" spans="7:12">
      <c r="G710" s="64">
        <v>200000</v>
      </c>
      <c r="H710" s="64" t="s">
        <v>86</v>
      </c>
      <c r="I710" s="64" t="s">
        <v>1396</v>
      </c>
      <c r="J710" s="64" t="s">
        <v>83</v>
      </c>
      <c r="K710" s="65">
        <v>123456789</v>
      </c>
      <c r="L710" s="35" t="s">
        <v>88</v>
      </c>
    </row>
    <row r="711" spans="7:12">
      <c r="G711" s="64">
        <v>200000</v>
      </c>
      <c r="H711" s="64" t="s">
        <v>86</v>
      </c>
      <c r="I711" s="64" t="s">
        <v>1396</v>
      </c>
      <c r="J711" s="64" t="s">
        <v>83</v>
      </c>
      <c r="K711" s="65">
        <v>123456789</v>
      </c>
      <c r="L711" s="35" t="s">
        <v>88</v>
      </c>
    </row>
    <row r="712" spans="7:12">
      <c r="G712" s="64">
        <v>200000</v>
      </c>
      <c r="H712" s="64" t="s">
        <v>86</v>
      </c>
      <c r="I712" s="64" t="s">
        <v>1396</v>
      </c>
      <c r="J712" s="64" t="s">
        <v>83</v>
      </c>
      <c r="K712" s="65">
        <v>123456789</v>
      </c>
      <c r="L712" s="35" t="s">
        <v>88</v>
      </c>
    </row>
    <row r="713" spans="7:12" hidden="1">
      <c r="G713" s="64">
        <v>200000</v>
      </c>
      <c r="H713" s="64" t="s">
        <v>86</v>
      </c>
      <c r="I713" s="64" t="s">
        <v>1396</v>
      </c>
      <c r="J713" s="64" t="s">
        <v>83</v>
      </c>
      <c r="K713" s="65">
        <v>123456789</v>
      </c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2026-01-19T07:53:36Z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