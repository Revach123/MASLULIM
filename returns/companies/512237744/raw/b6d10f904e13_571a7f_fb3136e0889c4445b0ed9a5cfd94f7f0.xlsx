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788D69C0-E05C-4FCE-89BA-4F2FBD0D1F06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<sst xmlns="http://schemas.openxmlformats.org/spreadsheetml/2006/main" count="5755" uniqueCount="1430">
  <si>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</si>
  <si>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</si>
  <si>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</si>
  <si>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</si>
  <si>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</si>
  <si>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</si>
  <si>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</si>
  <si>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</si>
  <si>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</si>
  <si>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</si>
  <si>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</si>
  <si>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</si>
  <si>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</si>
  <si>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</si>
  <si>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</si>
  <si>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</si>
  <si>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</si>
  <si>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</si>
  <si>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</si>
  <si>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</si>
  <si>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</si>
  <si>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</si>
  <si>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</si>
  <si>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</si>
  <si>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</si>
  <si>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</si>
  <si>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</si>
  <si>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</si>
  <si>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</si>
  <si>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</si>
  <si>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</si>
  <si>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</si>
  <si>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</si>
  <si>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</si>
  <si>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</si>
  <si>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</si>
  <si>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</si>
  <si>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</si>
  <si>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</si>
  <si>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</si>
  <si>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</si>
  <si>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</si>
  <si>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</si>
  <si>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</si>
  <si>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</si>
  <si>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</si>
  <si>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</si>
  <si>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</si>
  <si>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</si>
  <si>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</si>
  <si>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</si>
  <si>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</si>
  <si>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</si>
  <si>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</si>
  <si>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</si>
  <si>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</si>
  <si>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</si>
  <si>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</si>
  <si>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</si>
  <si>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</si>
  <si>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</si>
  <si>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</si>
  <si>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</si>
  <si>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</si>
  <si>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</si>
  <si>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</si>
  <si>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</si>
  <si>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</si>
  <si>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</si>
  <si>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</si>
  <si>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</si>
  <si>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</si>
  <si>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</si>
  <si>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</si>
  <si>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</si>
  <si>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</si>
  <si>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</si>
  <si>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</si>
  <si>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</si>
  <si>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</si>
  <si>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</si>
  <si>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</si>
  <si>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</si>
  <si>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</si>
  <si>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</si>
  <si>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</si>
  <si>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</si>
  <si>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</si>
  <si>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</si>
  <si>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</si>
  <si>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</si>
  <si>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</si>
  <si>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</si>
  <si>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</si>
  <si>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</si>
  <si>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</si>
  <si>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</si>
  <si>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</si>
  <si>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</si>
  <si>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</si>
  <si>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</si>
  <si>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</si>
  <si>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</si>
  <si>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</si>
  <si>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</si>
  <si>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</si>
  <si>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</si>
  <si>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</si>
  <si>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</si>
  <si>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</si>
  <si>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</si>
  <si>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</si>
  <si>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</si>
  <si>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</si>
  <si>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</si>
  <si>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</si>
  <si>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</si>
  <si>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</si>
  <si>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</si>
  <si>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</si>
  <si>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</si>
  <si>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</si>
  <si>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</si>
  <si>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</si>
  <si>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</si>
  <si>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</si>
  <si>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</si>
  <si>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</si>
  <si>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</si>
  <si>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</si>
  <si>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</si>
  <si>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</si>
  <si>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</si>
  <si>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</si>
  <si>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</si>
  <si>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</si>
  <si>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</si>
  <si>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</si>
  <si>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</si>
  <si>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</si>
  <si>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</si>
  <si>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</si>
  <si>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</si>
  <si>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</si>
  <si>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</si>
  <si>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</si>
  <si>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</si>
  <si>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</si>
  <si>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</si>
  <si>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</si>
  <si>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</si>
  <si>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</si>
  <si>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</si>
  <si>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</si>
  <si>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</si>
  <si>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</si>
  <si>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</si>
  <si>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</si>
  <si>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</si>
  <si>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</si>
  <si>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</si>
  <si>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</si>
  <si>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</si>
  <si>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</si>
  <si>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</si>
  <si>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</si>
  <si>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</si>
  <si>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</si>
  <si>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</si>
  <si>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</si>
  <si>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</si>
  <si>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</si>
  <si>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</si>
  <si>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</si>
  <si>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</si>
  <si>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</si>
  <si>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</si>
  <si>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</si>
  <si>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</si>
  <si>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</si>
  <si>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</si>
  <si>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</si>
  <si>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</si>
  <si>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</si>
  <si>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</si>
  <si>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</si>
  <si>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</si>
  <si>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</si>
  <si>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</si>
  <si>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</si>
  <si>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</si>
  <si>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</si>
  <si>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</si>
  <si>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</si>
  <si>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</si>
  <si>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</si>
  <si>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</si>
  <si>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</si>
  <si>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</si>
  <si>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</si>
  <si>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</si>
  <si>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</si>
  <si>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</si>
  <si>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</si>
  <si>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</si>
  <si>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</si>
  <si>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</si>
  <si>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</si>
  <si>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</si>
  <si>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</si>
  <si>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</si>
  <si>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</si>
  <si>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</si>
  <si>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</si>
  <si>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</si>
  <si>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</si>
  <si>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</si>
  <si>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</si>
  <si>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</si>
  <si>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</si>
  <si>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</si>
  <si>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</si>
  <si>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</si>
  <si>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</si>
  <si>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</si>
  <si>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</si>
  <si>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</si>
  <si>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</si>
  <si>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</si>
  <si>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</si>
  <si>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</si>
  <si>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</si>
  <si>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</si>
  <si>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</si>
  <si>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</si>
  <si>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</si>
  <si>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</si>
  <si>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</si>
  <si>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</si>
  <si>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</si>
  <si>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</si>
  <si>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</si>
  <si>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</si>
  <si>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</si>
  <si>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</si>
  <si>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</si>
  <si>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</si>
  <si>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</si>
  <si>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</si>
  <si>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</si>
  <si>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</si>
  <si>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</si>
  <si>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</si>
  <si>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</si>
  <si>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</si>
  <si>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</si>
  <si>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</si>
  <si>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</si>
  <si>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</si>
  <si>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</si>
  <si>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</si>
  <si>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</si>
  <si>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</si>
  <si>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</si>
  <si>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</si>
  <si>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</si>
  <si>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</si>
  <si>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</si>
  <si>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</si>
  <si>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</si>
  <si>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</si>
  <si>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</si>
  <si>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</si>
  <si>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</si>
  <si>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</si>
  <si>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</si>
  <si>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</si>
  <si>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</si>
  <si>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</si>
  <si>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</si>
  <si>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</si>
  <si>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</si>
  <si>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</si>
  <si>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</si>
  <si>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</si>
  <si>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</si>
  <si>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</si>
  <si>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</si>
  <si>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</si>
  <si>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</si>
  <si>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</si>
  <si>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</si>
  <si>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</si>
  <si>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</si>
  <si>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</si>
  <si>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</si>
  <si>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</si>
  <si>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</si>
  <si>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</si>
  <si>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</si>
  <si>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</si>
  <si>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</si>
  <si>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</si>
  <si>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</si>
  <si>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</si>
  <si>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</si>
  <si>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</si>
  <si>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</si>
  <si>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</si>
  <si>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</si>
  <si>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</si>
  <si>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</si>
  <si>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</si>
  <si>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</si>
  <si>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</si>
  <si>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</si>
  <si>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</si>
  <si>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</si>
  <si>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</si>
  <si>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</si>
  <si>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</si>
  <si>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</si>
  <si>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</si>
  <si>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</si>
  <si>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</si>
  <si>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</si>
  <si>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</si>
  <si>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</si>
  <si>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</si>
  <si>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</si>
  <si>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</si>
  <si>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</si>
  <si>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</si>
  <si>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</si>
  <si>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</si>
  <si>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</si>
  <si>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</si>
  <si>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</si>
  <si>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</si>
  <si>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</si>
  <si>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</si>
  <si>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</si>
  <si>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</si>
  <si>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</si>
  <si>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</si>
  <si>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</si>
  <si>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</si>
  <si>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</si>
  <si>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</si>
  <si>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</si>
  <si>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</si>
  <si>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</si>
  <si>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</si>
  <si>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</si>
  <si>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</si>
  <si>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</si>
  <si>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</si>
  <si>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</si>
  <si>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</si>
  <si>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</si>
  <si>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</si>
  <si>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</si>
  <si>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</si>
  <si>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</si>
  <si>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</si>
  <si>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</si>
  <si>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</si>
  <si>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</si>
  <si>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</si>
  <si>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</si>
  <si>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</si>
  <si>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</si>
  <si>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</si>
  <si>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</si>
  <si>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</si>
  <si>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</si>
  <si>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</si>
  <si>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</si>
  <si>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</si>
  <si>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</si>
  <si>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</si>
  <si>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</si>
  <si>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</si>
  <si>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</si>
  <si>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</si>
  <si>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</si>
  <si>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</si>
  <si>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</si>
  <si>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</si>
  <si>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</si>
  <si>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</si>
  <si>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</si>
  <si>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</si>
  <si>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</si>
  <si>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</si>
  <si>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</si>
  <si>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</si>
  <si>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</si>
  <si>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</si>
  <si>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</si>
  <si>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</si>
  <si>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</si>
  <si>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</si>
  <si>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</si>
  <si>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</si>
  <si>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</si>
  <si>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</si>
  <si>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</si>
  <si>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</si>
  <si>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</si>
  <si>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</si>
  <si>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</si>
  <si>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</si>
  <si>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</si>
  <si>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</si>
  <si>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</si>
  <si>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</si>
  <si>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</si>
  <si>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</si>
  <si>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</si>
  <si>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</si>
  <si>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</si>
  <si>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</si>
  <si>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</si>
  <si>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</si>
  <si>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</si>
  <si>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</si>
  <si>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</si>
  <si>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</si>
  <si>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</si>
  <si>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</si>
  <si>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</si>
  <si>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</si>
  <si>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</si>
  <si>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</si>
  <si>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</si>
  <si>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</si>
  <si>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</si>
  <si>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</si>
  <si>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</si>
  <si>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</si>
  <si>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</si>
  <si>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</si>
  <si>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</si>
  <si>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</si>
  <si>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</si>
  <si>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</si>
  <si>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</si>
  <si>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</si>
  <si>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</si>
  <si>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</si>
  <si>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</si>
  <si>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</si>
  <si>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</si>
  <si>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</si>
  <si>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</si>
  <si>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</si>
  <si>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</si>
  <si>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</si>
  <si>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</si>
  <si>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</si>
  <si>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</si>
  <si>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</si>
  <si>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</si>
  <si>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</si>
  <si>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</si>
  <si>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</si>
  <si>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</si>
  <si>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</si>
  <si>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</si>
  <si>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</si>
  <si>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</si>
  <si>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</si>
  <si>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</si>
  <si>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</si>
  <si>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</si>
  <si>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</si>
  <si>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</si>
  <si>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</si>
  <si>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</si>
  <si>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</si>
  <si>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</si>
  <si>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</si>
  <si>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</si>
  <si>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</si>
  <si>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</si>
  <si>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</si>
  <si>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</si>
  <si>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</si>
  <si>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</si>
  <si>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</si>
  <si>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</si>
  <si>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</si>
  <si>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</si>
  <si>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</si>
  <si>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</si>
  <si>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</si>
  <si>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</si>
  <si>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</si>
  <si>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</si>
  <si>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</si>
  <si>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</si>
  <si>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</si>
  <si>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</si>
  <si>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</si>
  <si>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</si>
  <si>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</si>
  <si>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</si>
  <si>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</si>
  <si>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</si>
  <si>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</si>
  <si>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</si>
  <si>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</si>
  <si>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</si>
  <si>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</si>
  <si>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</si>
  <si>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</si>
  <si>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</si>
  <si>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</si>
  <si>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</si>
  <si>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</si>
  <si>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</si>
  <si>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</si>
  <si>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</si>
  <si>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</si>
  <si>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</si>
  <si>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</si>
  <si>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</si>
  <si>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</si>
  <si>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</si>
  <si>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</si>
  <si>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</si>
  <si>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</si>
  <si>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</si>
  <si>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</si>
  <si>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</si>
  <si>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</si>
  <si>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</si>
  <si>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</si>
  <si>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</si>
  <si>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</si>
  <si>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</si>
  <si>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</si>
  <si>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</si>
  <si>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</si>
  <si>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</si>
  <si>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</si>
  <si>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</si>
  <si>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</si>
  <si>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</si>
  <si>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</si>
  <si>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</si>
  <si>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</si>
  <si>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</si>
  <si>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</si>
  <si>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</si>
  <si>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</si>
  <si>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</si>
  <si>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</si>
  <si>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</si>
  <si>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</si>
  <si>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</si>
  <si>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</si>
  <si>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</si>
  <si>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</si>
  <si>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</si>
  <si>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</si>
  <si>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</si>
  <si>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</si>
  <si>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</si>
  <si>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</si>
  <si>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</si>
  <si>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</si>
  <si>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</si>
  <si>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</si>
  <si>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</si>
  <si>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</si>
  <si>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</si>
  <si>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</si>
  <si>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</si>
  <si>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</si>
  <si>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</si>
  <si>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</si>
  <si>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</si>
  <si>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</si>
  <si>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</si>
  <si>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</si>
  <si>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</si>
  <si>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</si>
  <si>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</si>
  <si>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</si>
  <si>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</si>
  <si>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</si>
  <si>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</si>
  <si>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</si>
  <si>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</si>
  <si>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</si>
  <si>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</si>
  <si>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</si>
  <si>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</si>
  <si>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</si>
  <si>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</si>
  <si>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</si>
  <si>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</si>
  <si>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</si>
  <si>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</si>
  <si>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</si>
  <si>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</si>
  <si>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</si>
  <si>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</si>
  <si>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</si>
  <si>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</si>
  <si>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</si>
  <si>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</si>
  <si>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</si>
  <si>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</si>
  <si>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</si>
  <si>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</si>
  <si>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</si>
  <si>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</si>
  <si>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</si>
  <si>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</si>
  <si>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</si>
  <si>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</si>
  <si>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</si>
  <si>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</si>
  <si>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</si>
  <si>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</si>
  <si>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</si>
  <si>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</si>
  <si>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</si>
  <si>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</si>
  <si>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</si>
  <si>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</si>
  <si>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</si>
  <si>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</si>
  <si>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</si>
  <si>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</si>
  <si>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</si>
  <si>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</si>
  <si>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</si>
  <si>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</si>
  <si>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</si>
  <si>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</si>
  <si>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</si>
  <si>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</si>
  <si>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</si>
  <si>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</si>
  <si>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</si>
  <si>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</si>
  <si>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</si>
  <si>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</si>
  <si>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</si>
  <si>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</si>
  <si>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</si>
  <si>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</si>
  <si>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</si>
  <si>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</si>
  <si>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</si>
  <si>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</si>
  <si>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</si>
  <si>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</si>
  <si>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</si>
  <si>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</si>
  <si>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</si>
  <si>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</si>
  <si>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</si>
  <si>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</si>
  <si>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</si>
  <si>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</si>
  <si>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</si>
  <si>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</si>
  <si>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</si>
  <si>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</si>
  <si>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</si>
  <si>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</si>
  <si>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</si>
  <si>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</si>
  <si>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</si>
  <si>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</si>
  <si>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</si>
  <si>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</si>
  <si>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</si>
  <si>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</si>
  <si>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</si>
  <si>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</si>
  <si>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</si>
  <si>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</si>
  <si>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</si>
  <si>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</si>
  <si>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</si>
  <si>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</si>
  <si>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</si>
  <si>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</si>
  <si>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</si>
  <si>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</si>
  <si>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</si>
  <si>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</si>
  <si>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</si>
  <si>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</si>
  <si>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</si>
  <si>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</si>
  <si>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</si>
  <si>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</si>
  <si>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</si>
  <si>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</si>
  <si>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</si>
  <si>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</si>
  <si>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</si>
  <si>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</si>
  <si>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</si>
  <si>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</si>
  <si>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</si>
  <si>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</si>
  <si>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</si>
  <si>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</si>
  <si>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</si>
  <si>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</si>
  <si>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</si>
  <si>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</si>
  <si>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</si>
  <si>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</si>
  <si>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</si>
  <si>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</si>
  <si>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</si>
  <si>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</si>
  <si>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</si>
  <si>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</si>
  <si>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</si>
  <si>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</si>
  <si>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</si>
  <si>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</si>
  <si>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</si>
  <si>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</si>
  <si>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</si>
  <si>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</si>
  <si>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</si>
  <si>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</si>
  <si>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</si>
  <si>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</si>
  <si>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</si>
  <si>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</si>
  <si>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</si>
  <si>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</si>
  <si>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</si>
  <si>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</si>
  <si>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</si>
  <si>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</si>
  <si>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</si>
  <si>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</si>
  <si>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</si>
  <si>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</si>
  <si>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</si>
  <si>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</si>
  <si>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</si>
  <si>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</si>
  <si>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</si>
  <si>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</si>
  <si>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</si>
  <si>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</si>
  <si>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</si>
  <si>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</si>
  <si>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</si>
  <si>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</si>
  <si>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</si>
  <si>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</si>
  <si>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</si>
  <si>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</si>
  <si>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</si>
  <si>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</si>
  <si>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</si>
  <si>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</si>
  <si>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</si>
  <si>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</si>
  <si>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</si>
  <si>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</si>
  <si>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</si>
  <si>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</si>
  <si>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</si>
  <si>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</si>
  <si>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</si>
  <si>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</si>
  <si>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</si>
  <si>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</si>
  <si>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</si>
  <si>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</si>
  <si>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</si>
  <si>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</si>
  <si>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</si>
  <si>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</si>
  <si>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</si>
  <si>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</si>
  <si>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</si>
  <si>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</si>
  <si>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</si>
  <si>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</si>
  <si>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</si>
  <si>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</si>
  <si>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</si>
  <si>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</si>
  <si>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</si>
  <si>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</si>
  <si>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</si>
  <si>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</si>
  <si>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</si>
  <si>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</si>
  <si>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</si>
  <si>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</si>
  <si>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</si>
  <si>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</si>
  <si>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</si>
  <si>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</si>
  <si>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</si>
  <si>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</si>
  <si>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</si>
  <si>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</si>
  <si>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</si>
  <si>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</si>
  <si>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</si>
  <si>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</si>
  <si>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</si>
  <si>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</si>
  <si>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</si>
  <si>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</si>
  <si>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</si>
  <si>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</si>
  <si>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</si>
  <si>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</si>
  <si>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</si>
  <si>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</si>
  <si>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</si>
  <si>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</si>
  <si>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</si>
  <si>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</si>
  <si>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</si>
  <si>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</si>
  <si>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</si>
  <si>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</si>
  <si>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</si>
  <si>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</si>
  <si>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</si>
  <si>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</si>
  <si>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</si>
  <si>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</si>
  <si>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</si>
  <si>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</si>
  <si>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</si>
  <si>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</si>
  <si>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</si>
  <si>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</si>
  <si>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</si>
  <si>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</si>
  <si>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</si>
  <si>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</si>
  <si>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</si>
  <si>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</si>
  <si>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</si>
  <si>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</si>
  <si>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</si>
  <si>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</si>
  <si>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</si>
  <si>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</si>
  <si>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</si>
  <si>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</si>
  <si>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</si>
  <si>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</si>
  <si>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</si>
  <si>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</si>
  <si>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</si>
  <si>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</si>
  <si>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</si>
  <si>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</si>
  <si>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</si>
  <si>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</si>
  <si>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</si>
  <si>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</si>
  <si>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</si>
  <si>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</si>
  <si>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</si>
  <si>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</si>
  <si>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</si>
  <si>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</si>
  <si>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</si>
  <si>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</si>
  <si>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</si>
  <si>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</si>
  <si>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</si>
  <si>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</si>
  <si>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</si>
  <si>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</si>
  <si>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</si>
  <si>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</si>
  <si>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</si>
  <si>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</si>
  <si>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</si>
  <si>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</si>
  <si>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</si>
  <si>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</si>
  <si>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</si>
  <si>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</si>
  <si>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</si>
  <si>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</si>
  <si>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</si>
  <si>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</si>
  <si>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</si>
  <si>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</si>
  <si>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</si>
  <si>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</si>
  <si>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</si>
  <si>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</si>
  <si>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</si>
  <si>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</si>
  <si>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</si>
  <si>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</si>
  <si>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</si>
  <si>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</si>
  <si>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</si>
  <si>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</si>
  <si>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</si>
  <si>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</si>
  <si>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</si>
  <si>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</si>
  <si>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</si>
  <si>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</si>
  <si>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</si>
  <si>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</si>
  <si>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</si>
  <si>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</si>
  <si>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</si>
  <si>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</si>
  <si>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</si>
  <si>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</si>
  <si>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</si>
  <si>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</si>
  <si>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</si>
  <si>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</si>
  <si>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</si>
  <si>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</si>
  <si>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</si>
  <si>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</si>
  <si>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</si>
  <si>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</si>
  <si>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</si>
  <si>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</si>
  <si>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</si>
  <si>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</si>
  <si>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</si>
  <si>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</si>
  <si>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</si>
  <si>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</si>
  <si>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</si>
  <si>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</si>
  <si>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</si>
  <si>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</si>
  <si>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</si>
  <si>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</si>
  <si>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</si>
  <si>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</si>
  <si>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</si>
  <si>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</si>
  <si>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</si>
  <si>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</si>
  <si>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</si>
  <si>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</si>
  <si>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</si>
  <si>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</si>
  <si>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</si>
  <si>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</si>
  <si>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</si>
  <si>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</si>
  <si>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</si>
  <si>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</si>
  <si>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</si>
  <si>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</si>
  <si>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</si>
  <si>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</si>
  <si>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</si>
  <si>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</si>
  <si>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</si>
  <si>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</si>
  <si>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</si>
  <si>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</si>
  <si>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</si>
  <si>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</si>
  <si>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</si>
  <si>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</si>
  <si>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</si>
  <si>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</si>
  <si>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</si>
  <si>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</si>
  <si>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</si>
  <si>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</si>
  <si>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</si>
  <si>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</si>
  <si>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</si>
  <si>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</si>
  <si>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</si>
  <si>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</si>
  <si>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</si>
  <si>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</si>
  <si>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</si>
  <si>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</si>
  <si>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</si>
  <si>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</si>
  <si>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</si>
  <si>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</si>
  <si>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</si>
  <si>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</si>
  <si>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</si>
  <si>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</si>
  <si>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</si>
  <si>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</si>
  <si>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</si>
  <si>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</si>
  <si>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</si>
  <si>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</si>
  <si>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</si>
  <si>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</si>
  <si>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</si>
  <si>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</si>
  <si>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</si>
  <si>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</si>
  <si>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</si>
  <si>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</si>
  <si>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</si>
  <si>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</si>
  <si>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</si>
  <si>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</si>
  <si>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</si>
  <si>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</si>
  <si>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</si>
  <si>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</si>
  <si>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</si>
  <si>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</si>
  <si>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</si>
  <si>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</si>
  <si>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</si>
  <si>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</si>
  <si>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</si>
  <si>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</si>
  <si>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</si>
  <si>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</si>
  <si>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</si>
  <si>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</si>
  <si>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</si>
  <si>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</si>
  <si>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</si>
  <si>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</si>
  <si>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</si>
  <si>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</si>
  <si>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</si>
  <si>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</si>
  <si>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</si>
  <si>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</si>
  <si>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</si>
  <si>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</si>
  <si>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</si>
  <si>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</si>
  <si>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</si>
  <si>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</si>
  <si>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</si>
  <si>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</si>
  <si>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</si>
  <si>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</si>
  <si>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</si>
  <si>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</si>
  <si>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</si>
  <si>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</si>
  <si>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</si>
  <si>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</si>
  <si>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</si>
  <si>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</si>
  <si>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</si>
  <si>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</si>
  <si>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</si>
  <si>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</si>
  <si>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</si>
  <si>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</si>
  <si>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</si>
  <si>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</si>
  <si>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</si>
  <si>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</si>
  <si>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</si>
  <si>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</si>
  <si>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</si>
  <si>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</si>
  <si>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</si>
  <si>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</si>
  <si>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</si>
  <si>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</si>
  <si>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</si>
  <si>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</si>
  <si>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</si>
  <si>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</si>
  <si>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</si>
  <si>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</si>
  <si>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</si>
  <si>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</si>
  <si>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</si>
  <si>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</si>
  <si>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</si>
  <si>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</si>
  <si>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</si>
  <si>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</si>
  <si>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</si>
  <si>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</si>
  <si>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</si>
  <si>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</si>
  <si>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</si>
  <si>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</si>
  <si>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</si>
  <si>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</si>
  <si>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</si>
  <si>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</si>
  <si>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</si>
  <si>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</si>
  <si>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</si>
  <si>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</si>
  <si>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</si>
  <si>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</si>
  <si>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</si>
  <si>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</si>
  <si>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</si>
  <si>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</si>
  <si>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</si>
  <si>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</si>
  <si>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</si>
  <si>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</si>
  <si>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</si>
  <si>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</si>
  <si>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</si>
  <si>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</si>
  <si>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</si>
  <si>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</si>
  <si>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</si>
  <si>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</si>
  <si>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</si>
  <si>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</si>
  <si>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</si>
  <si>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</si>
  <si>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</si>
  <si>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</si>
  <si>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</si>
  <si>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</si>
  <si>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</si>
  <si>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</si>
  <si>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</si>
  <si>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</si>
  <si>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</si>
  <si>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</si>
  <si>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</si>
  <si>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</si>
  <si>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</si>
  <si>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</si>
  <si>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</si>
  <si>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</si>
  <si>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</si>
  <si>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</si>
  <si>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</si>
  <si>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</si>
  <si>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</si>
  <si>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</si>
  <si>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</si>
  <si>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</si>
  <si>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</si>
  <si>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</si>
  <si>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</si>
  <si>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</si>
  <si>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</si>
  <si>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</si>
  <si>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</si>
  <si>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</si>
  <si>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</si>
  <si>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</si>
  <si>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</si>
  <si>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</si>
  <si>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</si>
  <si>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</si>
  <si>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</si>
  <si>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</si>
  <si>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</si>
  <si>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</si>
  <si>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</si>
  <si>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</si>
  <si>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</si>
  <si>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</si>
  <si>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</si>
  <si>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</si>
  <si>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</si>
  <si>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</si>
  <si>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</si>
  <si>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</si>
  <si>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</si>
  <si>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</si>
  <si>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</si>
  <si>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</si>
  <si>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</si>
  <si>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</si>
  <si>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</si>
  <si>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</si>
  <si>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</si>
  <si>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</si>
  <si>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</si>
  <si>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</si>
  <si>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</si>
  <si>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</si>
  <si>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</si>
  <si>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</si>
  <si>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</si>
  <si>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</si>
  <si>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</si>
  <si>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</si>
  <si>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</si>
  <si>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</si>
  <si>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</si>
  <si>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</si>
  <si>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</si>
  <si>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</si>
  <si>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</si>
  <si>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</si>
  <si>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</si>
  <si>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</si>
  <si>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</si>
  <si>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</si>
  <si>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</si>
  <si>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</si>
  <si>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</si>
  <si>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</si>
  <si>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</si>
  <si>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</si>
  <si>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</si>
  <si>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</si>
  <si>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</si>
  <si>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</si>
  <si>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</si>
  <si>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</si>
  <si>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</si>
  <si>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</si>
  <si>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</si>
  <si>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</si>
  <si>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</si>
  <si>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</si>
  <si>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</si>
  <si>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</si>
  <si>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</si>
  <si>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</si>
  <si>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</si>
  <si>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</si>
  <si>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</si>
  <si>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</si>
  <si>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</si>
  <si>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</si>
  <si>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</si>
  <si>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</si>
  <si>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</si>
  <si>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</si>
  <si>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</si>
  <si>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</si>
  <si>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</si>
  <si>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</si>
  <si>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</si>
  <si>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</si>
  <si>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</si>
  <si>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</si>
  <si>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</si>
  <si>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</si>
  <si>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</si>
  <si>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</si>
  <si>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</si>
  <si>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</si>
  <si>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</si>
  <si>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</si>
  <si>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</si>
  <si>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</si>
  <si>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</si>
  <si>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</si>
  <si>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</si>
  <si>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</si>
  <si>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</si>
  <si>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</si>
  <si>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</si>
  <si>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</si>
  <si>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</si>
  <si>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</si>
  <si>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</si>
  <si>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</si>
  <si>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</si>
  <si>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</si>
  <si>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</si>
  <si>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</si>
  <si>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</si>
  <si>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</si>
  <si>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</si>
  <si>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</si>
  <si>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</si>
  <si>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</si>
  <si>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</si>
  <si>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</si>
  <si>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</si>
  <si>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</si>
  <si>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</si>
  <si>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</si>
  <si>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</si>
  <si>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</si>
  <si>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</si>
  <si>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</si>
  <si>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</si>
  <si>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</si>
  <si>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</si>
  <si>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</si>
  <si>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</si>
  <si>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</si>
  <si>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</si>
  <si>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</si>
  <si>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</si>
  <si>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</si>
  <si>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</si>
  <si>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</si>
  <si>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</si>
  <si>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</si>
  <si>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</si>
  <si>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</si>
  <si>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</si>
  <si>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</si>
  <si>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</si>
  <si>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</si>
  <si>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</si>
  <si>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</si>
  <si>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</si>
  <si>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</si>
  <si>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</si>
  <si>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</si>
  <si>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</si>
  <si>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</si>
  <si>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</si>
  <si>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</si>
  <si>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</si>
  <si>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</si>
  <si>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</si>
  <si>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</si>
  <si>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</si>
  <si>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</si>
  <si>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</si>
  <si>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</si>
  <si>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</si>
  <si>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</si>
  <si>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</si>
  <si>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</si>
  <si>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</si>
  <si>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</si>
  <si>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</si>
  <si>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</si>
  <si>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</si>
  <si>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</si>
  <si>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</si>
  <si>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</si>
  <si>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</si>
  <si>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</si>
  <si>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</si>
  <si>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</si>
  <si>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</si>
  <si>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</si>
  <si>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</si>
  <si>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</si>
  <si>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</si>
  <si>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</si>
  <si>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</si>
  <si>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</si>
  <si>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</si>
  <si>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</si>
  <si>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</si>
  <si>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</si>
  <si>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</si>
  <si>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</si>
  <si>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</si>
  <si>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</si>
  <si>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</si>
  <si>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</si>
  <si>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</si>
  <si>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</si>
  <si>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</si>
  <si>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</si>
  <si>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</si>
  <si>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</si>
  <si>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</si>
  <si>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</si>
  <si>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</si>
  <si>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</si>
  <si>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</si>
  <si>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</si>
  <si>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</si>
  <si>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</si>
  <si>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</si>
  <si>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</si>
  <si>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</si>
  <si>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</si>
  <si>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</si>
  <si>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</si>
  <si>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</si>
  <si>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</si>
  <si>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</si>
  <si>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</si>
  <si>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</si>
  <si>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</si>
  <si>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</si>
  <si>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</si>
  <si>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</si>
  <si>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</si>
  <si>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</si>
  <si>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</si>
  <si>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</si>
  <si>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</si>
  <si>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</si>
  <si>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</si>
  <si>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</si>
  <si>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</si>
  <si>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</si>
  <si>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</si>
  <si>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</si>
  <si>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</si>
  <si>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</si>
  <si>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</si>
  <si>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</si>
  <si>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</si>
  <si>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30.09.26</t>
  </si>
  <si>
    <t>מגדל גמל להשקעה - אשראי ואג"ח</t>
  </si>
  <si>
    <t>מגדל גמל להשקעה - מסלול משולב סחיר</t>
  </si>
  <si>
    <t>מגדל גמל להשקעה - מסלול מניות סחיר</t>
  </si>
  <si>
    <t>מגדל גמל להשקעה -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</si>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</sst>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4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7" t="s">
        <v>1429</v>
      </c>
      <c r="D1" s="8" t="s">
        <v>74</v>
      </c>
    </row>
    <row r="2" spans="1:4">
      <c r="A2" s="73" t="s">
        <v>64</v>
      </c>
      <c r="B2" s="9">
        <v>1</v>
      </c>
      <c r="C2" s="9" t="s">
        <v>65</v>
      </c>
      <c r="D2" s="10" t="s">
        <v>79</v>
      </c>
    </row>
    <row r="3" spans="1:4">
      <c r="A3" s="78"/>
      <c r="B3" s="9">
        <v>2</v>
      </c>
      <c r="C3" s="9" t="s">
        <v>66</v>
      </c>
      <c r="D3" s="10" t="s">
        <v>67</v>
      </c>
    </row>
    <row r="4" spans="1:4">
      <c r="A4" s="78"/>
      <c r="B4" s="9">
        <v>3</v>
      </c>
      <c r="C4" s="9" t="s">
        <v>68</v>
      </c>
      <c r="D4" s="10" t="s">
        <v>69</v>
      </c>
    </row>
    <row r="5" spans="1:4">
      <c r="A5" s="78"/>
      <c r="B5" s="74">
        <v>4</v>
      </c>
      <c r="C5" s="9" t="s">
        <v>70</v>
      </c>
      <c r="D5" s="10" t="s">
        <v>75</v>
      </c>
    </row>
    <row r="6" spans="1:4">
      <c r="A6" s="78"/>
      <c r="B6" s="79"/>
      <c r="C6" s="80"/>
      <c r="D6" s="58" t="s">
        <v>909</v>
      </c>
    </row>
    <row r="7" spans="1:4">
      <c r="A7" s="78"/>
      <c r="B7" s="79"/>
      <c r="C7" s="80"/>
      <c r="D7" s="57" t="s">
        <v>1384</v>
      </c>
    </row>
    <row r="8" spans="1:4">
      <c r="A8" s="78"/>
      <c r="B8" s="79"/>
      <c r="C8" s="80"/>
      <c r="D8" s="59" t="s">
        <v>1385</v>
      </c>
    </row>
    <row r="9" spans="1:4">
      <c r="A9" s="78"/>
      <c r="B9" s="79"/>
      <c r="C9" s="80"/>
      <c r="D9" s="10" t="s">
        <v>76</v>
      </c>
    </row>
    <row r="10" spans="1:4">
      <c r="A10" s="78"/>
      <c r="B10" s="79"/>
      <c r="C10" s="80"/>
      <c r="D10" s="58" t="s">
        <v>77</v>
      </c>
    </row>
    <row r="11" spans="1:4">
      <c r="A11" s="78"/>
      <c r="B11" s="79"/>
      <c r="C11" s="80"/>
      <c r="D11" s="57" t="s">
        <v>78</v>
      </c>
    </row>
    <row r="12" spans="1:4">
      <c r="A12" s="78"/>
      <c r="B12" s="79"/>
      <c r="C12" s="80"/>
      <c r="D12" s="10" t="s">
        <v>71</v>
      </c>
    </row>
    <row r="13" spans="1:4">
      <c r="A13" s="78"/>
      <c r="B13" s="79"/>
      <c r="C13" s="80"/>
      <c r="D13" s="10" t="s">
        <v>1377</v>
      </c>
    </row>
    <row r="14" spans="1:4">
      <c r="A14" s="78"/>
      <c r="B14" s="79"/>
      <c r="C14" s="80"/>
      <c r="D14" s="10" t="s">
        <v>1378</v>
      </c>
    </row>
    <row r="15" spans="1:4">
      <c r="A15" s="75" t="s">
        <v>905</v>
      </c>
      <c r="B15" s="9">
        <v>5</v>
      </c>
      <c r="C15" s="9" t="s">
        <v>72</v>
      </c>
      <c r="D15" s="10" t="s">
        <v>73</v>
      </c>
    </row>
    <row r="16" spans="1:4">
      <c r="A16" s="81"/>
      <c r="B16" s="9">
        <v>6</v>
      </c>
      <c r="C16" s="80"/>
      <c r="D16" s="9" t="s">
        <v>904</v>
      </c>
    </row>
    <row r="17" spans="1:4" ht="28.5">
      <c r="A17" s="82"/>
      <c r="B17" s="9">
        <v>7</v>
      </c>
      <c r="C17" s="80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15455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גמל להשקעה - מסלול משולב סחיר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512237744_g15455_Yield326.xlsx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5"/>
      <c r="B1" s="3" t="s">
        <v>0</v>
      </c>
    </row>
    <row r="2" spans="1:31" ht="18.75">
      <c r="A2" s="125"/>
      <c r="B2" s="6" t="s">
        <v>821</v>
      </c>
      <c r="C2" s="25">
        <f>הנחיות!B21</f>
        <v>15455</v>
      </c>
      <c r="D2" s="76"/>
      <c r="E2" s="76"/>
    </row>
    <row r="3" spans="1:31" ht="18.75">
      <c r="A3" s="125"/>
      <c r="B3" s="7" t="s">
        <v>28</v>
      </c>
      <c r="C3" s="24" t="str">
        <f ca="1">הנחיות!B23</f>
        <v>מגדל גמל להשקעה - מסלול משולב סחיר</v>
      </c>
      <c r="D3" s="24"/>
    </row>
    <row r="4" spans="1:31" ht="18.75">
      <c r="A4" s="125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5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4">
        <f>W5+1</f>
        <v>1</v>
      </c>
      <c r="Z5" s="4"/>
    </row>
    <row r="6" spans="1:31" s="20" customFormat="1" ht="47.45" customHeight="1">
      <c r="A6" s="127"/>
      <c r="B6" s="119" t="s">
        <v>26</v>
      </c>
      <c r="C6" s="120" t="s">
        <v>30</v>
      </c>
      <c r="D6" s="121" t="s">
        <v>31</v>
      </c>
      <c r="E6" s="122" t="s">
        <v>32</v>
      </c>
      <c r="F6" s="123" t="s">
        <v>33</v>
      </c>
      <c r="G6" s="120" t="s">
        <v>34</v>
      </c>
      <c r="H6" s="121" t="s">
        <v>35</v>
      </c>
      <c r="I6" s="122" t="s">
        <v>36</v>
      </c>
      <c r="J6" s="123" t="s">
        <v>37</v>
      </c>
      <c r="K6" s="120" t="s">
        <v>38</v>
      </c>
      <c r="L6" s="121" t="s">
        <v>39</v>
      </c>
      <c r="M6" s="122" t="s">
        <v>40</v>
      </c>
      <c r="N6" s="123" t="s">
        <v>41</v>
      </c>
      <c r="O6" s="120" t="s">
        <v>42</v>
      </c>
      <c r="P6" s="121" t="s">
        <v>43</v>
      </c>
      <c r="Q6" s="122" t="s">
        <v>44</v>
      </c>
      <c r="R6" s="123" t="s">
        <v>45</v>
      </c>
      <c r="S6" s="120" t="s">
        <v>46</v>
      </c>
      <c r="T6" s="121" t="s">
        <v>47</v>
      </c>
      <c r="U6" s="122" t="s">
        <v>48</v>
      </c>
      <c r="V6" s="123" t="s">
        <v>49</v>
      </c>
      <c r="W6" s="120" t="s">
        <v>50</v>
      </c>
      <c r="X6" s="121" t="s">
        <v>51</v>
      </c>
      <c r="Y6" s="122" t="s">
        <v>52</v>
      </c>
      <c r="Z6" s="124" t="s">
        <v>53</v>
      </c>
      <c r="AE6" s="21"/>
    </row>
    <row r="7" spans="1:31">
      <c r="A7" s="125"/>
      <c r="B7" s="89" t="s">
        <v>1</v>
      </c>
      <c r="C7" s="90">
        <v>-1.0072377210290156E-3</v>
      </c>
      <c r="D7" s="91">
        <v>0.1938696593057658</v>
      </c>
      <c r="E7" s="92">
        <v>9.8669771597127394E-4</v>
      </c>
      <c r="F7" s="93">
        <v>0.18465854961641634</v>
      </c>
      <c r="G7" s="90">
        <v>1.9132526961823481E-3</v>
      </c>
      <c r="H7" s="91">
        <v>0.19026228149350774</v>
      </c>
      <c r="I7" s="92">
        <v>-2.7854541951312789E-3</v>
      </c>
      <c r="J7" s="93">
        <v>0.18557984053186627</v>
      </c>
      <c r="K7" s="90">
        <v>-8.8417604432060965E-4</v>
      </c>
      <c r="L7" s="91">
        <v>0.16341949852622462</v>
      </c>
      <c r="M7" s="92">
        <v>2.3484710856335068E-3</v>
      </c>
      <c r="N7" s="93">
        <v>0.17742697300397603</v>
      </c>
      <c r="O7" s="90">
        <v>2.1811210750578209E-3</v>
      </c>
      <c r="P7" s="91">
        <v>0.20426976427930099</v>
      </c>
      <c r="Q7" s="92">
        <v>-7.4330811636641556E-4</v>
      </c>
      <c r="R7" s="93">
        <v>0.20599121432002054</v>
      </c>
      <c r="S7" s="90">
        <v>2.0978828611948139E-3</v>
      </c>
      <c r="T7" s="91">
        <v>0.21249483514338957</v>
      </c>
      <c r="U7" s="92" t="s">
        <v>1409</v>
      </c>
      <c r="V7" s="93" t="s">
        <v>1409</v>
      </c>
      <c r="W7" s="90" t="s">
        <v>1409</v>
      </c>
      <c r="X7" s="91" t="s">
        <v>1409</v>
      </c>
      <c r="Y7" s="92" t="s">
        <v>1409</v>
      </c>
      <c r="Z7" s="94" t="s">
        <v>1409</v>
      </c>
      <c r="AE7" s="2"/>
    </row>
    <row r="8" spans="1:31" ht="30">
      <c r="A8" s="125"/>
      <c r="B8" s="95" t="s">
        <v>908</v>
      </c>
      <c r="C8" s="90">
        <v>6.8263605273183173E-4</v>
      </c>
      <c r="D8" s="91">
        <v>0.11882157560784801</v>
      </c>
      <c r="E8" s="92">
        <v>3.4550720696686904E-4</v>
      </c>
      <c r="F8" s="93">
        <v>0.11918370167948089</v>
      </c>
      <c r="G8" s="90">
        <v>-1.4246058892296474E-3</v>
      </c>
      <c r="H8" s="91">
        <v>0.1203885233550986</v>
      </c>
      <c r="I8" s="92">
        <v>8.0309758432882167E-4</v>
      </c>
      <c r="J8" s="93">
        <v>0.11857086545912338</v>
      </c>
      <c r="K8" s="90">
        <v>1.8496462352571451E-3</v>
      </c>
      <c r="L8" s="91">
        <v>0.11896878977673313</v>
      </c>
      <c r="M8" s="92">
        <v>8.7175787424477729E-4</v>
      </c>
      <c r="N8" s="93">
        <v>0.11853975491417106</v>
      </c>
      <c r="O8" s="90">
        <v>-6.4283056055284811E-4</v>
      </c>
      <c r="P8" s="91">
        <v>0.11707351545233277</v>
      </c>
      <c r="Q8" s="92">
        <v>3.4011120799490047E-4</v>
      </c>
      <c r="R8" s="93">
        <v>0.11845184714096874</v>
      </c>
      <c r="S8" s="90">
        <v>-1.0397536094557353E-3</v>
      </c>
      <c r="T8" s="91">
        <v>0.11733789108726804</v>
      </c>
      <c r="U8" s="92" t="s">
        <v>1409</v>
      </c>
      <c r="V8" s="93" t="s">
        <v>1409</v>
      </c>
      <c r="W8" s="90" t="s">
        <v>1409</v>
      </c>
      <c r="X8" s="91" t="s">
        <v>1409</v>
      </c>
      <c r="Y8" s="92" t="s">
        <v>1409</v>
      </c>
      <c r="Z8" s="94" t="s">
        <v>1409</v>
      </c>
      <c r="AE8" s="2"/>
    </row>
    <row r="9" spans="1:31">
      <c r="A9" s="125"/>
      <c r="B9" s="96" t="s">
        <v>2</v>
      </c>
      <c r="C9" s="90">
        <v>0</v>
      </c>
      <c r="D9" s="91">
        <v>0</v>
      </c>
      <c r="E9" s="92">
        <v>0</v>
      </c>
      <c r="F9" s="93">
        <v>0</v>
      </c>
      <c r="G9" s="90">
        <v>0</v>
      </c>
      <c r="H9" s="91">
        <v>0</v>
      </c>
      <c r="I9" s="92">
        <v>0</v>
      </c>
      <c r="J9" s="93">
        <v>0</v>
      </c>
      <c r="K9" s="90">
        <v>0</v>
      </c>
      <c r="L9" s="91">
        <v>0</v>
      </c>
      <c r="M9" s="92">
        <v>0</v>
      </c>
      <c r="N9" s="93">
        <v>0</v>
      </c>
      <c r="O9" s="90">
        <v>0</v>
      </c>
      <c r="P9" s="91">
        <v>0</v>
      </c>
      <c r="Q9" s="92">
        <v>0</v>
      </c>
      <c r="R9" s="93">
        <v>0</v>
      </c>
      <c r="S9" s="90">
        <v>0</v>
      </c>
      <c r="T9" s="91">
        <v>0</v>
      </c>
      <c r="U9" s="92" t="s">
        <v>1409</v>
      </c>
      <c r="V9" s="93" t="s">
        <v>1409</v>
      </c>
      <c r="W9" s="90" t="s">
        <v>1409</v>
      </c>
      <c r="X9" s="91" t="s">
        <v>1409</v>
      </c>
      <c r="Y9" s="92" t="s">
        <v>1409</v>
      </c>
      <c r="Z9" s="94" t="s">
        <v>1409</v>
      </c>
      <c r="AE9" s="2"/>
    </row>
    <row r="10" spans="1:31">
      <c r="A10" s="125"/>
      <c r="B10" s="96" t="s">
        <v>3</v>
      </c>
      <c r="C10" s="90">
        <v>0</v>
      </c>
      <c r="D10" s="91">
        <v>0</v>
      </c>
      <c r="E10" s="92">
        <v>0</v>
      </c>
      <c r="F10" s="93">
        <v>0</v>
      </c>
      <c r="G10" s="90">
        <v>0</v>
      </c>
      <c r="H10" s="91">
        <v>0</v>
      </c>
      <c r="I10" s="92">
        <v>0</v>
      </c>
      <c r="J10" s="93">
        <v>0</v>
      </c>
      <c r="K10" s="90">
        <v>0</v>
      </c>
      <c r="L10" s="91">
        <v>0</v>
      </c>
      <c r="M10" s="92">
        <v>0</v>
      </c>
      <c r="N10" s="93">
        <v>0</v>
      </c>
      <c r="O10" s="90">
        <v>0</v>
      </c>
      <c r="P10" s="91">
        <v>0</v>
      </c>
      <c r="Q10" s="92">
        <v>0</v>
      </c>
      <c r="R10" s="93">
        <v>0</v>
      </c>
      <c r="S10" s="90">
        <v>0</v>
      </c>
      <c r="T10" s="91">
        <v>0</v>
      </c>
      <c r="U10" s="92" t="s">
        <v>1409</v>
      </c>
      <c r="V10" s="93" t="s">
        <v>1409</v>
      </c>
      <c r="W10" s="90" t="s">
        <v>1409</v>
      </c>
      <c r="X10" s="91" t="s">
        <v>1409</v>
      </c>
      <c r="Y10" s="92" t="s">
        <v>1409</v>
      </c>
      <c r="Z10" s="94" t="s">
        <v>1409</v>
      </c>
      <c r="AE10" s="2"/>
    </row>
    <row r="11" spans="1:31">
      <c r="A11" s="125"/>
      <c r="B11" s="96" t="s">
        <v>4</v>
      </c>
      <c r="C11" s="90">
        <v>5.9665631826609988E-4</v>
      </c>
      <c r="D11" s="91">
        <v>0.28041006148726499</v>
      </c>
      <c r="E11" s="92">
        <v>2.2990590989424372E-5</v>
      </c>
      <c r="F11" s="93">
        <v>0.28333849299459468</v>
      </c>
      <c r="G11" s="90">
        <v>-1.0334478823093806E-3</v>
      </c>
      <c r="H11" s="91">
        <v>0.28064291974464667</v>
      </c>
      <c r="I11" s="92">
        <v>2.1317471975377646E-3</v>
      </c>
      <c r="J11" s="93">
        <v>0.27561093346435361</v>
      </c>
      <c r="K11" s="90">
        <v>2.5051881982311786E-3</v>
      </c>
      <c r="L11" s="91">
        <v>0.27751303889019624</v>
      </c>
      <c r="M11" s="92">
        <v>2.7667171680586826E-3</v>
      </c>
      <c r="N11" s="93">
        <v>0.27630530636940459</v>
      </c>
      <c r="O11" s="90">
        <v>6.5545982896510148E-4</v>
      </c>
      <c r="P11" s="91">
        <v>0.27132590189775269</v>
      </c>
      <c r="Q11" s="92">
        <v>2.5511016903554545E-4</v>
      </c>
      <c r="R11" s="93">
        <v>0.27299982647692572</v>
      </c>
      <c r="S11" s="90">
        <v>-6.2064896020474906E-4</v>
      </c>
      <c r="T11" s="91">
        <v>0.27414416944503484</v>
      </c>
      <c r="U11" s="92" t="s">
        <v>1409</v>
      </c>
      <c r="V11" s="93" t="s">
        <v>1409</v>
      </c>
      <c r="W11" s="90" t="s">
        <v>1409</v>
      </c>
      <c r="X11" s="91" t="s">
        <v>1409</v>
      </c>
      <c r="Y11" s="92" t="s">
        <v>1409</v>
      </c>
      <c r="Z11" s="94" t="s">
        <v>1409</v>
      </c>
      <c r="AE11" s="2"/>
    </row>
    <row r="12" spans="1:31">
      <c r="A12" s="125"/>
      <c r="B12" s="96" t="s">
        <v>5</v>
      </c>
      <c r="C12" s="90">
        <v>0</v>
      </c>
      <c r="D12" s="91">
        <v>0</v>
      </c>
      <c r="E12" s="92">
        <v>0</v>
      </c>
      <c r="F12" s="93">
        <v>0</v>
      </c>
      <c r="G12" s="90">
        <v>0</v>
      </c>
      <c r="H12" s="91">
        <v>0</v>
      </c>
      <c r="I12" s="92">
        <v>0</v>
      </c>
      <c r="J12" s="93">
        <v>0</v>
      </c>
      <c r="K12" s="90">
        <v>0</v>
      </c>
      <c r="L12" s="91">
        <v>0</v>
      </c>
      <c r="M12" s="92">
        <v>0</v>
      </c>
      <c r="N12" s="93">
        <v>0</v>
      </c>
      <c r="O12" s="90">
        <v>0</v>
      </c>
      <c r="P12" s="91">
        <v>0</v>
      </c>
      <c r="Q12" s="92">
        <v>0</v>
      </c>
      <c r="R12" s="93">
        <v>0</v>
      </c>
      <c r="S12" s="90">
        <v>0</v>
      </c>
      <c r="T12" s="91">
        <v>0</v>
      </c>
      <c r="U12" s="92" t="s">
        <v>1409</v>
      </c>
      <c r="V12" s="93" t="s">
        <v>1409</v>
      </c>
      <c r="W12" s="90" t="s">
        <v>1409</v>
      </c>
      <c r="X12" s="91" t="s">
        <v>1409</v>
      </c>
      <c r="Y12" s="92" t="s">
        <v>1409</v>
      </c>
      <c r="Z12" s="94" t="s">
        <v>1409</v>
      </c>
      <c r="AE12" s="2"/>
    </row>
    <row r="13" spans="1:31">
      <c r="A13" s="125"/>
      <c r="B13" s="96" t="s">
        <v>6</v>
      </c>
      <c r="C13" s="90">
        <v>1.5558183479776553E-2</v>
      </c>
      <c r="D13" s="91">
        <v>0.23039933580787597</v>
      </c>
      <c r="E13" s="92">
        <v>7.6665419606962795E-4</v>
      </c>
      <c r="F13" s="93">
        <v>0.23327153769908432</v>
      </c>
      <c r="G13" s="90">
        <v>-5.530056651259864E-3</v>
      </c>
      <c r="H13" s="91">
        <v>0.2368207875876685</v>
      </c>
      <c r="I13" s="92">
        <v>1.9315727546520892E-2</v>
      </c>
      <c r="J13" s="93">
        <v>0.24469003793452809</v>
      </c>
      <c r="K13" s="90">
        <v>9.1027523620193385E-3</v>
      </c>
      <c r="L13" s="91">
        <v>0.25750045904902952</v>
      </c>
      <c r="M13" s="92">
        <v>-1.3209586058194615E-2</v>
      </c>
      <c r="N13" s="93">
        <v>0.25248607462203282</v>
      </c>
      <c r="O13" s="90">
        <v>-3.6852765748979313E-3</v>
      </c>
      <c r="P13" s="91">
        <v>0.24485443382766744</v>
      </c>
      <c r="Q13" s="92">
        <v>2.8163778526128162E-5</v>
      </c>
      <c r="R13" s="93">
        <v>0.23891698589133442</v>
      </c>
      <c r="S13" s="90">
        <v>2.9173329251738172E-3</v>
      </c>
      <c r="T13" s="91">
        <v>0.23646421395600545</v>
      </c>
      <c r="U13" s="92" t="s">
        <v>1409</v>
      </c>
      <c r="V13" s="93" t="s">
        <v>1409</v>
      </c>
      <c r="W13" s="90" t="s">
        <v>1409</v>
      </c>
      <c r="X13" s="91" t="s">
        <v>1409</v>
      </c>
      <c r="Y13" s="92" t="s">
        <v>1409</v>
      </c>
      <c r="Z13" s="94" t="s">
        <v>1409</v>
      </c>
      <c r="AE13" s="2"/>
    </row>
    <row r="14" spans="1:31">
      <c r="A14" s="125"/>
      <c r="B14" s="96" t="s">
        <v>62</v>
      </c>
      <c r="C14" s="90">
        <v>2.1890773240921145E-3</v>
      </c>
      <c r="D14" s="91">
        <v>0.15715231620595854</v>
      </c>
      <c r="E14" s="92">
        <v>3.0194025984619176E-3</v>
      </c>
      <c r="F14" s="93">
        <v>0.15786465093708218</v>
      </c>
      <c r="G14" s="90">
        <v>-9.129719429590108E-3</v>
      </c>
      <c r="H14" s="91">
        <v>0.15963800807692385</v>
      </c>
      <c r="I14" s="92">
        <v>4.7075093497292962E-3</v>
      </c>
      <c r="J14" s="93">
        <v>0.15527806934172506</v>
      </c>
      <c r="K14" s="90">
        <v>5.2800611369547992E-4</v>
      </c>
      <c r="L14" s="91">
        <v>0.150406936685373</v>
      </c>
      <c r="M14" s="92">
        <v>3.5998961215944003E-3</v>
      </c>
      <c r="N14" s="93">
        <v>0.15492016175122333</v>
      </c>
      <c r="O14" s="90">
        <v>2.0442346425025943E-3</v>
      </c>
      <c r="P14" s="91">
        <v>0.15355759221275894</v>
      </c>
      <c r="Q14" s="92">
        <v>1.5579166620763344E-3</v>
      </c>
      <c r="R14" s="93">
        <v>0.14875730582174743</v>
      </c>
      <c r="S14" s="90">
        <v>4.9154102303365513E-4</v>
      </c>
      <c r="T14" s="91">
        <v>0.14683224712551446</v>
      </c>
      <c r="U14" s="92" t="s">
        <v>1409</v>
      </c>
      <c r="V14" s="93" t="s">
        <v>1409</v>
      </c>
      <c r="W14" s="90" t="s">
        <v>1409</v>
      </c>
      <c r="X14" s="91" t="s">
        <v>1409</v>
      </c>
      <c r="Y14" s="92" t="s">
        <v>1409</v>
      </c>
      <c r="Z14" s="94" t="s">
        <v>1409</v>
      </c>
      <c r="AE14" s="2"/>
    </row>
    <row r="15" spans="1:31">
      <c r="A15" s="125"/>
      <c r="B15" s="96" t="s">
        <v>7</v>
      </c>
      <c r="C15" s="90">
        <v>-1.8861681231200199E-4</v>
      </c>
      <c r="D15" s="91">
        <v>6.8929660531000195E-3</v>
      </c>
      <c r="E15" s="92">
        <v>1.1570618686539992E-4</v>
      </c>
      <c r="F15" s="93">
        <v>6.6636193338666166E-3</v>
      </c>
      <c r="G15" s="90">
        <v>-1.9120078611724534E-4</v>
      </c>
      <c r="H15" s="91">
        <v>6.2063453212977725E-3</v>
      </c>
      <c r="I15" s="92">
        <v>-1.7603188769252075E-4</v>
      </c>
      <c r="J15" s="93">
        <v>5.4902744636841465E-3</v>
      </c>
      <c r="K15" s="90">
        <v>-1.7749433976257782E-4</v>
      </c>
      <c r="L15" s="91">
        <v>4.6778814042629036E-3</v>
      </c>
      <c r="M15" s="92">
        <v>2.4388693190854343E-4</v>
      </c>
      <c r="N15" s="93">
        <v>4.4928210265312435E-3</v>
      </c>
      <c r="O15" s="90">
        <v>1.1334719587318091E-4</v>
      </c>
      <c r="P15" s="91">
        <v>4.3592607008241012E-3</v>
      </c>
      <c r="Q15" s="92">
        <v>-4.6813127785868774E-5</v>
      </c>
      <c r="R15" s="93">
        <v>4.3307471286820826E-3</v>
      </c>
      <c r="S15" s="90">
        <v>8.3636209786337319E-5</v>
      </c>
      <c r="T15" s="91">
        <v>4.7139207069712653E-3</v>
      </c>
      <c r="U15" s="92" t="s">
        <v>1409</v>
      </c>
      <c r="V15" s="93" t="s">
        <v>1409</v>
      </c>
      <c r="W15" s="90" t="s">
        <v>1409</v>
      </c>
      <c r="X15" s="91" t="s">
        <v>1409</v>
      </c>
      <c r="Y15" s="92" t="s">
        <v>1409</v>
      </c>
      <c r="Z15" s="94" t="s">
        <v>1409</v>
      </c>
      <c r="AE15" s="2"/>
    </row>
    <row r="16" spans="1:31">
      <c r="A16" s="125"/>
      <c r="B16" s="96" t="s">
        <v>8</v>
      </c>
      <c r="C16" s="90">
        <v>8.3569619394440772E-6</v>
      </c>
      <c r="D16" s="91">
        <v>1.2491782017184506E-3</v>
      </c>
      <c r="E16" s="92">
        <v>4.1566144241127202E-5</v>
      </c>
      <c r="F16" s="93">
        <v>1.2459528615541206E-3</v>
      </c>
      <c r="G16" s="90">
        <v>7.2926143243939289E-6</v>
      </c>
      <c r="H16" s="91">
        <v>1.2677177435189947E-3</v>
      </c>
      <c r="I16" s="92">
        <v>-3.9396035945167212E-5</v>
      </c>
      <c r="J16" s="93">
        <v>1.2409373979480507E-3</v>
      </c>
      <c r="K16" s="90">
        <v>4.9055683949573406E-5</v>
      </c>
      <c r="L16" s="91">
        <v>1.2254564429577887E-3</v>
      </c>
      <c r="M16" s="92">
        <v>6.3461047708790512E-5</v>
      </c>
      <c r="N16" s="93">
        <v>1.2687708904772553E-3</v>
      </c>
      <c r="O16" s="90">
        <v>4.931361586444988E-6</v>
      </c>
      <c r="P16" s="91">
        <v>1.6622091298729299E-3</v>
      </c>
      <c r="Q16" s="92">
        <v>-4.5979335095247829E-5</v>
      </c>
      <c r="R16" s="93">
        <v>1.6934577225484447E-3</v>
      </c>
      <c r="S16" s="90">
        <v>4.6459576971883963E-5</v>
      </c>
      <c r="T16" s="91">
        <v>1.6847951615528473E-3</v>
      </c>
      <c r="U16" s="92" t="s">
        <v>1409</v>
      </c>
      <c r="V16" s="93" t="s">
        <v>1409</v>
      </c>
      <c r="W16" s="90" t="s">
        <v>1409</v>
      </c>
      <c r="X16" s="91" t="s">
        <v>1409</v>
      </c>
      <c r="Y16" s="92" t="s">
        <v>1409</v>
      </c>
      <c r="Z16" s="94" t="s">
        <v>1409</v>
      </c>
      <c r="AE16" s="2"/>
    </row>
    <row r="17" spans="1:31">
      <c r="A17" s="125"/>
      <c r="B17" s="96" t="s">
        <v>9</v>
      </c>
      <c r="C17" s="90">
        <v>1.818977675395839E-5</v>
      </c>
      <c r="D17" s="91">
        <v>2.0891278256241733E-4</v>
      </c>
      <c r="E17" s="92">
        <v>1.8946611712911395E-5</v>
      </c>
      <c r="F17" s="93">
        <v>2.4943221836539359E-4</v>
      </c>
      <c r="G17" s="90">
        <v>2.2058995699735384E-5</v>
      </c>
      <c r="H17" s="91">
        <v>2.8806102624676837E-4</v>
      </c>
      <c r="I17" s="92">
        <v>6.6686481825233539E-5</v>
      </c>
      <c r="J17" s="93">
        <v>3.1787344392520013E-4</v>
      </c>
      <c r="K17" s="90">
        <v>8.9913684509268933E-5</v>
      </c>
      <c r="L17" s="91">
        <v>3.487553673141238E-4</v>
      </c>
      <c r="M17" s="92">
        <v>-1.0305588067484553E-4</v>
      </c>
      <c r="N17" s="93">
        <v>3.4123778370654561E-4</v>
      </c>
      <c r="O17" s="90">
        <v>-2.0407294557976016E-5</v>
      </c>
      <c r="P17" s="91">
        <v>2.5120926660590018E-4</v>
      </c>
      <c r="Q17" s="92">
        <v>6.560448977037625E-5</v>
      </c>
      <c r="R17" s="93">
        <v>2.8969281113608758E-4</v>
      </c>
      <c r="S17" s="90">
        <v>-2.5428548871882411E-5</v>
      </c>
      <c r="T17" s="91">
        <v>2.9804580930449986E-4</v>
      </c>
      <c r="U17" s="92" t="s">
        <v>1409</v>
      </c>
      <c r="V17" s="93" t="s">
        <v>1409</v>
      </c>
      <c r="W17" s="90" t="s">
        <v>1409</v>
      </c>
      <c r="X17" s="91" t="s">
        <v>1409</v>
      </c>
      <c r="Y17" s="92" t="s">
        <v>1409</v>
      </c>
      <c r="Z17" s="94" t="s">
        <v>1409</v>
      </c>
      <c r="AE17" s="2"/>
    </row>
    <row r="18" spans="1:31">
      <c r="A18" s="125"/>
      <c r="B18" s="96" t="s">
        <v>10</v>
      </c>
      <c r="C18" s="90">
        <v>8.5393560396448739E-3</v>
      </c>
      <c r="D18" s="91">
        <v>1.0823862269154827E-2</v>
      </c>
      <c r="E18" s="92">
        <v>1.8790512678080718E-3</v>
      </c>
      <c r="F18" s="93">
        <v>1.3265484653838117E-2</v>
      </c>
      <c r="G18" s="90">
        <v>-1.5873479654703364E-2</v>
      </c>
      <c r="H18" s="91">
        <v>4.3232831879630685E-3</v>
      </c>
      <c r="I18" s="92">
        <v>2.462911774937257E-2</v>
      </c>
      <c r="J18" s="93">
        <v>1.3153841640382771E-2</v>
      </c>
      <c r="K18" s="90">
        <v>1.2170484297814277E-2</v>
      </c>
      <c r="L18" s="91">
        <v>2.590975056530841E-2</v>
      </c>
      <c r="M18" s="92">
        <v>-7.2262111350849196E-3</v>
      </c>
      <c r="N18" s="93">
        <v>1.4220474992795233E-2</v>
      </c>
      <c r="O18" s="90">
        <v>-8.2075824101057147E-3</v>
      </c>
      <c r="P18" s="91">
        <v>2.6376607180219548E-3</v>
      </c>
      <c r="Q18" s="92">
        <v>1.1178397496386473E-2</v>
      </c>
      <c r="R18" s="93">
        <v>8.4933177933000578E-3</v>
      </c>
      <c r="S18" s="90">
        <v>-4.4372827601394764E-3</v>
      </c>
      <c r="T18" s="91">
        <v>5.9046957927919837E-3</v>
      </c>
      <c r="U18" s="92" t="s">
        <v>1409</v>
      </c>
      <c r="V18" s="93" t="s">
        <v>1409</v>
      </c>
      <c r="W18" s="90" t="s">
        <v>1409</v>
      </c>
      <c r="X18" s="91" t="s">
        <v>1409</v>
      </c>
      <c r="Y18" s="92" t="s">
        <v>1409</v>
      </c>
      <c r="Z18" s="94" t="s">
        <v>1409</v>
      </c>
      <c r="AE18" s="2"/>
    </row>
    <row r="19" spans="1:31">
      <c r="A19" s="125"/>
      <c r="B19" s="96" t="s">
        <v>11</v>
      </c>
      <c r="C19" s="90">
        <v>1.9941070013614553E-4</v>
      </c>
      <c r="D19" s="91">
        <v>1.7213227875097361E-4</v>
      </c>
      <c r="E19" s="92">
        <v>6.3410960913376691E-5</v>
      </c>
      <c r="F19" s="93">
        <v>2.5857800571730952E-4</v>
      </c>
      <c r="G19" s="90">
        <v>-1.6203925299687006E-4</v>
      </c>
      <c r="H19" s="91">
        <v>1.6207246312783261E-4</v>
      </c>
      <c r="I19" s="92">
        <v>-2.8088305456126584E-6</v>
      </c>
      <c r="J19" s="93">
        <v>6.7326322463492593E-5</v>
      </c>
      <c r="K19" s="90">
        <v>-6.2433731393069877E-5</v>
      </c>
      <c r="L19" s="91">
        <v>2.9433292600440372E-5</v>
      </c>
      <c r="M19" s="92">
        <v>8.9482024805680942E-5</v>
      </c>
      <c r="N19" s="93">
        <v>-1.5753543179013273E-6</v>
      </c>
      <c r="O19" s="90">
        <v>2.6108302612932836E-4</v>
      </c>
      <c r="P19" s="91">
        <v>8.4525148623598415E-6</v>
      </c>
      <c r="Q19" s="92">
        <v>-4.7191784542224605E-5</v>
      </c>
      <c r="R19" s="93">
        <v>7.5604893336546992E-5</v>
      </c>
      <c r="S19" s="90">
        <v>1.4563006251133568E-4</v>
      </c>
      <c r="T19" s="91">
        <v>1.2518577216715006E-4</v>
      </c>
      <c r="U19" s="92" t="s">
        <v>1409</v>
      </c>
      <c r="V19" s="93" t="s">
        <v>1409</v>
      </c>
      <c r="W19" s="90" t="s">
        <v>1409</v>
      </c>
      <c r="X19" s="91" t="s">
        <v>1409</v>
      </c>
      <c r="Y19" s="92" t="s">
        <v>1409</v>
      </c>
      <c r="Z19" s="94" t="s">
        <v>1409</v>
      </c>
    </row>
    <row r="20" spans="1:31">
      <c r="A20" s="125"/>
      <c r="B20" s="96" t="s">
        <v>12</v>
      </c>
      <c r="C20" s="90">
        <v>0</v>
      </c>
      <c r="D20" s="91">
        <v>0</v>
      </c>
      <c r="E20" s="92">
        <v>0</v>
      </c>
      <c r="F20" s="93">
        <v>0</v>
      </c>
      <c r="G20" s="90">
        <v>0</v>
      </c>
      <c r="H20" s="91">
        <v>0</v>
      </c>
      <c r="I20" s="92">
        <v>0</v>
      </c>
      <c r="J20" s="93">
        <v>0</v>
      </c>
      <c r="K20" s="90">
        <v>0</v>
      </c>
      <c r="L20" s="91">
        <v>0</v>
      </c>
      <c r="M20" s="92">
        <v>0</v>
      </c>
      <c r="N20" s="93">
        <v>0</v>
      </c>
      <c r="O20" s="90">
        <v>0</v>
      </c>
      <c r="P20" s="91">
        <v>0</v>
      </c>
      <c r="Q20" s="92">
        <v>0</v>
      </c>
      <c r="R20" s="93">
        <v>0</v>
      </c>
      <c r="S20" s="90">
        <v>0</v>
      </c>
      <c r="T20" s="91">
        <v>0</v>
      </c>
      <c r="U20" s="92" t="s">
        <v>1409</v>
      </c>
      <c r="V20" s="93" t="s">
        <v>1409</v>
      </c>
      <c r="W20" s="90" t="s">
        <v>1409</v>
      </c>
      <c r="X20" s="91" t="s">
        <v>1409</v>
      </c>
      <c r="Y20" s="92" t="s">
        <v>1409</v>
      </c>
      <c r="Z20" s="94" t="s">
        <v>1409</v>
      </c>
    </row>
    <row r="21" spans="1:31">
      <c r="A21" s="125"/>
      <c r="B21" s="96" t="s">
        <v>13</v>
      </c>
      <c r="C21" s="90">
        <v>0</v>
      </c>
      <c r="D21" s="91">
        <v>0</v>
      </c>
      <c r="E21" s="92">
        <v>0</v>
      </c>
      <c r="F21" s="93">
        <v>0</v>
      </c>
      <c r="G21" s="90">
        <v>0</v>
      </c>
      <c r="H21" s="91">
        <v>0</v>
      </c>
      <c r="I21" s="92">
        <v>0</v>
      </c>
      <c r="J21" s="93">
        <v>0</v>
      </c>
      <c r="K21" s="90">
        <v>0</v>
      </c>
      <c r="L21" s="91">
        <v>0</v>
      </c>
      <c r="M21" s="92">
        <v>0</v>
      </c>
      <c r="N21" s="93">
        <v>0</v>
      </c>
      <c r="O21" s="90">
        <v>0</v>
      </c>
      <c r="P21" s="91">
        <v>0</v>
      </c>
      <c r="Q21" s="92">
        <v>0</v>
      </c>
      <c r="R21" s="93">
        <v>0</v>
      </c>
      <c r="S21" s="90">
        <v>0</v>
      </c>
      <c r="T21" s="91">
        <v>0</v>
      </c>
      <c r="U21" s="92" t="s">
        <v>1409</v>
      </c>
      <c r="V21" s="93" t="s">
        <v>1409</v>
      </c>
      <c r="W21" s="90" t="s">
        <v>1409</v>
      </c>
      <c r="X21" s="91" t="s">
        <v>1409</v>
      </c>
      <c r="Y21" s="92" t="s">
        <v>1409</v>
      </c>
      <c r="Z21" s="94" t="s">
        <v>1409</v>
      </c>
    </row>
    <row r="22" spans="1:31">
      <c r="A22" s="125"/>
      <c r="B22" s="96" t="s">
        <v>14</v>
      </c>
      <c r="C22" s="90">
        <v>0</v>
      </c>
      <c r="D22" s="91">
        <v>0</v>
      </c>
      <c r="E22" s="92">
        <v>0</v>
      </c>
      <c r="F22" s="93">
        <v>0</v>
      </c>
      <c r="G22" s="90">
        <v>0</v>
      </c>
      <c r="H22" s="91">
        <v>0</v>
      </c>
      <c r="I22" s="92">
        <v>0</v>
      </c>
      <c r="J22" s="93">
        <v>0</v>
      </c>
      <c r="K22" s="90">
        <v>0</v>
      </c>
      <c r="L22" s="91">
        <v>0</v>
      </c>
      <c r="M22" s="92">
        <v>0</v>
      </c>
      <c r="N22" s="93">
        <v>0</v>
      </c>
      <c r="O22" s="90">
        <v>0</v>
      </c>
      <c r="P22" s="91">
        <v>0</v>
      </c>
      <c r="Q22" s="92">
        <v>0</v>
      </c>
      <c r="R22" s="93">
        <v>0</v>
      </c>
      <c r="S22" s="90">
        <v>0</v>
      </c>
      <c r="T22" s="91">
        <v>0</v>
      </c>
      <c r="U22" s="92" t="s">
        <v>1409</v>
      </c>
      <c r="V22" s="93" t="s">
        <v>1409</v>
      </c>
      <c r="W22" s="90" t="s">
        <v>1409</v>
      </c>
      <c r="X22" s="91" t="s">
        <v>1409</v>
      </c>
      <c r="Y22" s="92" t="s">
        <v>1409</v>
      </c>
      <c r="Z22" s="94" t="s">
        <v>1409</v>
      </c>
    </row>
    <row r="23" spans="1:31">
      <c r="A23" s="125"/>
      <c r="B23" s="96" t="s">
        <v>15</v>
      </c>
      <c r="C23" s="90">
        <v>0</v>
      </c>
      <c r="D23" s="91">
        <v>0</v>
      </c>
      <c r="E23" s="92">
        <v>0</v>
      </c>
      <c r="F23" s="93">
        <v>0</v>
      </c>
      <c r="G23" s="90">
        <v>0</v>
      </c>
      <c r="H23" s="91">
        <v>0</v>
      </c>
      <c r="I23" s="92">
        <v>0</v>
      </c>
      <c r="J23" s="93">
        <v>0</v>
      </c>
      <c r="K23" s="90">
        <v>0</v>
      </c>
      <c r="L23" s="91">
        <v>0</v>
      </c>
      <c r="M23" s="92">
        <v>0</v>
      </c>
      <c r="N23" s="93">
        <v>0</v>
      </c>
      <c r="O23" s="90">
        <v>0</v>
      </c>
      <c r="P23" s="91">
        <v>0</v>
      </c>
      <c r="Q23" s="92">
        <v>0</v>
      </c>
      <c r="R23" s="93">
        <v>0</v>
      </c>
      <c r="S23" s="90">
        <v>0</v>
      </c>
      <c r="T23" s="91">
        <v>0</v>
      </c>
      <c r="U23" s="92" t="s">
        <v>1409</v>
      </c>
      <c r="V23" s="93" t="s">
        <v>1409</v>
      </c>
      <c r="W23" s="90" t="s">
        <v>1409</v>
      </c>
      <c r="X23" s="91" t="s">
        <v>1409</v>
      </c>
      <c r="Y23" s="92" t="s">
        <v>1409</v>
      </c>
      <c r="Z23" s="94" t="s">
        <v>1409</v>
      </c>
    </row>
    <row r="24" spans="1:31">
      <c r="A24" s="125"/>
      <c r="B24" s="96" t="s">
        <v>16</v>
      </c>
      <c r="C24" s="90">
        <v>0</v>
      </c>
      <c r="D24" s="91">
        <v>0</v>
      </c>
      <c r="E24" s="92">
        <v>0</v>
      </c>
      <c r="F24" s="93">
        <v>0</v>
      </c>
      <c r="G24" s="90">
        <v>0</v>
      </c>
      <c r="H24" s="91">
        <v>0</v>
      </c>
      <c r="I24" s="92">
        <v>0</v>
      </c>
      <c r="J24" s="93">
        <v>0</v>
      </c>
      <c r="K24" s="90">
        <v>0</v>
      </c>
      <c r="L24" s="91">
        <v>0</v>
      </c>
      <c r="M24" s="92">
        <v>0</v>
      </c>
      <c r="N24" s="93">
        <v>0</v>
      </c>
      <c r="O24" s="90">
        <v>0</v>
      </c>
      <c r="P24" s="91">
        <v>0</v>
      </c>
      <c r="Q24" s="92">
        <v>0</v>
      </c>
      <c r="R24" s="93">
        <v>0</v>
      </c>
      <c r="S24" s="90">
        <v>0</v>
      </c>
      <c r="T24" s="91">
        <v>0</v>
      </c>
      <c r="U24" s="92" t="s">
        <v>1409</v>
      </c>
      <c r="V24" s="93" t="s">
        <v>1409</v>
      </c>
      <c r="W24" s="90" t="s">
        <v>1409</v>
      </c>
      <c r="X24" s="91" t="s">
        <v>1409</v>
      </c>
      <c r="Y24" s="92" t="s">
        <v>1409</v>
      </c>
      <c r="Z24" s="94" t="s">
        <v>1409</v>
      </c>
    </row>
    <row r="25" spans="1:31">
      <c r="A25" s="125"/>
      <c r="B25" s="96" t="s">
        <v>17</v>
      </c>
      <c r="C25" s="90">
        <v>0</v>
      </c>
      <c r="D25" s="91">
        <v>0</v>
      </c>
      <c r="E25" s="92">
        <v>0</v>
      </c>
      <c r="F25" s="93">
        <v>0</v>
      </c>
      <c r="G25" s="90">
        <v>0</v>
      </c>
      <c r="H25" s="91">
        <v>0</v>
      </c>
      <c r="I25" s="92">
        <v>0</v>
      </c>
      <c r="J25" s="93">
        <v>0</v>
      </c>
      <c r="K25" s="90">
        <v>0</v>
      </c>
      <c r="L25" s="91">
        <v>0</v>
      </c>
      <c r="M25" s="92">
        <v>0</v>
      </c>
      <c r="N25" s="93">
        <v>0</v>
      </c>
      <c r="O25" s="90">
        <v>0</v>
      </c>
      <c r="P25" s="91">
        <v>0</v>
      </c>
      <c r="Q25" s="92">
        <v>0</v>
      </c>
      <c r="R25" s="93">
        <v>0</v>
      </c>
      <c r="S25" s="90">
        <v>0</v>
      </c>
      <c r="T25" s="91">
        <v>0</v>
      </c>
      <c r="U25" s="92" t="s">
        <v>1409</v>
      </c>
      <c r="V25" s="93" t="s">
        <v>1409</v>
      </c>
      <c r="W25" s="90" t="s">
        <v>1409</v>
      </c>
      <c r="X25" s="91" t="s">
        <v>1409</v>
      </c>
      <c r="Y25" s="92" t="s">
        <v>1409</v>
      </c>
      <c r="Z25" s="94" t="s">
        <v>1409</v>
      </c>
    </row>
    <row r="26" spans="1:31">
      <c r="A26" s="125"/>
      <c r="B26" s="97" t="s">
        <v>18</v>
      </c>
      <c r="C26" s="98">
        <v>2.6596012120000002E-2</v>
      </c>
      <c r="D26" s="99">
        <v>0.99999999999999989</v>
      </c>
      <c r="E26" s="100">
        <v>7.2599334800000003E-3</v>
      </c>
      <c r="F26" s="101">
        <v>1.0000000000000002</v>
      </c>
      <c r="G26" s="98">
        <v>-3.140194524E-2</v>
      </c>
      <c r="H26" s="99">
        <v>0.99999999999999978</v>
      </c>
      <c r="I26" s="100">
        <v>4.8650194959999997E-2</v>
      </c>
      <c r="J26" s="101">
        <v>1</v>
      </c>
      <c r="K26" s="98">
        <v>2.5170942460000002E-2</v>
      </c>
      <c r="L26" s="99">
        <v>1.0000000000000002</v>
      </c>
      <c r="M26" s="100">
        <v>-1.0555180819999999E-2</v>
      </c>
      <c r="N26" s="101">
        <v>1.0000000000000004</v>
      </c>
      <c r="O26" s="98">
        <v>-7.2959197100000003E-3</v>
      </c>
      <c r="P26" s="99">
        <v>1.0000000000000002</v>
      </c>
      <c r="Q26" s="100">
        <v>1.254201144E-2</v>
      </c>
      <c r="R26" s="101">
        <v>1.0000000000000002</v>
      </c>
      <c r="S26" s="98">
        <v>-3.4063121999999997E-4</v>
      </c>
      <c r="T26" s="99">
        <v>1.0000000000000002</v>
      </c>
      <c r="U26" s="100" t="s">
        <v>1409</v>
      </c>
      <c r="V26" s="101" t="s">
        <v>1409</v>
      </c>
      <c r="W26" s="98" t="s">
        <v>1409</v>
      </c>
      <c r="X26" s="99" t="s">
        <v>1409</v>
      </c>
      <c r="Y26" s="100" t="s">
        <v>1409</v>
      </c>
      <c r="Z26" s="102" t="s">
        <v>1409</v>
      </c>
    </row>
    <row r="27" spans="1:31">
      <c r="A27" s="125"/>
      <c r="B27" s="103" t="s">
        <v>24</v>
      </c>
      <c r="C27" s="104">
        <v>428.48112999999989</v>
      </c>
      <c r="D27" s="128"/>
      <c r="E27" s="105">
        <v>124.52488</v>
      </c>
      <c r="F27" s="128"/>
      <c r="G27" s="104">
        <v>-668.08817999999997</v>
      </c>
      <c r="H27" s="128"/>
      <c r="I27" s="105">
        <v>1070.8998399999998</v>
      </c>
      <c r="J27" s="128"/>
      <c r="K27" s="104">
        <v>611.77705999999978</v>
      </c>
      <c r="L27" s="128"/>
      <c r="M27" s="105">
        <v>-267.40252000000004</v>
      </c>
      <c r="N27" s="128"/>
      <c r="O27" s="104">
        <v>-205.19704000000004</v>
      </c>
      <c r="P27" s="128"/>
      <c r="Q27" s="105">
        <v>352.02797999999984</v>
      </c>
      <c r="R27" s="128"/>
      <c r="S27" s="104">
        <v>-18.669889999999942</v>
      </c>
      <c r="T27" s="128"/>
      <c r="U27" s="105" t="s">
        <v>1409</v>
      </c>
      <c r="V27" s="128"/>
      <c r="W27" s="104" t="s">
        <v>1409</v>
      </c>
      <c r="X27" s="128"/>
      <c r="Y27" s="105" t="s">
        <v>1409</v>
      </c>
      <c r="Z27" s="106"/>
    </row>
    <row r="28" spans="1:31">
      <c r="A28" s="125"/>
      <c r="B28" s="129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07"/>
    </row>
    <row r="29" spans="1:31">
      <c r="A29" s="125"/>
      <c r="B29" s="89" t="s">
        <v>19</v>
      </c>
      <c r="C29" s="108">
        <v>1.795449255178037E-2</v>
      </c>
      <c r="D29" s="109">
        <v>0.76441156424431123</v>
      </c>
      <c r="E29" s="110">
        <v>2.9253403533201464E-3</v>
      </c>
      <c r="F29" s="111">
        <v>0.76297257311105349</v>
      </c>
      <c r="G29" s="108">
        <v>-5.9785066378516046E-3</v>
      </c>
      <c r="H29" s="109">
        <v>0.7809216196453157</v>
      </c>
      <c r="I29" s="110">
        <v>2.4217894600522486E-2</v>
      </c>
      <c r="J29" s="111">
        <v>0.77344697674757901</v>
      </c>
      <c r="K29" s="108">
        <v>1.5825918657243036E-2</v>
      </c>
      <c r="L29" s="109">
        <v>0.75824320567660686</v>
      </c>
      <c r="M29" s="110">
        <v>-2.3151217065282347E-2</v>
      </c>
      <c r="N29" s="111">
        <v>0.75938584549395338</v>
      </c>
      <c r="O29" s="108">
        <v>5.2955263375261958E-4</v>
      </c>
      <c r="P29" s="109">
        <v>0.77561597696013473</v>
      </c>
      <c r="Q29" s="110">
        <v>3.737529208228067E-3</v>
      </c>
      <c r="R29" s="111">
        <v>0.76727603330655858</v>
      </c>
      <c r="S29" s="108">
        <v>-2.7094370624724416E-3</v>
      </c>
      <c r="T29" s="109">
        <v>0.76852636280091846</v>
      </c>
      <c r="U29" s="110" t="s">
        <v>1409</v>
      </c>
      <c r="V29" s="111" t="s">
        <v>1409</v>
      </c>
      <c r="W29" s="108" t="s">
        <v>1409</v>
      </c>
      <c r="X29" s="109" t="s">
        <v>1409</v>
      </c>
      <c r="Y29" s="110" t="s">
        <v>1409</v>
      </c>
      <c r="Z29" s="112" t="s">
        <v>1409</v>
      </c>
    </row>
    <row r="30" spans="1:31">
      <c r="A30" s="125"/>
      <c r="B30" s="96" t="s">
        <v>20</v>
      </c>
      <c r="C30" s="90">
        <v>8.6415195682196348E-3</v>
      </c>
      <c r="D30" s="91">
        <v>0.23558843575568889</v>
      </c>
      <c r="E30" s="92">
        <v>4.3345931266798622E-3</v>
      </c>
      <c r="F30" s="93">
        <v>0.23702742688894643</v>
      </c>
      <c r="G30" s="90">
        <v>-2.5423488737333882E-2</v>
      </c>
      <c r="H30" s="91">
        <v>0.21907838035468435</v>
      </c>
      <c r="I30" s="92">
        <v>2.4432449677731255E-2</v>
      </c>
      <c r="J30" s="93">
        <v>0.22655302325242088</v>
      </c>
      <c r="K30" s="90">
        <v>9.3451304994706212E-3</v>
      </c>
      <c r="L30" s="91">
        <v>0.24175679432339311</v>
      </c>
      <c r="M30" s="92">
        <v>1.2595974735009129E-2</v>
      </c>
      <c r="N30" s="93">
        <v>0.24061415450604656</v>
      </c>
      <c r="O30" s="90">
        <v>-7.8254357321703612E-3</v>
      </c>
      <c r="P30" s="91">
        <v>0.22438402303986524</v>
      </c>
      <c r="Q30" s="92">
        <v>8.8044324725430247E-3</v>
      </c>
      <c r="R30" s="93">
        <v>0.2327239666934415</v>
      </c>
      <c r="S30" s="90">
        <v>2.3688146553364894E-3</v>
      </c>
      <c r="T30" s="91">
        <v>0.23147363719908162</v>
      </c>
      <c r="U30" s="92" t="s">
        <v>1409</v>
      </c>
      <c r="V30" s="93" t="s">
        <v>1409</v>
      </c>
      <c r="W30" s="90" t="s">
        <v>1409</v>
      </c>
      <c r="X30" s="91" t="s">
        <v>1409</v>
      </c>
      <c r="Y30" s="92" t="s">
        <v>1409</v>
      </c>
      <c r="Z30" s="94" t="s">
        <v>1409</v>
      </c>
    </row>
    <row r="31" spans="1:31">
      <c r="A31" s="125"/>
      <c r="B31" s="97" t="s">
        <v>18</v>
      </c>
      <c r="C31" s="98">
        <v>2.6596012120000002E-2</v>
      </c>
      <c r="D31" s="99">
        <v>0.99999999999999989</v>
      </c>
      <c r="E31" s="100">
        <v>7.2599334800000003E-3</v>
      </c>
      <c r="F31" s="101">
        <v>1.0000000000000002</v>
      </c>
      <c r="G31" s="98">
        <v>-3.140194524E-2</v>
      </c>
      <c r="H31" s="99">
        <v>0.99999999999999978</v>
      </c>
      <c r="I31" s="100">
        <v>4.8650194959999997E-2</v>
      </c>
      <c r="J31" s="101">
        <v>1</v>
      </c>
      <c r="K31" s="98">
        <v>2.5170942460000002E-2</v>
      </c>
      <c r="L31" s="99">
        <v>1.0000000000000002</v>
      </c>
      <c r="M31" s="100">
        <v>-1.0555180819999999E-2</v>
      </c>
      <c r="N31" s="101">
        <v>1.0000000000000004</v>
      </c>
      <c r="O31" s="98">
        <v>-7.2959197100000003E-3</v>
      </c>
      <c r="P31" s="99">
        <v>1.0000000000000002</v>
      </c>
      <c r="Q31" s="100">
        <v>1.254201144E-2</v>
      </c>
      <c r="R31" s="101">
        <v>1.0000000000000002</v>
      </c>
      <c r="S31" s="98">
        <v>-3.4063121999999997E-4</v>
      </c>
      <c r="T31" s="99">
        <v>1.0000000000000002</v>
      </c>
      <c r="U31" s="100" t="s">
        <v>1409</v>
      </c>
      <c r="V31" s="101" t="s">
        <v>1409</v>
      </c>
      <c r="W31" s="98" t="s">
        <v>1409</v>
      </c>
      <c r="X31" s="99" t="s">
        <v>1409</v>
      </c>
      <c r="Y31" s="100" t="s">
        <v>1409</v>
      </c>
      <c r="Z31" s="102" t="s">
        <v>1409</v>
      </c>
    </row>
    <row r="32" spans="1:31">
      <c r="A32" s="125"/>
      <c r="B32" s="129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07"/>
    </row>
    <row r="33" spans="1:26">
      <c r="A33" s="125"/>
      <c r="B33" s="89" t="s">
        <v>21</v>
      </c>
      <c r="C33" s="108">
        <v>2.2149451711393577E-2</v>
      </c>
      <c r="D33" s="109">
        <v>0.99113329061571964</v>
      </c>
      <c r="E33" s="110">
        <v>7.0515058595077935E-3</v>
      </c>
      <c r="F33" s="111">
        <v>0.98962485383129128</v>
      </c>
      <c r="G33" s="108">
        <v>-2.7203088529454755E-2</v>
      </c>
      <c r="H33" s="109">
        <v>0.99223300288015992</v>
      </c>
      <c r="I33" s="110">
        <v>3.8813601315350318E-2</v>
      </c>
      <c r="J33" s="111">
        <v>0.98967699112717999</v>
      </c>
      <c r="K33" s="108">
        <v>1.9624019182845273E-2</v>
      </c>
      <c r="L33" s="109">
        <v>0.98508439569970752</v>
      </c>
      <c r="M33" s="110">
        <v>-3.4444581710669658E-3</v>
      </c>
      <c r="N33" s="111">
        <v>0.9903652526262271</v>
      </c>
      <c r="O33" s="108">
        <v>-3.5469743980557364E-3</v>
      </c>
      <c r="P33" s="109">
        <v>0.99404019897638463</v>
      </c>
      <c r="Q33" s="110">
        <v>7.2261083614244461E-3</v>
      </c>
      <c r="R33" s="111">
        <v>0.99171318961156962</v>
      </c>
      <c r="S33" s="108">
        <v>2.615777689853608E-3</v>
      </c>
      <c r="T33" s="109">
        <v>0.99324131515513425</v>
      </c>
      <c r="U33" s="110" t="s">
        <v>1409</v>
      </c>
      <c r="V33" s="111" t="s">
        <v>1409</v>
      </c>
      <c r="W33" s="108" t="s">
        <v>1409</v>
      </c>
      <c r="X33" s="109" t="s">
        <v>1409</v>
      </c>
      <c r="Y33" s="110" t="s">
        <v>1409</v>
      </c>
      <c r="Z33" s="112" t="s">
        <v>1409</v>
      </c>
    </row>
    <row r="34" spans="1:26">
      <c r="A34" s="125"/>
      <c r="B34" s="96" t="s">
        <v>22</v>
      </c>
      <c r="C34" s="90">
        <v>4.4465604086064365E-3</v>
      </c>
      <c r="D34" s="91">
        <v>8.8667093842803545E-3</v>
      </c>
      <c r="E34" s="92">
        <v>2.0842762049220651E-4</v>
      </c>
      <c r="F34" s="93">
        <v>1.0375146168708615E-2</v>
      </c>
      <c r="G34" s="90">
        <v>-4.1988567105452762E-3</v>
      </c>
      <c r="H34" s="91">
        <v>7.7669971198400705E-3</v>
      </c>
      <c r="I34" s="92">
        <v>9.8365936446496993E-3</v>
      </c>
      <c r="J34" s="93">
        <v>1.0323008872819985E-2</v>
      </c>
      <c r="K34" s="90">
        <v>5.5469232771547155E-3</v>
      </c>
      <c r="L34" s="91">
        <v>1.4915604300292399E-2</v>
      </c>
      <c r="M34" s="92">
        <v>-7.1107226489330313E-3</v>
      </c>
      <c r="N34" s="93">
        <v>9.6347473737728694E-3</v>
      </c>
      <c r="O34" s="90">
        <v>-3.7489453119442713E-3</v>
      </c>
      <c r="P34" s="91">
        <v>5.9598010236153031E-3</v>
      </c>
      <c r="Q34" s="92">
        <v>5.3159030785755509E-3</v>
      </c>
      <c r="R34" s="93">
        <v>8.2868103884303594E-3</v>
      </c>
      <c r="S34" s="90">
        <v>-2.9564089098535907E-3</v>
      </c>
      <c r="T34" s="91">
        <v>6.7586848448656662E-3</v>
      </c>
      <c r="U34" s="92" t="s">
        <v>1409</v>
      </c>
      <c r="V34" s="93" t="s">
        <v>1409</v>
      </c>
      <c r="W34" s="90" t="s">
        <v>1409</v>
      </c>
      <c r="X34" s="91" t="s">
        <v>1409</v>
      </c>
      <c r="Y34" s="92" t="s">
        <v>1409</v>
      </c>
      <c r="Z34" s="94" t="s">
        <v>1409</v>
      </c>
    </row>
    <row r="35" spans="1:26">
      <c r="A35" s="125"/>
      <c r="B35" s="113" t="s">
        <v>18</v>
      </c>
      <c r="C35" s="114">
        <v>2.6596012120000002E-2</v>
      </c>
      <c r="D35" s="115">
        <v>0.99999999999999989</v>
      </c>
      <c r="E35" s="116">
        <v>7.2599334800000003E-3</v>
      </c>
      <c r="F35" s="117">
        <v>1.0000000000000002</v>
      </c>
      <c r="G35" s="114">
        <v>-3.140194524E-2</v>
      </c>
      <c r="H35" s="115">
        <v>0.99999999999999978</v>
      </c>
      <c r="I35" s="116">
        <v>4.8650194959999997E-2</v>
      </c>
      <c r="J35" s="117">
        <v>1</v>
      </c>
      <c r="K35" s="114">
        <v>2.5170942460000002E-2</v>
      </c>
      <c r="L35" s="115">
        <v>1.0000000000000002</v>
      </c>
      <c r="M35" s="116">
        <v>-1.0555180819999999E-2</v>
      </c>
      <c r="N35" s="117">
        <v>1.0000000000000004</v>
      </c>
      <c r="O35" s="114">
        <v>-7.2959197100000003E-3</v>
      </c>
      <c r="P35" s="115">
        <v>1.0000000000000002</v>
      </c>
      <c r="Q35" s="116">
        <v>1.254201144E-2</v>
      </c>
      <c r="R35" s="117">
        <v>1.0000000000000002</v>
      </c>
      <c r="S35" s="114">
        <v>-3.4063121999999997E-4</v>
      </c>
      <c r="T35" s="115">
        <v>1.0000000000000002</v>
      </c>
      <c r="U35" s="116" t="s">
        <v>1409</v>
      </c>
      <c r="V35" s="117" t="s">
        <v>1409</v>
      </c>
      <c r="W35" s="114" t="s">
        <v>1409</v>
      </c>
      <c r="X35" s="115" t="s">
        <v>1409</v>
      </c>
      <c r="Y35" s="116" t="s">
        <v>1409</v>
      </c>
      <c r="Z35" s="118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5"/>
      <c r="B37" s="83" t="s">
        <v>23</v>
      </c>
      <c r="C37" s="84" t="s">
        <v>54</v>
      </c>
      <c r="D37" s="85" t="s">
        <v>55</v>
      </c>
      <c r="E37" s="86" t="s">
        <v>56</v>
      </c>
      <c r="F37" s="87" t="s">
        <v>57</v>
      </c>
      <c r="G37" s="84" t="s">
        <v>58</v>
      </c>
      <c r="H37" s="85" t="s">
        <v>59</v>
      </c>
      <c r="I37" s="86" t="s">
        <v>60</v>
      </c>
      <c r="J37" s="88" t="s">
        <v>61</v>
      </c>
      <c r="K37" s="131" t="s">
        <v>1429</v>
      </c>
      <c r="L37" s="131" t="s">
        <v>1429</v>
      </c>
      <c r="M37" s="131" t="s">
        <v>1429</v>
      </c>
      <c r="N37" s="131" t="s">
        <v>1429</v>
      </c>
      <c r="O37" s="131" t="s">
        <v>1429</v>
      </c>
      <c r="P37" s="131" t="s">
        <v>1429</v>
      </c>
      <c r="Q37" s="131" t="s">
        <v>1429</v>
      </c>
      <c r="R37" s="131" t="s">
        <v>1429</v>
      </c>
      <c r="S37" s="131" t="s">
        <v>1429</v>
      </c>
      <c r="T37" s="131" t="s">
        <v>1429</v>
      </c>
      <c r="U37" s="131" t="s">
        <v>1429</v>
      </c>
      <c r="V37" s="131" t="s">
        <v>1429</v>
      </c>
      <c r="W37" s="131" t="s">
        <v>1429</v>
      </c>
      <c r="X37" s="131" t="s">
        <v>1429</v>
      </c>
      <c r="Y37" s="131" t="s">
        <v>1429</v>
      </c>
      <c r="Z37" s="33"/>
    </row>
    <row r="38" spans="1:26">
      <c r="A38" s="125"/>
      <c r="B38" s="89" t="s">
        <v>1</v>
      </c>
      <c r="C38" s="90">
        <v>1.7771250668340663E-3</v>
      </c>
      <c r="D38" s="91">
        <v>0.18959683013856329</v>
      </c>
      <c r="E38" s="92">
        <v>5.8176304583064788E-4</v>
      </c>
      <c r="F38" s="93">
        <v>0.18253613374629282</v>
      </c>
      <c r="G38" s="90">
        <v>4.1963094905497359E-3</v>
      </c>
      <c r="H38" s="91">
        <v>0.20004569668667177</v>
      </c>
      <c r="I38" s="92" t="s">
        <v>1409</v>
      </c>
      <c r="J38" s="94" t="s">
        <v>1409</v>
      </c>
      <c r="K38" s="131" t="s">
        <v>1429</v>
      </c>
      <c r="L38" s="131" t="s">
        <v>1429</v>
      </c>
      <c r="M38" s="131" t="s">
        <v>1429</v>
      </c>
      <c r="N38" s="131" t="s">
        <v>1429</v>
      </c>
      <c r="O38" s="131" t="s">
        <v>1429</v>
      </c>
      <c r="P38" s="131" t="s">
        <v>1429</v>
      </c>
      <c r="Q38" s="131" t="s">
        <v>1429</v>
      </c>
      <c r="R38" s="131" t="s">
        <v>1429</v>
      </c>
      <c r="S38" s="131" t="s">
        <v>1429</v>
      </c>
      <c r="T38" s="131" t="s">
        <v>1429</v>
      </c>
      <c r="U38" s="131" t="s">
        <v>1429</v>
      </c>
      <c r="V38" s="131" t="s">
        <v>1429</v>
      </c>
      <c r="W38" s="131" t="s">
        <v>1429</v>
      </c>
      <c r="X38" s="131" t="s">
        <v>1429</v>
      </c>
      <c r="Y38" s="131" t="s">
        <v>1429</v>
      </c>
      <c r="Z38" s="33"/>
    </row>
    <row r="39" spans="1:26" ht="30">
      <c r="A39" s="125"/>
      <c r="B39" s="95" t="s">
        <v>908</v>
      </c>
      <c r="C39" s="90">
        <v>-4.6987117389629928E-4</v>
      </c>
      <c r="D39" s="91">
        <v>0.1194646002141425</v>
      </c>
      <c r="E39" s="92">
        <v>3.1421910464367697E-3</v>
      </c>
      <c r="F39" s="93">
        <v>0.11907886846540917</v>
      </c>
      <c r="G39" s="90">
        <v>1.8388168519794864E-3</v>
      </c>
      <c r="H39" s="91">
        <v>0.11785075214868515</v>
      </c>
      <c r="I39" s="92" t="s">
        <v>1409</v>
      </c>
      <c r="J39" s="94" t="s">
        <v>1409</v>
      </c>
      <c r="K39" s="131" t="s">
        <v>1429</v>
      </c>
      <c r="L39" s="131" t="s">
        <v>1429</v>
      </c>
      <c r="M39" s="131" t="s">
        <v>1429</v>
      </c>
      <c r="N39" s="131" t="s">
        <v>1429</v>
      </c>
      <c r="O39" s="131" t="s">
        <v>1429</v>
      </c>
      <c r="P39" s="131" t="s">
        <v>1429</v>
      </c>
      <c r="Q39" s="131" t="s">
        <v>1429</v>
      </c>
      <c r="R39" s="131" t="s">
        <v>1429</v>
      </c>
      <c r="S39" s="131" t="s">
        <v>1429</v>
      </c>
      <c r="T39" s="131" t="s">
        <v>1429</v>
      </c>
      <c r="U39" s="131" t="s">
        <v>1429</v>
      </c>
      <c r="V39" s="131" t="s">
        <v>1429</v>
      </c>
      <c r="W39" s="131" t="s">
        <v>1429</v>
      </c>
      <c r="X39" s="131" t="s">
        <v>1429</v>
      </c>
      <c r="Y39" s="131" t="s">
        <v>1429</v>
      </c>
      <c r="Z39" s="33"/>
    </row>
    <row r="40" spans="1:26">
      <c r="A40" s="125"/>
      <c r="B40" s="96" t="s">
        <v>2</v>
      </c>
      <c r="C40" s="90">
        <v>0</v>
      </c>
      <c r="D40" s="91">
        <v>0</v>
      </c>
      <c r="E40" s="92">
        <v>0</v>
      </c>
      <c r="F40" s="93">
        <v>0</v>
      </c>
      <c r="G40" s="90">
        <v>0</v>
      </c>
      <c r="H40" s="91">
        <v>0</v>
      </c>
      <c r="I40" s="92" t="s">
        <v>1409</v>
      </c>
      <c r="J40" s="94" t="s">
        <v>1409</v>
      </c>
      <c r="K40" s="131" t="s">
        <v>1429</v>
      </c>
      <c r="L40" s="131" t="s">
        <v>1429</v>
      </c>
      <c r="M40" s="131" t="s">
        <v>1429</v>
      </c>
      <c r="N40" s="131" t="s">
        <v>1429</v>
      </c>
      <c r="O40" s="131" t="s">
        <v>1429</v>
      </c>
      <c r="P40" s="131" t="s">
        <v>1429</v>
      </c>
      <c r="Q40" s="131" t="s">
        <v>1429</v>
      </c>
      <c r="R40" s="131" t="s">
        <v>1429</v>
      </c>
      <c r="S40" s="131" t="s">
        <v>1429</v>
      </c>
      <c r="T40" s="131" t="s">
        <v>1429</v>
      </c>
      <c r="U40" s="131" t="s">
        <v>1429</v>
      </c>
      <c r="V40" s="131" t="s">
        <v>1429</v>
      </c>
      <c r="W40" s="131" t="s">
        <v>1429</v>
      </c>
      <c r="X40" s="131" t="s">
        <v>1429</v>
      </c>
      <c r="Y40" s="131" t="s">
        <v>1429</v>
      </c>
      <c r="Z40" s="33"/>
    </row>
    <row r="41" spans="1:26">
      <c r="A41" s="125"/>
      <c r="B41" s="96" t="s">
        <v>3</v>
      </c>
      <c r="C41" s="90">
        <v>0</v>
      </c>
      <c r="D41" s="91">
        <v>0</v>
      </c>
      <c r="E41" s="92">
        <v>0</v>
      </c>
      <c r="F41" s="93">
        <v>0</v>
      </c>
      <c r="G41" s="90">
        <v>0</v>
      </c>
      <c r="H41" s="91">
        <v>0</v>
      </c>
      <c r="I41" s="92" t="s">
        <v>1409</v>
      </c>
      <c r="J41" s="94" t="s">
        <v>1409</v>
      </c>
      <c r="K41" s="131" t="s">
        <v>1429</v>
      </c>
      <c r="L41" s="131" t="s">
        <v>1429</v>
      </c>
      <c r="M41" s="131" t="s">
        <v>1429</v>
      </c>
      <c r="N41" s="131" t="s">
        <v>1429</v>
      </c>
      <c r="O41" s="131" t="s">
        <v>1429</v>
      </c>
      <c r="P41" s="131" t="s">
        <v>1429</v>
      </c>
      <c r="Q41" s="131" t="s">
        <v>1429</v>
      </c>
      <c r="R41" s="131" t="s">
        <v>1429</v>
      </c>
      <c r="S41" s="131" t="s">
        <v>1429</v>
      </c>
      <c r="T41" s="131" t="s">
        <v>1429</v>
      </c>
      <c r="U41" s="131" t="s">
        <v>1429</v>
      </c>
      <c r="V41" s="131" t="s">
        <v>1429</v>
      </c>
      <c r="W41" s="131" t="s">
        <v>1429</v>
      </c>
      <c r="X41" s="131" t="s">
        <v>1429</v>
      </c>
      <c r="Y41" s="131" t="s">
        <v>1429</v>
      </c>
      <c r="Z41" s="33"/>
    </row>
    <row r="42" spans="1:26">
      <c r="A42" s="125"/>
      <c r="B42" s="96" t="s">
        <v>4</v>
      </c>
      <c r="C42" s="90">
        <v>-5.844853845883522E-4</v>
      </c>
      <c r="D42" s="91">
        <v>0.2814638247421688</v>
      </c>
      <c r="E42" s="92">
        <v>7.0347539093901573E-3</v>
      </c>
      <c r="F42" s="93">
        <v>0.27897012549174344</v>
      </c>
      <c r="G42" s="90">
        <v>7.4263740940027018E-3</v>
      </c>
      <c r="H42" s="91">
        <v>0.27369380104727947</v>
      </c>
      <c r="I42" s="92" t="s">
        <v>1409</v>
      </c>
      <c r="J42" s="94" t="s">
        <v>1409</v>
      </c>
      <c r="K42" s="131" t="s">
        <v>1429</v>
      </c>
      <c r="L42" s="131" t="s">
        <v>1429</v>
      </c>
      <c r="M42" s="131" t="s">
        <v>1429</v>
      </c>
      <c r="N42" s="131" t="s">
        <v>1429</v>
      </c>
      <c r="O42" s="131" t="s">
        <v>1429</v>
      </c>
      <c r="P42" s="131" t="s">
        <v>1429</v>
      </c>
      <c r="Q42" s="131" t="s">
        <v>1429</v>
      </c>
      <c r="R42" s="131" t="s">
        <v>1429</v>
      </c>
      <c r="S42" s="131" t="s">
        <v>1429</v>
      </c>
      <c r="T42" s="131" t="s">
        <v>1429</v>
      </c>
      <c r="U42" s="131" t="s">
        <v>1429</v>
      </c>
      <c r="V42" s="131" t="s">
        <v>1429</v>
      </c>
      <c r="W42" s="131" t="s">
        <v>1429</v>
      </c>
      <c r="X42" s="131" t="s">
        <v>1429</v>
      </c>
      <c r="Y42" s="131" t="s">
        <v>1429</v>
      </c>
      <c r="Z42" s="33"/>
    </row>
    <row r="43" spans="1:26">
      <c r="A43" s="125"/>
      <c r="B43" s="96" t="s">
        <v>5</v>
      </c>
      <c r="C43" s="90">
        <v>0</v>
      </c>
      <c r="D43" s="91">
        <v>0</v>
      </c>
      <c r="E43" s="92">
        <v>0</v>
      </c>
      <c r="F43" s="93">
        <v>0</v>
      </c>
      <c r="G43" s="90">
        <v>0</v>
      </c>
      <c r="H43" s="91">
        <v>0</v>
      </c>
      <c r="I43" s="92" t="s">
        <v>1409</v>
      </c>
      <c r="J43" s="94" t="s">
        <v>1409</v>
      </c>
      <c r="K43" s="131" t="s">
        <v>1429</v>
      </c>
      <c r="L43" s="131" t="s">
        <v>1429</v>
      </c>
      <c r="M43" s="131" t="s">
        <v>1429</v>
      </c>
      <c r="N43" s="131" t="s">
        <v>1429</v>
      </c>
      <c r="O43" s="131" t="s">
        <v>1429</v>
      </c>
      <c r="P43" s="131" t="s">
        <v>1429</v>
      </c>
      <c r="Q43" s="131" t="s">
        <v>1429</v>
      </c>
      <c r="R43" s="131" t="s">
        <v>1429</v>
      </c>
      <c r="S43" s="131" t="s">
        <v>1429</v>
      </c>
      <c r="T43" s="131" t="s">
        <v>1429</v>
      </c>
      <c r="U43" s="131" t="s">
        <v>1429</v>
      </c>
      <c r="V43" s="131" t="s">
        <v>1429</v>
      </c>
      <c r="W43" s="131" t="s">
        <v>1429</v>
      </c>
      <c r="X43" s="131" t="s">
        <v>1429</v>
      </c>
      <c r="Y43" s="131" t="s">
        <v>1429</v>
      </c>
      <c r="Z43" s="33"/>
    </row>
    <row r="44" spans="1:26">
      <c r="A44" s="125"/>
      <c r="B44" s="96" t="s">
        <v>6</v>
      </c>
      <c r="C44" s="90">
        <v>1.0575288752985447E-2</v>
      </c>
      <c r="D44" s="91">
        <v>0.23349722036487627</v>
      </c>
      <c r="E44" s="92">
        <v>2.5910633884820872E-2</v>
      </c>
      <c r="F44" s="93">
        <v>0.24252803878336984</v>
      </c>
      <c r="G44" s="90">
        <v>2.5230148621586058E-2</v>
      </c>
      <c r="H44" s="91">
        <v>0.24318042707426005</v>
      </c>
      <c r="I44" s="92" t="s">
        <v>1409</v>
      </c>
      <c r="J44" s="94" t="s">
        <v>1409</v>
      </c>
      <c r="K44" s="131" t="s">
        <v>1429</v>
      </c>
      <c r="L44" s="131" t="s">
        <v>1429</v>
      </c>
      <c r="M44" s="131" t="s">
        <v>1429</v>
      </c>
      <c r="N44" s="131" t="s">
        <v>1429</v>
      </c>
      <c r="O44" s="131" t="s">
        <v>1429</v>
      </c>
      <c r="P44" s="131" t="s">
        <v>1429</v>
      </c>
      <c r="Q44" s="131" t="s">
        <v>1429</v>
      </c>
      <c r="R44" s="131" t="s">
        <v>1429</v>
      </c>
      <c r="S44" s="131" t="s">
        <v>1429</v>
      </c>
      <c r="T44" s="131" t="s">
        <v>1429</v>
      </c>
      <c r="U44" s="131" t="s">
        <v>1429</v>
      </c>
      <c r="V44" s="131" t="s">
        <v>1429</v>
      </c>
      <c r="W44" s="131" t="s">
        <v>1429</v>
      </c>
      <c r="X44" s="131" t="s">
        <v>1429</v>
      </c>
      <c r="Y44" s="131" t="s">
        <v>1429</v>
      </c>
      <c r="Z44" s="33"/>
    </row>
    <row r="45" spans="1:26">
      <c r="A45" s="125"/>
      <c r="B45" s="96" t="s">
        <v>62</v>
      </c>
      <c r="C45" s="90">
        <v>-4.0578361001683055E-3</v>
      </c>
      <c r="D45" s="91">
        <v>0.15821832507332154</v>
      </c>
      <c r="E45" s="92">
        <v>4.8764164233610404E-3</v>
      </c>
      <c r="F45" s="93">
        <v>0.15587669049971431</v>
      </c>
      <c r="G45" s="90">
        <v>9.0499857526907864E-3</v>
      </c>
      <c r="H45" s="91">
        <v>0.15101682672781103</v>
      </c>
      <c r="I45" s="92" t="s">
        <v>1409</v>
      </c>
      <c r="J45" s="94" t="s">
        <v>1409</v>
      </c>
      <c r="K45" s="131" t="s">
        <v>1429</v>
      </c>
      <c r="L45" s="131" t="s">
        <v>1429</v>
      </c>
      <c r="M45" s="131" t="s">
        <v>1429</v>
      </c>
      <c r="N45" s="131" t="s">
        <v>1429</v>
      </c>
      <c r="O45" s="131" t="s">
        <v>1429</v>
      </c>
      <c r="P45" s="131" t="s">
        <v>1429</v>
      </c>
      <c r="Q45" s="131" t="s">
        <v>1429</v>
      </c>
      <c r="R45" s="131" t="s">
        <v>1429</v>
      </c>
      <c r="S45" s="131" t="s">
        <v>1429</v>
      </c>
      <c r="T45" s="131" t="s">
        <v>1429</v>
      </c>
      <c r="U45" s="131" t="s">
        <v>1429</v>
      </c>
      <c r="V45" s="131" t="s">
        <v>1429</v>
      </c>
      <c r="W45" s="131" t="s">
        <v>1429</v>
      </c>
      <c r="X45" s="131" t="s">
        <v>1429</v>
      </c>
      <c r="Y45" s="131" t="s">
        <v>1429</v>
      </c>
      <c r="Z45" s="33"/>
    </row>
    <row r="46" spans="1:26">
      <c r="A46" s="125"/>
      <c r="B46" s="96" t="s">
        <v>7</v>
      </c>
      <c r="C46" s="90">
        <v>-2.6809948198565543E-4</v>
      </c>
      <c r="D46" s="91">
        <v>6.587643569421469E-3</v>
      </c>
      <c r="E46" s="92">
        <v>-3.7315895205887277E-4</v>
      </c>
      <c r="F46" s="93">
        <v>5.7373179337904499E-3</v>
      </c>
      <c r="G46" s="90">
        <v>-2.2153700665447935E-4</v>
      </c>
      <c r="H46" s="91">
        <v>4.4741873907521729E-3</v>
      </c>
      <c r="I46" s="92" t="s">
        <v>1409</v>
      </c>
      <c r="J46" s="94" t="s">
        <v>1409</v>
      </c>
      <c r="K46" s="131" t="s">
        <v>1429</v>
      </c>
      <c r="L46" s="131" t="s">
        <v>1429</v>
      </c>
      <c r="M46" s="131" t="s">
        <v>1429</v>
      </c>
      <c r="N46" s="131" t="s">
        <v>1429</v>
      </c>
      <c r="O46" s="131" t="s">
        <v>1429</v>
      </c>
      <c r="P46" s="131" t="s">
        <v>1429</v>
      </c>
      <c r="Q46" s="131" t="s">
        <v>1429</v>
      </c>
      <c r="R46" s="131" t="s">
        <v>1429</v>
      </c>
      <c r="S46" s="131" t="s">
        <v>1429</v>
      </c>
      <c r="T46" s="131" t="s">
        <v>1429</v>
      </c>
      <c r="U46" s="131" t="s">
        <v>1429</v>
      </c>
      <c r="V46" s="131" t="s">
        <v>1429</v>
      </c>
      <c r="W46" s="131" t="s">
        <v>1429</v>
      </c>
      <c r="X46" s="131" t="s">
        <v>1429</v>
      </c>
      <c r="Y46" s="131" t="s">
        <v>1429</v>
      </c>
      <c r="Z46" s="33"/>
    </row>
    <row r="47" spans="1:26">
      <c r="A47" s="125"/>
      <c r="B47" s="96" t="s">
        <v>8</v>
      </c>
      <c r="C47" s="90">
        <v>5.6458606230213369E-5</v>
      </c>
      <c r="D47" s="91">
        <v>1.2542829355971887E-3</v>
      </c>
      <c r="E47" s="92">
        <v>1.3047626267815614E-4</v>
      </c>
      <c r="F47" s="93">
        <v>1.2496689230291102E-3</v>
      </c>
      <c r="G47" s="90">
        <v>1.3650218403414775E-4</v>
      </c>
      <c r="H47" s="91">
        <v>1.5773082261128692E-3</v>
      </c>
      <c r="I47" s="92" t="s">
        <v>1409</v>
      </c>
      <c r="J47" s="94" t="s">
        <v>1409</v>
      </c>
      <c r="K47" s="131" t="s">
        <v>1429</v>
      </c>
      <c r="L47" s="131" t="s">
        <v>1429</v>
      </c>
      <c r="M47" s="131" t="s">
        <v>1429</v>
      </c>
      <c r="N47" s="131" t="s">
        <v>1429</v>
      </c>
      <c r="O47" s="131" t="s">
        <v>1429</v>
      </c>
      <c r="P47" s="131" t="s">
        <v>1429</v>
      </c>
      <c r="Q47" s="131" t="s">
        <v>1429</v>
      </c>
      <c r="R47" s="131" t="s">
        <v>1429</v>
      </c>
      <c r="S47" s="131" t="s">
        <v>1429</v>
      </c>
      <c r="T47" s="131" t="s">
        <v>1429</v>
      </c>
      <c r="U47" s="131" t="s">
        <v>1429</v>
      </c>
      <c r="V47" s="131" t="s">
        <v>1429</v>
      </c>
      <c r="W47" s="131" t="s">
        <v>1429</v>
      </c>
      <c r="X47" s="131" t="s">
        <v>1429</v>
      </c>
      <c r="Y47" s="131" t="s">
        <v>1429</v>
      </c>
      <c r="Z47" s="33"/>
    </row>
    <row r="48" spans="1:26">
      <c r="A48" s="125"/>
      <c r="B48" s="96" t="s">
        <v>9</v>
      </c>
      <c r="C48" s="90">
        <v>5.9046224213475243E-5</v>
      </c>
      <c r="D48" s="91">
        <v>2.4880200905819306E-4</v>
      </c>
      <c r="E48" s="92">
        <v>1.1276574220347419E-4</v>
      </c>
      <c r="F48" s="93">
        <v>2.9237877035340811E-4</v>
      </c>
      <c r="G48" s="90">
        <v>1.3264291624117476E-4</v>
      </c>
      <c r="H48" s="91">
        <v>2.9504641768825831E-4</v>
      </c>
      <c r="I48" s="92" t="s">
        <v>1409</v>
      </c>
      <c r="J48" s="94" t="s">
        <v>1409</v>
      </c>
      <c r="K48" s="131" t="s">
        <v>1429</v>
      </c>
      <c r="L48" s="131" t="s">
        <v>1429</v>
      </c>
      <c r="M48" s="131" t="s">
        <v>1429</v>
      </c>
      <c r="N48" s="131" t="s">
        <v>1429</v>
      </c>
      <c r="O48" s="131" t="s">
        <v>1429</v>
      </c>
      <c r="P48" s="131" t="s">
        <v>1429</v>
      </c>
      <c r="Q48" s="131" t="s">
        <v>1429</v>
      </c>
      <c r="R48" s="131" t="s">
        <v>1429</v>
      </c>
      <c r="S48" s="131" t="s">
        <v>1429</v>
      </c>
      <c r="T48" s="131" t="s">
        <v>1429</v>
      </c>
      <c r="U48" s="131" t="s">
        <v>1429</v>
      </c>
      <c r="V48" s="131" t="s">
        <v>1429</v>
      </c>
      <c r="W48" s="131" t="s">
        <v>1429</v>
      </c>
      <c r="X48" s="131" t="s">
        <v>1429</v>
      </c>
      <c r="Y48" s="131" t="s">
        <v>1429</v>
      </c>
      <c r="Z48" s="33"/>
    </row>
    <row r="49" spans="1:26">
      <c r="A49" s="125"/>
      <c r="B49" s="96" t="s">
        <v>10</v>
      </c>
      <c r="C49" s="90">
        <v>-5.6103797527848444E-3</v>
      </c>
      <c r="D49" s="91">
        <v>9.4708767036520043E-3</v>
      </c>
      <c r="E49" s="92">
        <v>2.3835952529338955E-2</v>
      </c>
      <c r="F49" s="93">
        <v>1.3616116218240404E-2</v>
      </c>
      <c r="G49" s="90">
        <v>2.2229759018380486E-2</v>
      </c>
      <c r="H49" s="91">
        <v>7.8140373242273076E-3</v>
      </c>
      <c r="I49" s="92" t="s">
        <v>1409</v>
      </c>
      <c r="J49" s="94" t="s">
        <v>1409</v>
      </c>
      <c r="K49" s="131" t="s">
        <v>1429</v>
      </c>
      <c r="L49" s="131" t="s">
        <v>1429</v>
      </c>
      <c r="M49" s="131" t="s">
        <v>1429</v>
      </c>
      <c r="N49" s="131" t="s">
        <v>1429</v>
      </c>
      <c r="O49" s="131" t="s">
        <v>1429</v>
      </c>
      <c r="P49" s="131" t="s">
        <v>1429</v>
      </c>
      <c r="Q49" s="131" t="s">
        <v>1429</v>
      </c>
      <c r="R49" s="131" t="s">
        <v>1429</v>
      </c>
      <c r="S49" s="131" t="s">
        <v>1429</v>
      </c>
      <c r="T49" s="131" t="s">
        <v>1429</v>
      </c>
      <c r="U49" s="131" t="s">
        <v>1429</v>
      </c>
      <c r="V49" s="131" t="s">
        <v>1429</v>
      </c>
      <c r="W49" s="131" t="s">
        <v>1429</v>
      </c>
      <c r="X49" s="131" t="s">
        <v>1429</v>
      </c>
      <c r="Y49" s="131" t="s">
        <v>1429</v>
      </c>
      <c r="Z49" s="33"/>
    </row>
    <row r="50" spans="1:26">
      <c r="A50" s="125"/>
      <c r="B50" s="96" t="s">
        <v>11</v>
      </c>
      <c r="C50" s="90">
        <v>1.0063307885294152E-4</v>
      </c>
      <c r="D50" s="91">
        <v>1.9759424919870523E-4</v>
      </c>
      <c r="E50" s="92">
        <v>1.2500120854386283E-4</v>
      </c>
      <c r="F50" s="93">
        <v>1.1466116805702456E-4</v>
      </c>
      <c r="G50" s="90">
        <v>4.8459852660540439E-4</v>
      </c>
      <c r="H50" s="91">
        <v>5.1916956512038895E-5</v>
      </c>
      <c r="I50" s="92" t="s">
        <v>1409</v>
      </c>
      <c r="J50" s="94" t="s">
        <v>1409</v>
      </c>
      <c r="K50" s="131" t="s">
        <v>1429</v>
      </c>
      <c r="L50" s="131" t="s">
        <v>1429</v>
      </c>
      <c r="M50" s="131" t="s">
        <v>1429</v>
      </c>
      <c r="N50" s="131" t="s">
        <v>1429</v>
      </c>
      <c r="O50" s="131" t="s">
        <v>1429</v>
      </c>
      <c r="P50" s="131" t="s">
        <v>1429</v>
      </c>
      <c r="Q50" s="131" t="s">
        <v>1429</v>
      </c>
      <c r="R50" s="131" t="s">
        <v>1429</v>
      </c>
      <c r="S50" s="131" t="s">
        <v>1429</v>
      </c>
      <c r="T50" s="131" t="s">
        <v>1429</v>
      </c>
      <c r="U50" s="131" t="s">
        <v>1429</v>
      </c>
      <c r="V50" s="131" t="s">
        <v>1429</v>
      </c>
      <c r="W50" s="131" t="s">
        <v>1429</v>
      </c>
      <c r="X50" s="131" t="s">
        <v>1429</v>
      </c>
      <c r="Y50" s="131" t="s">
        <v>1429</v>
      </c>
      <c r="Z50" s="33"/>
    </row>
    <row r="51" spans="1:26">
      <c r="A51" s="125"/>
      <c r="B51" s="96" t="s">
        <v>12</v>
      </c>
      <c r="C51" s="90">
        <v>0</v>
      </c>
      <c r="D51" s="91">
        <v>0</v>
      </c>
      <c r="E51" s="92">
        <v>0</v>
      </c>
      <c r="F51" s="93">
        <v>0</v>
      </c>
      <c r="G51" s="90">
        <v>0</v>
      </c>
      <c r="H51" s="91">
        <v>0</v>
      </c>
      <c r="I51" s="92" t="s">
        <v>1409</v>
      </c>
      <c r="J51" s="94" t="s">
        <v>1409</v>
      </c>
      <c r="K51" s="131" t="s">
        <v>1429</v>
      </c>
      <c r="L51" s="131" t="s">
        <v>1429</v>
      </c>
      <c r="M51" s="131" t="s">
        <v>1429</v>
      </c>
      <c r="N51" s="131" t="s">
        <v>1429</v>
      </c>
      <c r="O51" s="131" t="s">
        <v>1429</v>
      </c>
      <c r="P51" s="131" t="s">
        <v>1429</v>
      </c>
      <c r="Q51" s="131" t="s">
        <v>1429</v>
      </c>
      <c r="R51" s="131" t="s">
        <v>1429</v>
      </c>
      <c r="S51" s="131" t="s">
        <v>1429</v>
      </c>
      <c r="T51" s="131" t="s">
        <v>1429</v>
      </c>
      <c r="U51" s="131" t="s">
        <v>1429</v>
      </c>
      <c r="V51" s="131" t="s">
        <v>1429</v>
      </c>
      <c r="W51" s="131" t="s">
        <v>1429</v>
      </c>
      <c r="X51" s="131" t="s">
        <v>1429</v>
      </c>
      <c r="Y51" s="131" t="s">
        <v>1429</v>
      </c>
      <c r="Z51" s="33"/>
    </row>
    <row r="52" spans="1:26">
      <c r="A52" s="125"/>
      <c r="B52" s="96" t="s">
        <v>13</v>
      </c>
      <c r="C52" s="90">
        <v>0</v>
      </c>
      <c r="D52" s="91">
        <v>0</v>
      </c>
      <c r="E52" s="92">
        <v>0</v>
      </c>
      <c r="F52" s="93">
        <v>0</v>
      </c>
      <c r="G52" s="90">
        <v>0</v>
      </c>
      <c r="H52" s="91">
        <v>0</v>
      </c>
      <c r="I52" s="92" t="s">
        <v>1409</v>
      </c>
      <c r="J52" s="94" t="s">
        <v>1409</v>
      </c>
      <c r="K52" s="131" t="s">
        <v>1429</v>
      </c>
      <c r="L52" s="131" t="s">
        <v>1429</v>
      </c>
      <c r="M52" s="131" t="s">
        <v>1429</v>
      </c>
      <c r="N52" s="131" t="s">
        <v>1429</v>
      </c>
      <c r="O52" s="131" t="s">
        <v>1429</v>
      </c>
      <c r="P52" s="131" t="s">
        <v>1429</v>
      </c>
      <c r="Q52" s="131" t="s">
        <v>1429</v>
      </c>
      <c r="R52" s="131" t="s">
        <v>1429</v>
      </c>
      <c r="S52" s="131" t="s">
        <v>1429</v>
      </c>
      <c r="T52" s="131" t="s">
        <v>1429</v>
      </c>
      <c r="U52" s="131" t="s">
        <v>1429</v>
      </c>
      <c r="V52" s="131" t="s">
        <v>1429</v>
      </c>
      <c r="W52" s="131" t="s">
        <v>1429</v>
      </c>
      <c r="X52" s="131" t="s">
        <v>1429</v>
      </c>
      <c r="Y52" s="131" t="s">
        <v>1429</v>
      </c>
      <c r="Z52" s="33"/>
    </row>
    <row r="53" spans="1:26">
      <c r="A53" s="125"/>
      <c r="B53" s="96" t="s">
        <v>14</v>
      </c>
      <c r="C53" s="90">
        <v>0</v>
      </c>
      <c r="D53" s="91">
        <v>0</v>
      </c>
      <c r="E53" s="92">
        <v>0</v>
      </c>
      <c r="F53" s="93">
        <v>0</v>
      </c>
      <c r="G53" s="90">
        <v>0</v>
      </c>
      <c r="H53" s="91">
        <v>0</v>
      </c>
      <c r="I53" s="92" t="s">
        <v>1409</v>
      </c>
      <c r="J53" s="94" t="s">
        <v>1409</v>
      </c>
      <c r="K53" s="131" t="s">
        <v>1429</v>
      </c>
      <c r="L53" s="131" t="s">
        <v>1429</v>
      </c>
      <c r="M53" s="131" t="s">
        <v>1429</v>
      </c>
      <c r="N53" s="131" t="s">
        <v>1429</v>
      </c>
      <c r="O53" s="131" t="s">
        <v>1429</v>
      </c>
      <c r="P53" s="131" t="s">
        <v>1429</v>
      </c>
      <c r="Q53" s="131" t="s">
        <v>1429</v>
      </c>
      <c r="R53" s="131" t="s">
        <v>1429</v>
      </c>
      <c r="S53" s="131" t="s">
        <v>1429</v>
      </c>
      <c r="T53" s="131" t="s">
        <v>1429</v>
      </c>
      <c r="U53" s="131" t="s">
        <v>1429</v>
      </c>
      <c r="V53" s="131" t="s">
        <v>1429</v>
      </c>
      <c r="W53" s="131" t="s">
        <v>1429</v>
      </c>
      <c r="X53" s="131" t="s">
        <v>1429</v>
      </c>
      <c r="Y53" s="131" t="s">
        <v>1429</v>
      </c>
      <c r="Z53" s="33"/>
    </row>
    <row r="54" spans="1:26">
      <c r="A54" s="125"/>
      <c r="B54" s="96" t="s">
        <v>15</v>
      </c>
      <c r="C54" s="90">
        <v>0</v>
      </c>
      <c r="D54" s="91">
        <v>0</v>
      </c>
      <c r="E54" s="92">
        <v>0</v>
      </c>
      <c r="F54" s="93">
        <v>0</v>
      </c>
      <c r="G54" s="90">
        <v>0</v>
      </c>
      <c r="H54" s="91">
        <v>0</v>
      </c>
      <c r="I54" s="92" t="s">
        <v>1409</v>
      </c>
      <c r="J54" s="94" t="s">
        <v>1409</v>
      </c>
      <c r="K54" s="131" t="s">
        <v>1429</v>
      </c>
      <c r="L54" s="131" t="s">
        <v>1429</v>
      </c>
      <c r="M54" s="131" t="s">
        <v>1429</v>
      </c>
      <c r="N54" s="131" t="s">
        <v>1429</v>
      </c>
      <c r="O54" s="131" t="s">
        <v>1429</v>
      </c>
      <c r="P54" s="131" t="s">
        <v>1429</v>
      </c>
      <c r="Q54" s="131" t="s">
        <v>1429</v>
      </c>
      <c r="R54" s="131" t="s">
        <v>1429</v>
      </c>
      <c r="S54" s="131" t="s">
        <v>1429</v>
      </c>
      <c r="T54" s="131" t="s">
        <v>1429</v>
      </c>
      <c r="U54" s="131" t="s">
        <v>1429</v>
      </c>
      <c r="V54" s="131" t="s">
        <v>1429</v>
      </c>
      <c r="W54" s="131" t="s">
        <v>1429</v>
      </c>
      <c r="X54" s="131" t="s">
        <v>1429</v>
      </c>
      <c r="Y54" s="131" t="s">
        <v>1429</v>
      </c>
      <c r="Z54" s="33"/>
    </row>
    <row r="55" spans="1:26">
      <c r="A55" s="125"/>
      <c r="B55" s="96" t="s">
        <v>16</v>
      </c>
      <c r="C55" s="90">
        <v>0</v>
      </c>
      <c r="D55" s="91">
        <v>0</v>
      </c>
      <c r="E55" s="92">
        <v>0</v>
      </c>
      <c r="F55" s="93">
        <v>0</v>
      </c>
      <c r="G55" s="90">
        <v>0</v>
      </c>
      <c r="H55" s="91">
        <v>0</v>
      </c>
      <c r="I55" s="92" t="s">
        <v>1409</v>
      </c>
      <c r="J55" s="94" t="s">
        <v>1409</v>
      </c>
      <c r="K55" s="131" t="s">
        <v>1429</v>
      </c>
      <c r="L55" s="131" t="s">
        <v>1429</v>
      </c>
      <c r="M55" s="131" t="s">
        <v>1429</v>
      </c>
      <c r="N55" s="131" t="s">
        <v>1429</v>
      </c>
      <c r="O55" s="131" t="s">
        <v>1429</v>
      </c>
      <c r="P55" s="131" t="s">
        <v>1429</v>
      </c>
      <c r="Q55" s="131" t="s">
        <v>1429</v>
      </c>
      <c r="R55" s="131" t="s">
        <v>1429</v>
      </c>
      <c r="S55" s="131" t="s">
        <v>1429</v>
      </c>
      <c r="T55" s="131" t="s">
        <v>1429</v>
      </c>
      <c r="U55" s="131" t="s">
        <v>1429</v>
      </c>
      <c r="V55" s="131" t="s">
        <v>1429</v>
      </c>
      <c r="W55" s="131" t="s">
        <v>1429</v>
      </c>
      <c r="X55" s="131" t="s">
        <v>1429</v>
      </c>
      <c r="Y55" s="131" t="s">
        <v>1429</v>
      </c>
      <c r="Z55" s="33"/>
    </row>
    <row r="56" spans="1:26">
      <c r="A56" s="125"/>
      <c r="B56" s="96" t="s">
        <v>17</v>
      </c>
      <c r="C56" s="90">
        <v>0</v>
      </c>
      <c r="D56" s="91">
        <v>0</v>
      </c>
      <c r="E56" s="92">
        <v>0</v>
      </c>
      <c r="F56" s="93">
        <v>0</v>
      </c>
      <c r="G56" s="90">
        <v>0</v>
      </c>
      <c r="H56" s="91">
        <v>0</v>
      </c>
      <c r="I56" s="92" t="s">
        <v>1409</v>
      </c>
      <c r="J56" s="94" t="s">
        <v>1409</v>
      </c>
      <c r="K56" s="131" t="s">
        <v>1429</v>
      </c>
      <c r="L56" s="131" t="s">
        <v>1429</v>
      </c>
      <c r="M56" s="131" t="s">
        <v>1429</v>
      </c>
      <c r="N56" s="131" t="s">
        <v>1429</v>
      </c>
      <c r="O56" s="131" t="s">
        <v>1429</v>
      </c>
      <c r="P56" s="131" t="s">
        <v>1429</v>
      </c>
      <c r="Q56" s="131" t="s">
        <v>1429</v>
      </c>
      <c r="R56" s="131" t="s">
        <v>1429</v>
      </c>
      <c r="S56" s="131" t="s">
        <v>1429</v>
      </c>
      <c r="T56" s="131" t="s">
        <v>1429</v>
      </c>
      <c r="U56" s="131" t="s">
        <v>1429</v>
      </c>
      <c r="V56" s="131" t="s">
        <v>1429</v>
      </c>
      <c r="W56" s="131" t="s">
        <v>1429</v>
      </c>
      <c r="X56" s="131" t="s">
        <v>1429</v>
      </c>
      <c r="Y56" s="131" t="s">
        <v>1429</v>
      </c>
      <c r="Z56" s="33"/>
    </row>
    <row r="57" spans="1:26">
      <c r="A57" s="125"/>
      <c r="B57" s="97" t="s">
        <v>25</v>
      </c>
      <c r="C57" s="98">
        <v>1.577879835692686E-3</v>
      </c>
      <c r="D57" s="99">
        <v>0.99999999999999989</v>
      </c>
      <c r="E57" s="100">
        <v>6.537679510054506E-2</v>
      </c>
      <c r="F57" s="101">
        <v>1</v>
      </c>
      <c r="G57" s="98">
        <v>7.0503600449415504E-2</v>
      </c>
      <c r="H57" s="99">
        <v>1.0000000000000002</v>
      </c>
      <c r="I57" s="100" t="s">
        <v>1409</v>
      </c>
      <c r="J57" s="102" t="s">
        <v>1409</v>
      </c>
      <c r="K57" s="131" t="s">
        <v>1429</v>
      </c>
      <c r="L57" s="131" t="s">
        <v>1429</v>
      </c>
      <c r="M57" s="131" t="s">
        <v>1429</v>
      </c>
      <c r="N57" s="131" t="s">
        <v>1429</v>
      </c>
      <c r="O57" s="131" t="s">
        <v>1429</v>
      </c>
      <c r="P57" s="131" t="s">
        <v>1429</v>
      </c>
      <c r="Q57" s="131" t="s">
        <v>1429</v>
      </c>
      <c r="R57" s="131" t="s">
        <v>1429</v>
      </c>
      <c r="S57" s="131" t="s">
        <v>1429</v>
      </c>
      <c r="T57" s="131" t="s">
        <v>1429</v>
      </c>
      <c r="U57" s="131" t="s">
        <v>1429</v>
      </c>
      <c r="V57" s="131" t="s">
        <v>1429</v>
      </c>
      <c r="W57" s="131" t="s">
        <v>1429</v>
      </c>
      <c r="X57" s="131" t="s">
        <v>1429</v>
      </c>
      <c r="Y57" s="131" t="s">
        <v>1429</v>
      </c>
      <c r="Z57" s="33"/>
    </row>
    <row r="58" spans="1:26">
      <c r="A58" s="125"/>
      <c r="B58" s="103" t="s">
        <v>24</v>
      </c>
      <c r="C58" s="104">
        <v>-115.08217000000013</v>
      </c>
      <c r="D58" s="128"/>
      <c r="E58" s="105">
        <v>1300.1922099999992</v>
      </c>
      <c r="F58" s="128"/>
      <c r="G58" s="104">
        <v>1428.3532599999992</v>
      </c>
      <c r="H58" s="128"/>
      <c r="I58" s="105" t="s">
        <v>1409</v>
      </c>
      <c r="J58" s="132"/>
      <c r="K58" s="131" t="s">
        <v>1429</v>
      </c>
      <c r="L58" s="131" t="s">
        <v>1429</v>
      </c>
      <c r="M58" s="131" t="s">
        <v>1429</v>
      </c>
      <c r="N58" s="131" t="s">
        <v>1429</v>
      </c>
      <c r="O58" s="131" t="s">
        <v>1429</v>
      </c>
      <c r="P58" s="131" t="s">
        <v>1429</v>
      </c>
      <c r="Q58" s="131" t="s">
        <v>1429</v>
      </c>
      <c r="R58" s="131" t="s">
        <v>1429</v>
      </c>
      <c r="S58" s="131" t="s">
        <v>1429</v>
      </c>
      <c r="T58" s="131" t="s">
        <v>1429</v>
      </c>
      <c r="U58" s="131" t="s">
        <v>1429</v>
      </c>
      <c r="V58" s="131" t="s">
        <v>1429</v>
      </c>
      <c r="W58" s="131" t="s">
        <v>1429</v>
      </c>
      <c r="X58" s="131" t="s">
        <v>1429</v>
      </c>
      <c r="Y58" s="131" t="s">
        <v>1429</v>
      </c>
      <c r="Z58" s="33"/>
    </row>
    <row r="59" spans="1:26">
      <c r="A59" s="125"/>
      <c r="B59" s="129"/>
      <c r="C59" s="130"/>
      <c r="D59" s="130"/>
      <c r="E59" s="130"/>
      <c r="F59" s="130"/>
      <c r="G59" s="130"/>
      <c r="H59" s="130"/>
      <c r="I59" s="130"/>
      <c r="J59" s="133"/>
      <c r="K59" s="131" t="s">
        <v>1429</v>
      </c>
      <c r="L59" s="131" t="s">
        <v>1429</v>
      </c>
      <c r="M59" s="131" t="s">
        <v>1429</v>
      </c>
      <c r="N59" s="131" t="s">
        <v>1429</v>
      </c>
      <c r="O59" s="131" t="s">
        <v>1429</v>
      </c>
      <c r="P59" s="131" t="s">
        <v>1429</v>
      </c>
      <c r="Q59" s="131" t="s">
        <v>1429</v>
      </c>
      <c r="R59" s="131" t="s">
        <v>1429</v>
      </c>
      <c r="S59" s="131" t="s">
        <v>1429</v>
      </c>
      <c r="T59" s="131" t="s">
        <v>1429</v>
      </c>
      <c r="U59" s="131" t="s">
        <v>1429</v>
      </c>
      <c r="V59" s="131" t="s">
        <v>1429</v>
      </c>
      <c r="W59" s="131" t="s">
        <v>1429</v>
      </c>
      <c r="X59" s="131" t="s">
        <v>1429</v>
      </c>
      <c r="Y59" s="131" t="s">
        <v>1429</v>
      </c>
      <c r="Z59" s="33"/>
    </row>
    <row r="60" spans="1:26">
      <c r="A60" s="125"/>
      <c r="B60" s="89" t="s">
        <v>19</v>
      </c>
      <c r="C60" s="108">
        <v>1.4436249758560379E-2</v>
      </c>
      <c r="D60" s="109">
        <v>0.76943525233356025</v>
      </c>
      <c r="E60" s="110">
        <v>3.1622210239436829E-2</v>
      </c>
      <c r="F60" s="111">
        <v>0.76656363081980317</v>
      </c>
      <c r="G60" s="108">
        <v>3.3325543808102924E-2</v>
      </c>
      <c r="H60" s="109">
        <v>0.76770105464039129</v>
      </c>
      <c r="I60" s="110" t="s">
        <v>1409</v>
      </c>
      <c r="J60" s="112" t="s">
        <v>1409</v>
      </c>
      <c r="K60" s="131" t="s">
        <v>1429</v>
      </c>
      <c r="L60" s="131" t="s">
        <v>1429</v>
      </c>
      <c r="M60" s="131" t="s">
        <v>1429</v>
      </c>
      <c r="N60" s="131" t="s">
        <v>1429</v>
      </c>
      <c r="O60" s="131" t="s">
        <v>1429</v>
      </c>
      <c r="P60" s="131" t="s">
        <v>1429</v>
      </c>
      <c r="Q60" s="131" t="s">
        <v>1429</v>
      </c>
      <c r="R60" s="131" t="s">
        <v>1429</v>
      </c>
      <c r="S60" s="131" t="s">
        <v>1429</v>
      </c>
      <c r="T60" s="131" t="s">
        <v>1429</v>
      </c>
      <c r="U60" s="131" t="s">
        <v>1429</v>
      </c>
      <c r="V60" s="131" t="s">
        <v>1429</v>
      </c>
      <c r="W60" s="131" t="s">
        <v>1429</v>
      </c>
      <c r="X60" s="131" t="s">
        <v>1429</v>
      </c>
      <c r="Y60" s="131" t="s">
        <v>1429</v>
      </c>
      <c r="Z60" s="33"/>
    </row>
    <row r="61" spans="1:26">
      <c r="A61" s="125"/>
      <c r="B61" s="96" t="s">
        <v>20</v>
      </c>
      <c r="C61" s="90">
        <v>-1.2858369922867693E-2</v>
      </c>
      <c r="D61" s="91">
        <v>0.23056474766643986</v>
      </c>
      <c r="E61" s="92">
        <v>3.3754584861108231E-2</v>
      </c>
      <c r="F61" s="93">
        <v>0.2334363691801967</v>
      </c>
      <c r="G61" s="90">
        <v>3.717805664131258E-2</v>
      </c>
      <c r="H61" s="91">
        <v>0.23229894535960874</v>
      </c>
      <c r="I61" s="92" t="s">
        <v>1409</v>
      </c>
      <c r="J61" s="94" t="s">
        <v>1409</v>
      </c>
      <c r="K61" s="131" t="s">
        <v>1429</v>
      </c>
      <c r="L61" s="131" t="s">
        <v>1429</v>
      </c>
      <c r="M61" s="131" t="s">
        <v>1429</v>
      </c>
      <c r="N61" s="131" t="s">
        <v>1429</v>
      </c>
      <c r="O61" s="131" t="s">
        <v>1429</v>
      </c>
      <c r="P61" s="131" t="s">
        <v>1429</v>
      </c>
      <c r="Q61" s="131" t="s">
        <v>1429</v>
      </c>
      <c r="R61" s="131" t="s">
        <v>1429</v>
      </c>
      <c r="S61" s="131" t="s">
        <v>1429</v>
      </c>
      <c r="T61" s="131" t="s">
        <v>1429</v>
      </c>
      <c r="U61" s="131" t="s">
        <v>1429</v>
      </c>
      <c r="V61" s="131" t="s">
        <v>1429</v>
      </c>
      <c r="W61" s="131" t="s">
        <v>1429</v>
      </c>
      <c r="X61" s="131" t="s">
        <v>1429</v>
      </c>
      <c r="Y61" s="131" t="s">
        <v>1429</v>
      </c>
      <c r="Z61" s="33"/>
    </row>
    <row r="62" spans="1:26">
      <c r="A62" s="125"/>
      <c r="B62" s="97" t="s">
        <v>25</v>
      </c>
      <c r="C62" s="98">
        <v>1.577879835692686E-3</v>
      </c>
      <c r="D62" s="99">
        <v>1</v>
      </c>
      <c r="E62" s="100">
        <v>6.537679510054506E-2</v>
      </c>
      <c r="F62" s="101">
        <v>0.99999999999999989</v>
      </c>
      <c r="G62" s="98">
        <v>7.0503600449415504E-2</v>
      </c>
      <c r="H62" s="99">
        <v>1</v>
      </c>
      <c r="I62" s="100" t="s">
        <v>1409</v>
      </c>
      <c r="J62" s="102" t="s">
        <v>1409</v>
      </c>
      <c r="K62" s="131" t="s">
        <v>1429</v>
      </c>
      <c r="L62" s="131" t="s">
        <v>1429</v>
      </c>
      <c r="M62" s="131" t="s">
        <v>1429</v>
      </c>
      <c r="N62" s="131" t="s">
        <v>1429</v>
      </c>
      <c r="O62" s="131" t="s">
        <v>1429</v>
      </c>
      <c r="P62" s="131" t="s">
        <v>1429</v>
      </c>
      <c r="Q62" s="131" t="s">
        <v>1429</v>
      </c>
      <c r="R62" s="131" t="s">
        <v>1429</v>
      </c>
      <c r="S62" s="131" t="s">
        <v>1429</v>
      </c>
      <c r="T62" s="131" t="s">
        <v>1429</v>
      </c>
      <c r="U62" s="131" t="s">
        <v>1429</v>
      </c>
      <c r="V62" s="131" t="s">
        <v>1429</v>
      </c>
      <c r="W62" s="131" t="s">
        <v>1429</v>
      </c>
      <c r="X62" s="131" t="s">
        <v>1429</v>
      </c>
      <c r="Y62" s="131" t="s">
        <v>1429</v>
      </c>
      <c r="Z62" s="33"/>
    </row>
    <row r="63" spans="1:26">
      <c r="A63" s="125"/>
      <c r="B63" s="129"/>
      <c r="C63" s="130"/>
      <c r="D63" s="130"/>
      <c r="E63" s="130"/>
      <c r="F63" s="130"/>
      <c r="G63" s="130"/>
      <c r="H63" s="130"/>
      <c r="I63" s="130"/>
      <c r="J63" s="133"/>
      <c r="K63" s="131" t="s">
        <v>1429</v>
      </c>
      <c r="L63" s="131" t="s">
        <v>1429</v>
      </c>
      <c r="M63" s="131" t="s">
        <v>1429</v>
      </c>
      <c r="N63" s="131" t="s">
        <v>1429</v>
      </c>
      <c r="O63" s="131" t="s">
        <v>1429</v>
      </c>
      <c r="P63" s="131" t="s">
        <v>1429</v>
      </c>
      <c r="Q63" s="131" t="s">
        <v>1429</v>
      </c>
      <c r="R63" s="131" t="s">
        <v>1429</v>
      </c>
      <c r="S63" s="131" t="s">
        <v>1429</v>
      </c>
      <c r="T63" s="131" t="s">
        <v>1429</v>
      </c>
      <c r="U63" s="131" t="s">
        <v>1429</v>
      </c>
      <c r="V63" s="131" t="s">
        <v>1429</v>
      </c>
      <c r="W63" s="131" t="s">
        <v>1429</v>
      </c>
      <c r="X63" s="131" t="s">
        <v>1429</v>
      </c>
      <c r="Y63" s="131" t="s">
        <v>1429</v>
      </c>
      <c r="Z63" s="33"/>
    </row>
    <row r="64" spans="1:26">
      <c r="A64" s="125"/>
      <c r="B64" s="89" t="s">
        <v>21</v>
      </c>
      <c r="C64" s="108">
        <v>1.1423076029715529E-3</v>
      </c>
      <c r="D64" s="109">
        <v>0.99099704910905695</v>
      </c>
      <c r="E64" s="110">
        <v>5.6720828427445774E-2</v>
      </c>
      <c r="F64" s="111">
        <v>0.98968629779671424</v>
      </c>
      <c r="G64" s="108">
        <v>6.3273771633725343E-2</v>
      </c>
      <c r="H64" s="109">
        <v>0.9923399890923289</v>
      </c>
      <c r="I64" s="110" t="s">
        <v>1409</v>
      </c>
      <c r="J64" s="112" t="s">
        <v>1409</v>
      </c>
      <c r="K64" s="131" t="s">
        <v>1429</v>
      </c>
      <c r="L64" s="131" t="s">
        <v>1429</v>
      </c>
      <c r="M64" s="131" t="s">
        <v>1429</v>
      </c>
      <c r="N64" s="131" t="s">
        <v>1429</v>
      </c>
      <c r="O64" s="131" t="s">
        <v>1429</v>
      </c>
      <c r="P64" s="131" t="s">
        <v>1429</v>
      </c>
      <c r="Q64" s="131" t="s">
        <v>1429</v>
      </c>
      <c r="R64" s="131" t="s">
        <v>1429</v>
      </c>
      <c r="S64" s="131" t="s">
        <v>1429</v>
      </c>
      <c r="T64" s="131" t="s">
        <v>1429</v>
      </c>
      <c r="U64" s="131" t="s">
        <v>1429</v>
      </c>
      <c r="V64" s="131" t="s">
        <v>1429</v>
      </c>
      <c r="W64" s="131" t="s">
        <v>1429</v>
      </c>
      <c r="X64" s="131" t="s">
        <v>1429</v>
      </c>
      <c r="Y64" s="131" t="s">
        <v>1429</v>
      </c>
      <c r="Z64" s="33"/>
    </row>
    <row r="65" spans="1:26">
      <c r="A65" s="125"/>
      <c r="B65" s="96" t="s">
        <v>22</v>
      </c>
      <c r="C65" s="90">
        <v>4.3557223272113312E-4</v>
      </c>
      <c r="D65" s="91">
        <v>9.002950890943013E-3</v>
      </c>
      <c r="E65" s="92">
        <v>8.6559666730992857E-3</v>
      </c>
      <c r="F65" s="93">
        <v>1.0313702203285716E-2</v>
      </c>
      <c r="G65" s="90">
        <v>7.2298288156901671E-3</v>
      </c>
      <c r="H65" s="91">
        <v>7.6600109076710495E-3</v>
      </c>
      <c r="I65" s="92" t="s">
        <v>1409</v>
      </c>
      <c r="J65" s="94" t="s">
        <v>1409</v>
      </c>
      <c r="K65" s="131" t="s">
        <v>1429</v>
      </c>
      <c r="L65" s="131" t="s">
        <v>1429</v>
      </c>
      <c r="M65" s="131" t="s">
        <v>1429</v>
      </c>
      <c r="N65" s="131" t="s">
        <v>1429</v>
      </c>
      <c r="O65" s="131" t="s">
        <v>1429</v>
      </c>
      <c r="P65" s="131" t="s">
        <v>1429</v>
      </c>
      <c r="Q65" s="131" t="s">
        <v>1429</v>
      </c>
      <c r="R65" s="131" t="s">
        <v>1429</v>
      </c>
      <c r="S65" s="131" t="s">
        <v>1429</v>
      </c>
      <c r="T65" s="131" t="s">
        <v>1429</v>
      </c>
      <c r="U65" s="131" t="s">
        <v>1429</v>
      </c>
      <c r="V65" s="131" t="s">
        <v>1429</v>
      </c>
      <c r="W65" s="131" t="s">
        <v>1429</v>
      </c>
      <c r="X65" s="131" t="s">
        <v>1429</v>
      </c>
      <c r="Y65" s="131" t="s">
        <v>1429</v>
      </c>
      <c r="Z65" s="33"/>
    </row>
    <row r="66" spans="1:26">
      <c r="A66" s="125"/>
      <c r="B66" s="113" t="s">
        <v>25</v>
      </c>
      <c r="C66" s="114">
        <v>1.577879835692686E-3</v>
      </c>
      <c r="D66" s="115">
        <v>1</v>
      </c>
      <c r="E66" s="116">
        <v>6.537679510054506E-2</v>
      </c>
      <c r="F66" s="117">
        <v>1</v>
      </c>
      <c r="G66" s="114">
        <v>7.0503600449415504E-2</v>
      </c>
      <c r="H66" s="115">
        <v>1</v>
      </c>
      <c r="I66" s="116" t="s">
        <v>1409</v>
      </c>
      <c r="J66" s="118" t="s">
        <v>1409</v>
      </c>
      <c r="K66" s="131" t="s">
        <v>1429</v>
      </c>
      <c r="L66" s="131" t="s">
        <v>1429</v>
      </c>
      <c r="M66" s="131" t="s">
        <v>1429</v>
      </c>
      <c r="N66" s="131" t="s">
        <v>1429</v>
      </c>
      <c r="O66" s="131" t="s">
        <v>1429</v>
      </c>
      <c r="P66" s="131" t="s">
        <v>1429</v>
      </c>
      <c r="Q66" s="131" t="s">
        <v>1429</v>
      </c>
      <c r="R66" s="131" t="s">
        <v>1429</v>
      </c>
      <c r="S66" s="131" t="s">
        <v>1429</v>
      </c>
      <c r="T66" s="131" t="s">
        <v>1429</v>
      </c>
      <c r="U66" s="131" t="s">
        <v>1429</v>
      </c>
      <c r="V66" s="131" t="s">
        <v>1429</v>
      </c>
      <c r="W66" s="131" t="s">
        <v>1429</v>
      </c>
      <c r="X66" s="131" t="s">
        <v>1429</v>
      </c>
      <c r="Y66" s="131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>
      <c r="G708" s="70">
        <v>14944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>
      <c r="G709" s="70">
        <v>15455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>
      <c r="G710" s="70">
        <v>15456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idden="1">
      <c r="G711" s="70">
        <v>15457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2026-10-26T08:47:04Z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