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5" i="6"/>
  <c r="B23" i="6"/>
  <c r="B24" i="6"/>
  <c r="C3" i="5" l="1"/>
  <c r="C4" i="5"/>
  <c r="B26" i="6"/>
</calcChain>
</file>

<file path=xl/sharedStrings.xml><?xml version="1.0" encoding="utf-8"?>
<sst xmlns="http://schemas.openxmlformats.org/spreadsheetml/2006/main" count="5549" uniqueCount="1409">
  <si>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</si>
  <si>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</si>
  <si>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</si>
  <si>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</si>
  <si>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</si>
  <si>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</si>
  <si>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</si>
  <si>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</si>
  <si>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</si>
  <si>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</si>
  <si>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</si>
  <si>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</si>
  <si>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</si>
  <si>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</si>
  <si>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</si>
  <si>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</si>
  <si>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</si>
  <si>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</si>
  <si>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</si>
  <si>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</si>
  <si>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</si>
  <si>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</si>
  <si>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</si>
  <si>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</si>
  <si>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</si>
  <si>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</si>
  <si>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</si>
  <si>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</si>
  <si>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</si>
  <si>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</si>
  <si>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</si>
  <si>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</si>
  <si>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</si>
  <si>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</si>
  <si>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</si>
  <si>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</si>
  <si>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</si>
  <si>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</si>
  <si>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</si>
  <si>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</si>
  <si>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</si>
  <si>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</si>
  <si>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</si>
  <si>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</si>
  <si>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</si>
  <si>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</si>
  <si>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</si>
  <si>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</si>
  <si>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</si>
  <si>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</si>
  <si>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</si>
  <si>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</si>
  <si>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</si>
  <si>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</si>
  <si>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</si>
  <si>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</si>
  <si>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</si>
  <si>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</si>
  <si>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</si>
  <si>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</si>
  <si>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</si>
  <si>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</si>
  <si>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</si>
  <si>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</si>
  <si>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</si>
  <si>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</si>
  <si>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</si>
  <si>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</si>
  <si>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</si>
  <si>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</si>
  <si>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</si>
  <si>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</si>
  <si>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</si>
  <si>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</si>
  <si>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</si>
  <si>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</si>
  <si>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</si>
  <si>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</si>
  <si>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</si>
  <si>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</si>
  <si>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</si>
  <si>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</si>
  <si>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</si>
  <si>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</si>
  <si>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</si>
  <si>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</si>
  <si>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</si>
  <si>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</si>
  <si>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</si>
  <si>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</si>
  <si>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</si>
  <si>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</si>
  <si>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</si>
  <si>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</si>
  <si>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</si>
  <si>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</si>
  <si>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</si>
  <si>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</si>
  <si>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</si>
  <si>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</si>
  <si>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</si>
  <si>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</si>
  <si>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</si>
  <si>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</si>
  <si>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</si>
  <si>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</si>
  <si>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</si>
  <si>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</si>
  <si>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</si>
  <si>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</si>
  <si>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</si>
  <si>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</si>
  <si>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</si>
  <si>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</si>
  <si>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</si>
  <si>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</si>
  <si>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</si>
  <si>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</si>
  <si>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</si>
  <si>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</si>
  <si>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</si>
  <si>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</si>
  <si>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</si>
  <si>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</si>
  <si>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</si>
  <si>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</si>
  <si>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</si>
  <si>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</si>
  <si>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</si>
  <si>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</si>
  <si>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</si>
  <si>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</si>
  <si>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</si>
  <si>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</si>
  <si>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</si>
  <si>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</si>
  <si>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</si>
  <si>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</si>
  <si>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</si>
  <si>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</si>
  <si>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</si>
  <si>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</si>
  <si>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</si>
  <si>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</si>
  <si>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</si>
  <si>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</si>
  <si>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</si>
  <si>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</si>
  <si>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</si>
  <si>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</si>
  <si>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</si>
  <si>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</si>
  <si>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</si>
  <si>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</si>
  <si>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</si>
  <si>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</si>
  <si>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</si>
  <si>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</si>
  <si>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</si>
  <si>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</si>
  <si>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</si>
  <si>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</si>
  <si>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</si>
  <si>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</si>
  <si>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</si>
  <si>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</si>
  <si>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</si>
  <si>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</si>
  <si>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</si>
  <si>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</si>
  <si>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</si>
  <si>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</si>
  <si>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</si>
  <si>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</si>
  <si>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</si>
  <si>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</si>
  <si>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</si>
  <si>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</si>
  <si>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</si>
  <si>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</si>
  <si>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</si>
  <si>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</si>
  <si>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</si>
  <si>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</si>
  <si>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</si>
  <si>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</si>
  <si>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</si>
  <si>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</si>
  <si>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</si>
  <si>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</si>
  <si>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</si>
  <si>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</si>
  <si>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</si>
  <si>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</si>
  <si>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</si>
  <si>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</si>
  <si>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</si>
  <si>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</si>
  <si>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</si>
  <si>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</si>
  <si>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</si>
  <si>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</si>
  <si>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</si>
  <si>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</si>
  <si>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</si>
  <si>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</si>
  <si>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</si>
  <si>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</si>
  <si>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</si>
  <si>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</si>
  <si>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</si>
  <si>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</si>
  <si>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</si>
  <si>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</si>
  <si>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</si>
  <si>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</si>
  <si>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</si>
  <si>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</si>
  <si>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</si>
  <si>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</si>
  <si>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</si>
  <si>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</si>
  <si>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</si>
  <si>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</si>
  <si>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</si>
  <si>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</si>
  <si>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</si>
  <si>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</si>
  <si>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</si>
  <si>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</si>
  <si>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</si>
  <si>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</si>
  <si>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</si>
  <si>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</si>
  <si>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</si>
  <si>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</si>
  <si>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</si>
  <si>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</si>
  <si>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</si>
  <si>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</si>
  <si>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</si>
  <si>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</si>
  <si>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</si>
  <si>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</si>
  <si>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</si>
  <si>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</si>
  <si>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</si>
  <si>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</si>
  <si>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</si>
  <si>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</si>
  <si>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</si>
  <si>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</si>
  <si>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</si>
  <si>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</si>
  <si>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</si>
  <si>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</si>
  <si>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</si>
  <si>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</si>
  <si>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</si>
  <si>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</si>
  <si>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</si>
  <si>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</si>
  <si>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</si>
  <si>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</si>
  <si>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</si>
  <si>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</si>
  <si>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</si>
  <si>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</si>
  <si>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</si>
  <si>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</si>
  <si>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</si>
  <si>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</si>
  <si>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</si>
  <si>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</si>
  <si>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</si>
  <si>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</si>
  <si>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</si>
  <si>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</si>
  <si>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</si>
  <si>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</si>
  <si>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</si>
  <si>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</si>
  <si>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</si>
  <si>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</si>
  <si>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</si>
  <si>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</si>
  <si>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</si>
  <si>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</si>
  <si>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</si>
  <si>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</si>
  <si>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</si>
  <si>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</si>
  <si>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</si>
  <si>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</si>
  <si>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</si>
  <si>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</si>
  <si>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</si>
  <si>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</si>
  <si>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</si>
  <si>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</si>
  <si>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</si>
  <si>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</si>
  <si>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</si>
  <si>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</si>
  <si>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</si>
  <si>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</si>
  <si>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</si>
  <si>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</si>
  <si>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</si>
  <si>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</si>
  <si>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</si>
  <si>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</si>
  <si>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</si>
  <si>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</si>
  <si>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</si>
  <si>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</si>
  <si>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</si>
  <si>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</si>
  <si>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</si>
  <si>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</si>
  <si>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</si>
  <si>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</si>
  <si>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</si>
  <si>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</si>
  <si>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</si>
  <si>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</si>
  <si>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</si>
  <si>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</si>
  <si>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</si>
  <si>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</si>
  <si>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</si>
  <si>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</si>
  <si>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</si>
  <si>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</si>
  <si>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</si>
  <si>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</si>
  <si>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</si>
  <si>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</si>
  <si>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</si>
  <si>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</si>
  <si>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</si>
  <si>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</si>
  <si>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</si>
  <si>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</si>
  <si>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</si>
  <si>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</si>
  <si>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</si>
  <si>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</si>
  <si>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</si>
  <si>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</si>
  <si>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</si>
  <si>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</si>
  <si>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</si>
  <si>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</si>
  <si>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</si>
  <si>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</si>
  <si>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</si>
  <si>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</si>
  <si>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</si>
  <si>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</si>
  <si>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</si>
  <si>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</si>
  <si>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</si>
  <si>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</si>
  <si>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</si>
  <si>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</si>
  <si>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</si>
  <si>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</si>
  <si>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</si>
  <si>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</si>
  <si>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</si>
  <si>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</si>
  <si>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</si>
  <si>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</si>
  <si>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</si>
  <si>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</si>
  <si>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</si>
  <si>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</si>
  <si>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</si>
  <si>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</si>
  <si>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</si>
  <si>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</si>
  <si>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</si>
  <si>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</si>
  <si>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</si>
  <si>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</si>
  <si>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</si>
  <si>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</si>
  <si>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</si>
  <si>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</si>
  <si>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</si>
  <si>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</si>
  <si>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</si>
  <si>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</si>
  <si>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</si>
  <si>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</si>
  <si>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</si>
  <si>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</si>
  <si>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</si>
  <si>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</si>
  <si>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</si>
  <si>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</si>
  <si>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</si>
  <si>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</si>
  <si>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</si>
  <si>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</si>
  <si>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</si>
  <si>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</si>
  <si>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</si>
  <si>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</si>
  <si>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</si>
  <si>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</si>
  <si>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</si>
  <si>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</si>
  <si>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</si>
  <si>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</si>
  <si>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</si>
  <si>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</si>
  <si>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</si>
  <si>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</si>
  <si>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</si>
  <si>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</si>
  <si>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</si>
  <si>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</si>
  <si>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</si>
  <si>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</si>
  <si>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</si>
  <si>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</si>
  <si>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</si>
  <si>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</si>
  <si>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</si>
  <si>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</si>
  <si>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</si>
  <si>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</si>
  <si>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</si>
  <si>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</si>
  <si>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</si>
  <si>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</si>
  <si>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</si>
  <si>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</si>
  <si>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</si>
  <si>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</si>
  <si>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</si>
  <si>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</si>
  <si>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</si>
  <si>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</si>
  <si>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</si>
  <si>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</si>
  <si>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</si>
  <si>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</si>
  <si>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</si>
  <si>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</si>
  <si>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</si>
  <si>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</si>
  <si>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</si>
  <si>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</si>
  <si>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</si>
  <si>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</si>
  <si>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</si>
  <si>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</si>
  <si>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</si>
  <si>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</si>
  <si>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</si>
  <si>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</si>
  <si>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</si>
  <si>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</si>
  <si>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</si>
  <si>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</si>
  <si>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</si>
  <si>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</si>
  <si>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</si>
  <si>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</si>
  <si>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</si>
  <si>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</si>
  <si>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</si>
  <si>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</si>
  <si>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</si>
  <si>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</si>
  <si>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</si>
  <si>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</si>
  <si>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</si>
  <si>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</si>
  <si>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</si>
  <si>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</si>
  <si>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</si>
  <si>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</si>
  <si>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</si>
  <si>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</si>
  <si>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</si>
  <si>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</si>
  <si>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</si>
  <si>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</si>
  <si>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</si>
  <si>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</si>
  <si>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</si>
  <si>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</si>
  <si>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</si>
  <si>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</si>
  <si>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</si>
  <si>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</si>
  <si>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</si>
  <si>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</si>
  <si>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</si>
  <si>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</si>
  <si>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</si>
  <si>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</si>
  <si>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</si>
  <si>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</si>
  <si>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</si>
  <si>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</si>
  <si>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</si>
  <si>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</si>
  <si>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</si>
  <si>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</si>
  <si>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</si>
  <si>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</si>
  <si>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</si>
  <si>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</si>
  <si>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</si>
  <si>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</si>
  <si>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</si>
  <si>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</si>
  <si>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</si>
  <si>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</si>
  <si>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</si>
  <si>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</si>
  <si>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</si>
  <si>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</si>
  <si>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</si>
  <si>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</si>
  <si>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</si>
  <si>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</si>
  <si>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</si>
  <si>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</si>
  <si>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</si>
  <si>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</si>
  <si>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</si>
  <si>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</si>
  <si>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</si>
  <si>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</si>
  <si>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</si>
  <si>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</si>
  <si>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</si>
  <si>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</si>
  <si>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</si>
  <si>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</si>
  <si>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</si>
  <si>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</si>
  <si>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</si>
  <si>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</si>
  <si>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</si>
  <si>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</si>
  <si>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</si>
  <si>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</si>
  <si>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</si>
  <si>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</si>
  <si>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</si>
  <si>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</si>
  <si>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</si>
  <si>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</si>
  <si>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</si>
  <si>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</si>
  <si>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</si>
  <si>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</si>
  <si>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</si>
  <si>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</si>
  <si>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</si>
  <si>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</si>
  <si>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</si>
  <si>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</si>
  <si>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</si>
  <si>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</si>
  <si>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</si>
  <si>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</si>
  <si>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</si>
  <si>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</si>
  <si>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</si>
  <si>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</si>
  <si>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</si>
  <si>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</si>
  <si>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</si>
  <si>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</si>
  <si>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</si>
  <si>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</si>
  <si>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</si>
  <si>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</si>
  <si>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</si>
  <si>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</si>
  <si>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</si>
  <si>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</si>
  <si>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</si>
  <si>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</si>
  <si>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</si>
  <si>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</si>
  <si>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</si>
  <si>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</si>
  <si>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</si>
  <si>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</si>
  <si>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</si>
  <si>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</si>
  <si>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</si>
  <si>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</si>
  <si>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</si>
  <si>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</si>
  <si>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</si>
  <si>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</si>
  <si>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</si>
  <si>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</si>
  <si>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</si>
  <si>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</si>
  <si>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</si>
  <si>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</si>
  <si>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</si>
  <si>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</si>
  <si>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</si>
  <si>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</si>
  <si>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</si>
  <si>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</si>
  <si>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</si>
  <si>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</si>
  <si>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</si>
  <si>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</si>
  <si>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</si>
  <si>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</si>
  <si>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</si>
  <si>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</si>
  <si>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</si>
  <si>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</si>
  <si>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</si>
  <si>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</si>
  <si>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</si>
  <si>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</si>
  <si>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</si>
  <si>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</si>
  <si>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</si>
  <si>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</si>
  <si>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</si>
  <si>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</si>
  <si>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</si>
  <si>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</si>
  <si>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</si>
  <si>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</si>
  <si>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</si>
  <si>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</si>
  <si>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</si>
  <si>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</si>
  <si>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</si>
  <si>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</si>
  <si>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</si>
  <si>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</si>
  <si>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</si>
  <si>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</si>
  <si>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</si>
  <si>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</si>
  <si>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</si>
  <si>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</si>
  <si>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</si>
  <si>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</si>
  <si>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</si>
  <si>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</si>
  <si>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</si>
  <si>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</si>
  <si>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</si>
  <si>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</si>
  <si>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</si>
  <si>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</si>
  <si>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</si>
  <si>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</si>
  <si>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</si>
  <si>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</si>
  <si>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</si>
  <si>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</si>
  <si>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</si>
  <si>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</si>
  <si>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</si>
  <si>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</si>
  <si>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</si>
  <si>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</si>
  <si>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</si>
  <si>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</si>
  <si>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</si>
  <si>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</si>
  <si>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</si>
  <si>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</si>
  <si>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</si>
  <si>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</si>
  <si>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</si>
  <si>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</si>
  <si>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</si>
  <si>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</si>
  <si>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</si>
  <si>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</si>
  <si>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</si>
  <si>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</si>
  <si>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</si>
  <si>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</si>
  <si>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</si>
  <si>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</si>
  <si>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</si>
  <si>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</si>
  <si>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</si>
  <si>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</si>
  <si>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</si>
  <si>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</si>
  <si>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</si>
  <si>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</si>
  <si>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</si>
  <si>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</si>
  <si>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</si>
  <si>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</si>
  <si>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</si>
  <si>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</si>
  <si>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</si>
  <si>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</si>
  <si>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</si>
  <si>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</si>
  <si>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</si>
  <si>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</si>
  <si>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</si>
  <si>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</si>
  <si>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</si>
  <si>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</si>
  <si>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</si>
  <si>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</si>
  <si>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</si>
  <si>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</si>
  <si>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</si>
  <si>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</si>
  <si>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</si>
  <si>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</si>
  <si>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</si>
  <si>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</si>
  <si>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</si>
  <si>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</si>
  <si>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</si>
  <si>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</si>
  <si>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</si>
  <si>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</si>
  <si>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</si>
  <si>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</si>
  <si>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</si>
  <si>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</si>
  <si>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</si>
  <si>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</si>
  <si>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</si>
  <si>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</si>
  <si>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</si>
  <si>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</si>
  <si>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</si>
  <si>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</si>
  <si>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</si>
  <si>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</si>
  <si>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</si>
  <si>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</si>
  <si>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</si>
  <si>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</si>
  <si>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</si>
  <si>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</si>
  <si>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</si>
  <si>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</si>
  <si>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</si>
  <si>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</si>
  <si>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</si>
  <si>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</si>
  <si>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</si>
  <si>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</si>
  <si>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</si>
  <si>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</si>
  <si>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</si>
  <si>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</si>
  <si>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</si>
  <si>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</si>
  <si>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</si>
  <si>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</si>
  <si>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</si>
  <si>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</si>
  <si>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</si>
  <si>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</si>
  <si>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</si>
  <si>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</si>
  <si>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</si>
  <si>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</si>
  <si>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</si>
  <si>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</si>
  <si>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</si>
  <si>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</si>
  <si>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</si>
  <si>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</si>
  <si>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</si>
  <si>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</si>
  <si>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</si>
  <si>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</si>
  <si>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</si>
  <si>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</si>
  <si>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</si>
  <si>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</si>
  <si>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</si>
  <si>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</si>
  <si>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</si>
  <si>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</si>
  <si>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</si>
  <si>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</si>
  <si>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</si>
  <si>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</si>
  <si>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</si>
  <si>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</si>
  <si>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</si>
  <si>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</si>
  <si>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</si>
  <si>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</si>
  <si>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</si>
  <si>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</si>
  <si>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</si>
  <si>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</si>
  <si>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</si>
  <si>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</si>
  <si>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</si>
  <si>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</si>
  <si>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</si>
  <si>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</si>
  <si>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</si>
  <si>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</si>
  <si>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</si>
  <si>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</si>
  <si>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</si>
  <si>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</si>
  <si>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</si>
  <si>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</si>
  <si>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</si>
  <si>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</si>
  <si>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</si>
  <si>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</si>
  <si>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</si>
  <si>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</si>
  <si>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</si>
  <si>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</si>
  <si>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</si>
  <si>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</si>
  <si>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</si>
  <si>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</si>
  <si>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</si>
  <si>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</si>
  <si>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</si>
  <si>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</si>
  <si>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</si>
  <si>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</si>
  <si>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</si>
  <si>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</si>
  <si>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</si>
  <si>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</si>
  <si>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</si>
  <si>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</si>
  <si>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</si>
  <si>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</si>
  <si>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</si>
  <si>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</si>
  <si>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</si>
  <si>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</si>
  <si>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</si>
  <si>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</si>
  <si>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</si>
  <si>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</si>
  <si>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</si>
  <si>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</si>
  <si>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</si>
  <si>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</si>
  <si>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</si>
  <si>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</si>
  <si>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</si>
  <si>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</si>
  <si>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</si>
  <si>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</si>
  <si>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</si>
  <si>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</si>
  <si>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</si>
  <si>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</si>
  <si>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</si>
  <si>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</si>
  <si>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</si>
  <si>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</si>
  <si>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</si>
  <si>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</si>
  <si>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</si>
  <si>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</si>
  <si>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</si>
  <si>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</si>
  <si>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</si>
  <si>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</si>
  <si>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</si>
  <si>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</si>
  <si>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</si>
  <si>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</si>
  <si>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</si>
  <si>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</si>
  <si>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</si>
  <si>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</si>
  <si>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</si>
  <si>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</si>
  <si>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</si>
  <si>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</si>
  <si>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</si>
  <si>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</si>
  <si>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</si>
  <si>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</si>
  <si>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</si>
  <si>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</si>
  <si>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</si>
  <si>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</si>
  <si>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</si>
  <si>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</si>
  <si>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</si>
  <si>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</si>
  <si>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</si>
  <si>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</si>
  <si>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</si>
  <si>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</si>
  <si>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</si>
  <si>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</si>
  <si>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</si>
  <si>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</si>
  <si>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</si>
  <si>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</si>
  <si>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</si>
  <si>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</si>
  <si>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</si>
  <si>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</si>
  <si>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</si>
  <si>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</si>
  <si>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</si>
  <si>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</si>
  <si>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</si>
  <si>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</si>
  <si>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</si>
  <si>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</si>
  <si>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</si>
  <si>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</si>
  <si>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</si>
  <si>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</si>
  <si>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</si>
  <si>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</si>
  <si>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</si>
  <si>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</si>
  <si>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</si>
  <si>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</si>
  <si>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</si>
  <si>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</si>
  <si>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</si>
  <si>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</si>
  <si>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</si>
  <si>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</si>
  <si>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</si>
  <si>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</si>
  <si>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</si>
  <si>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</si>
  <si>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</si>
  <si>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</si>
  <si>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</si>
  <si>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</si>
  <si>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</si>
  <si>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</si>
  <si>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</si>
  <si>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</si>
  <si>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</si>
  <si>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</si>
  <si>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</si>
  <si>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</si>
  <si>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</si>
  <si>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</si>
  <si>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</si>
  <si>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</si>
  <si>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</si>
  <si>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</si>
  <si>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</si>
  <si>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</si>
  <si>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</si>
  <si>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</si>
  <si>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</si>
  <si>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</si>
  <si>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</si>
  <si>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</si>
  <si>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</si>
  <si>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</si>
  <si>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</si>
  <si>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</si>
  <si>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</si>
  <si>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</si>
  <si>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</si>
  <si>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</si>
  <si>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</si>
  <si>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</si>
  <si>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</si>
  <si>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</si>
  <si>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</si>
  <si>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</si>
  <si>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</si>
  <si>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</si>
  <si>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</si>
  <si>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</si>
  <si>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</si>
  <si>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</si>
  <si>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</si>
  <si>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</si>
  <si>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</si>
  <si>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</si>
  <si>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</si>
  <si>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</si>
  <si>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</si>
  <si>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</si>
  <si>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</si>
  <si>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</si>
  <si>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</si>
  <si>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</si>
  <si>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</si>
  <si>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</si>
  <si>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</si>
  <si>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</si>
  <si>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</si>
  <si>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</si>
  <si>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</si>
  <si>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</si>
  <si>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</si>
  <si>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</si>
  <si>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</si>
  <si>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</si>
  <si>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</si>
  <si>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</si>
  <si>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</si>
  <si>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</si>
  <si>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</si>
  <si>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</si>
  <si>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</si>
  <si>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</si>
  <si>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</si>
  <si>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</si>
  <si>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</si>
  <si>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</si>
  <si>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</si>
  <si>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</si>
  <si>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</si>
  <si>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</si>
  <si>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</si>
  <si>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</si>
  <si>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</si>
  <si>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</si>
  <si>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</si>
  <si>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</si>
  <si>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</si>
  <si>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</si>
  <si>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</si>
  <si>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</si>
  <si>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</si>
  <si>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</si>
  <si>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</si>
  <si>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</si>
  <si>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</si>
  <si>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</si>
  <si>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</si>
  <si>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</si>
  <si>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</si>
  <si>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</si>
  <si>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</si>
  <si>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</si>
  <si>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</si>
  <si>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</si>
  <si>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</si>
  <si>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</si>
  <si>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</si>
  <si>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</si>
  <si>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</si>
  <si>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</si>
  <si>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</si>
  <si>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</si>
  <si>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</si>
  <si>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</si>
  <si>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</si>
  <si>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</si>
  <si>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</si>
  <si>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</si>
  <si>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</si>
  <si>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</si>
  <si>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</si>
  <si>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</si>
  <si>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</si>
  <si>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</si>
  <si>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</si>
  <si>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</si>
  <si>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</si>
  <si>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</si>
  <si>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</si>
  <si>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</si>
  <si>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</si>
  <si>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</si>
  <si>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</si>
  <si>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</si>
  <si>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</si>
  <si>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</si>
  <si>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</si>
  <si>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</si>
  <si>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</si>
  <si>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</si>
  <si>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</si>
  <si>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</si>
  <si>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</si>
  <si>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</si>
  <si>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</si>
  <si>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</si>
  <si>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</si>
  <si>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</si>
  <si>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</si>
  <si>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</si>
  <si>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</si>
  <si>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</si>
  <si>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</si>
  <si>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</si>
  <si>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</si>
  <si>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</si>
  <si>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</si>
  <si>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</si>
  <si>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</si>
  <si>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</si>
  <si>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</si>
  <si>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</si>
  <si>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</si>
  <si>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</si>
  <si>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</si>
  <si>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</si>
  <si>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</si>
  <si>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</si>
  <si>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</si>
  <si>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</si>
  <si>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</si>
  <si>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</si>
  <si>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</si>
  <si>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</si>
  <si>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</si>
  <si>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</si>
  <si>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</si>
  <si>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</si>
  <si>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</si>
  <si>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</si>
  <si>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</si>
  <si>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</si>
  <si>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</si>
  <si>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</si>
  <si>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</si>
  <si>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</si>
  <si>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</si>
  <si>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</si>
  <si>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</si>
  <si>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</si>
  <si>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</si>
  <si>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</si>
  <si>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</si>
  <si>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</si>
  <si>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</si>
  <si>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</si>
  <si>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</si>
  <si>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</si>
  <si>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</si>
  <si>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</si>
  <si>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</si>
  <si>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</si>
  <si>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</si>
  <si>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</si>
  <si>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</si>
  <si>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</si>
  <si>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</si>
  <si>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</si>
  <si>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</si>
  <si>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</si>
  <si>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</si>
  <si>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</si>
  <si>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</si>
  <si>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</si>
  <si>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</si>
  <si>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</si>
  <si>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</si>
  <si>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</si>
  <si>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</si>
  <si>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</si>
  <si>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</si>
  <si>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</si>
  <si>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</si>
  <si>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</si>
  <si>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</si>
  <si>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</si>
  <si>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</si>
  <si>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</si>
  <si>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</si>
  <si>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</si>
  <si>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</si>
  <si>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</si>
  <si>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</si>
  <si>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</si>
  <si>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</si>
  <si>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</si>
  <si>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</si>
  <si>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</si>
  <si>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</si>
  <si>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</si>
  <si>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</si>
  <si>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</si>
  <si>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</si>
  <si>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</si>
  <si>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</si>
  <si>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</si>
  <si>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</si>
  <si>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</si>
  <si>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</si>
  <si>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</si>
  <si>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</si>
  <si>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</si>
  <si>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</si>
  <si>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</si>
  <si>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</si>
  <si>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</si>
  <si>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</si>
  <si>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</si>
  <si>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</si>
  <si>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</si>
  <si>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</si>
  <si>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</si>
  <si>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</si>
  <si>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</si>
  <si>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</si>
  <si>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</si>
  <si>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</si>
  <si>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</si>
  <si>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</si>
  <si>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</si>
  <si>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</si>
  <si>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</si>
  <si>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</si>
  <si>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</si>
  <si>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</si>
  <si>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</si>
  <si>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</si>
  <si>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</si>
  <si>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</si>
  <si>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</si>
  <si>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</si>
  <si>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</si>
  <si>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</si>
  <si>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</si>
  <si>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</si>
  <si>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</si>
  <si>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</si>
  <si>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</si>
  <si>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</si>
  <si>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</si>
  <si>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</si>
  <si>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</si>
  <si>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</si>
  <si>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</si>
  <si>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</si>
  <si>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</si>
  <si>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</si>
  <si>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</si>
  <si>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</si>
  <si>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</si>
  <si>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</si>
  <si>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</si>
  <si>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</si>
  <si>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</si>
  <si>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</si>
  <si>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</si>
  <si>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</si>
  <si>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</si>
  <si>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</si>
  <si>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</si>
  <si>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</si>
  <si>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</si>
  <si>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</si>
  <si>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</si>
  <si>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</si>
  <si>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</si>
  <si>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</si>
  <si>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</si>
  <si>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</si>
  <si>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</si>
  <si>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</si>
  <si>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</si>
  <si>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</si>
  <si>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</si>
  <si>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</si>
  <si>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</si>
  <si>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</si>
  <si>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</si>
  <si>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</si>
  <si>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</si>
  <si>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</si>
  <si>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</si>
  <si>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</si>
  <si>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</si>
  <si>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</si>
  <si>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</si>
  <si>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</si>
  <si>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</si>
  <si>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</si>
  <si>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</si>
  <si>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</si>
  <si>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</si>
  <si>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</si>
  <si>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</si>
  <si>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</si>
  <si>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</si>
  <si>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</si>
  <si>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</si>
  <si>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</si>
  <si>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</si>
  <si>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</si>
  <si>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</si>
  <si>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</si>
  <si>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</si>
  <si>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</si>
  <si>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</si>
  <si>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</si>
  <si>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</si>
  <si>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</si>
  <si>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</si>
  <si>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</si>
  <si>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</si>
  <si>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</si>
  <si>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</si>
  <si>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</si>
  <si>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</si>
  <si>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</si>
  <si>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</si>
  <si>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</si>
  <si>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</si>
  <si>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</si>
  <si>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</si>
  <si>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</si>
  <si>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</si>
  <si>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</si>
  <si>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</si>
  <si>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</si>
  <si>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</si>
  <si>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</si>
  <si>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</si>
  <si>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</si>
  <si>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</si>
  <si>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</si>
  <si>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</si>
  <si>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</si>
  <si>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</si>
  <si>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</si>
  <si>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</si>
  <si>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</si>
  <si>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</si>
  <si>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</si>
  <si>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</si>
  <si>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</si>
  <si>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</si>
  <si>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</si>
  <si>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</si>
  <si>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</si>
  <si>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</si>
  <si>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</si>
  <si>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</si>
  <si>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</si>
  <si>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</si>
  <si>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</si>
  <si>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</si>
  <si>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</si>
  <si>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</si>
  <si>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</si>
  <si>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</si>
  <si>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</si>
  <si>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</si>
  <si>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</si>
  <si>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</si>
  <si>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</si>
  <si>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</si>
  <si>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</si>
  <si>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</si>
  <si>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</si>
  <si>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</si>
  <si>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</si>
  <si>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</si>
  <si>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</si>
  <si>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</si>
  <si>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</si>
  <si>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</si>
  <si>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</si>
  <si>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</si>
  <si>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</si>
  <si>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</si>
  <si>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</si>
  <si>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</si>
  <si>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</si>
  <si>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</si>
  <si>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</si>
  <si>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</si>
  <si>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</si>
  <si>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</si>
  <si>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</si>
  <si>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</si>
  <si>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</si>
  <si>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</si>
  <si>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</si>
  <si>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</si>
  <si>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</si>
  <si>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</si>
  <si>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</si>
  <si>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</si>
  <si>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</si>
  <si>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31.12.24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</si>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</sst>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9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/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  <xf numFmtId="0" fontId="0" fillId="0" borderId="2" xfId="0" applyBorder="1" applyAlignment="1">
      <alignment horizontal="center" vertical="top" wrapText="1"/>
    </xf>
    <xf numFmtId="177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177" fontId="0" fillId="0" borderId="2" xfId="0" applyNumberFormat="1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14" fillId="0" borderId="0" xfId="0" applyFont="1" applyAlignment="1">
      <alignment horizontal="right"/>
    </xf>
  </cellXfs>
  <cellStyles count="504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97" xfId="16"/>
    <cellStyle name="98" xfId="17"/>
    <cellStyle name="99" xfId="18"/>
    <cellStyle name="Comma [0] 2" xfId="19"/>
    <cellStyle name="Comma [0] 2 2" xfId="20"/>
    <cellStyle name="Comma [0] 2 2 2" xfId="21"/>
    <cellStyle name="Comma [0] 2 3" xfId="22"/>
    <cellStyle name="Comma [0] 2 4" xfId="23"/>
    <cellStyle name="Comma [0] 3" xfId="24"/>
    <cellStyle name="Comma 2" xfId="25"/>
    <cellStyle name="Comma 2 2" xfId="26"/>
    <cellStyle name="Comma 2 2 2" xfId="27"/>
    <cellStyle name="Comma 2 2 3" xfId="28"/>
    <cellStyle name="Comma 2 2 4" xfId="29"/>
    <cellStyle name="Comma 2 2 5" xfId="30"/>
    <cellStyle name="Comma 2 2 6" xfId="31"/>
    <cellStyle name="Comma 2 2 7" xfId="32"/>
    <cellStyle name="Comma 2 3" xfId="33"/>
    <cellStyle name="Comma 2 4" xfId="34"/>
    <cellStyle name="Comma 2 5" xfId="35"/>
    <cellStyle name="Comma 2 6" xfId="36"/>
    <cellStyle name="Comma 2 7" xfId="37"/>
    <cellStyle name="Comma 2 8" xfId="38"/>
    <cellStyle name="Comma 2 9" xfId="39"/>
    <cellStyle name="Comma 3" xfId="40"/>
    <cellStyle name="Comma 3 2" xfId="41"/>
    <cellStyle name="Comma 4" xfId="42"/>
    <cellStyle name="Comma 5" xfId="43"/>
    <cellStyle name="Comma 6" xfId="44"/>
    <cellStyle name="Comma 7" xfId="45"/>
    <cellStyle name="Currency [0] _1" xfId="46"/>
    <cellStyle name="Euro" xfId="47"/>
    <cellStyle name="Hyperlink 2" xfId="48"/>
    <cellStyle name="Hyperlink 2 2" xfId="49"/>
    <cellStyle name="Hyperlink 2 2 2" xfId="50"/>
    <cellStyle name="Hyperlink 2 2 2 2" xfId="51"/>
    <cellStyle name="Hyperlink 2 3" xfId="52"/>
    <cellStyle name="Hyperlink 2 4" xfId="53"/>
    <cellStyle name="Hyperlink 2 5" xfId="54"/>
    <cellStyle name="Hyperlink 2 6" xfId="55"/>
    <cellStyle name="Hyperlink 2 7" xfId="56"/>
    <cellStyle name="Hyperlink 2 8" xfId="57"/>
    <cellStyle name="Hyperlink 2_Data" xfId="58"/>
    <cellStyle name="Normal" xfId="0" builtinId="0"/>
    <cellStyle name="Normal 10" xfId="59"/>
    <cellStyle name="Normal 11" xfId="60"/>
    <cellStyle name="Normal 12" xfId="61"/>
    <cellStyle name="Normal 12 2" xfId="62"/>
    <cellStyle name="Normal 12 3" xfId="63"/>
    <cellStyle name="Normal 12 4" xfId="64"/>
    <cellStyle name="Normal 12 5" xfId="65"/>
    <cellStyle name="Normal 12 6" xfId="66"/>
    <cellStyle name="Normal 12 7" xfId="67"/>
    <cellStyle name="Normal 12 8" xfId="68"/>
    <cellStyle name="Normal 13" xfId="69"/>
    <cellStyle name="Normal 13 2" xfId="70"/>
    <cellStyle name="Normal 13 3" xfId="71"/>
    <cellStyle name="Normal 13 4" xfId="72"/>
    <cellStyle name="Normal 13 5" xfId="73"/>
    <cellStyle name="Normal 13 6" xfId="74"/>
    <cellStyle name="Normal 13 7" xfId="75"/>
    <cellStyle name="Normal 13 8" xfId="76"/>
    <cellStyle name="Normal 14" xfId="77"/>
    <cellStyle name="Normal 14 2" xfId="78"/>
    <cellStyle name="Normal 14 3" xfId="79"/>
    <cellStyle name="Normal 14 4" xfId="80"/>
    <cellStyle name="Normal 14 5" xfId="81"/>
    <cellStyle name="Normal 14 6" xfId="82"/>
    <cellStyle name="Normal 14 7" xfId="83"/>
    <cellStyle name="Normal 14 8" xfId="84"/>
    <cellStyle name="Normal 15" xfId="85"/>
    <cellStyle name="Normal 15 2" xfId="86"/>
    <cellStyle name="Normal 15 3" xfId="87"/>
    <cellStyle name="Normal 15 4" xfId="88"/>
    <cellStyle name="Normal 15 5" xfId="89"/>
    <cellStyle name="Normal 15 6" xfId="90"/>
    <cellStyle name="Normal 15 7" xfId="91"/>
    <cellStyle name="Normal 15 8" xfId="92"/>
    <cellStyle name="Normal 16" xfId="93"/>
    <cellStyle name="Normal 16 2" xfId="94"/>
    <cellStyle name="Normal 16 3" xfId="95"/>
    <cellStyle name="Normal 16 4" xfId="96"/>
    <cellStyle name="Normal 16 5" xfId="97"/>
    <cellStyle name="Normal 16 6" xfId="98"/>
    <cellStyle name="Normal 16 7" xfId="99"/>
    <cellStyle name="Normal 16 8" xfId="100"/>
    <cellStyle name="Normal 17" xfId="101"/>
    <cellStyle name="Normal 17 2" xfId="102"/>
    <cellStyle name="Normal 17 3" xfId="103"/>
    <cellStyle name="Normal 18" xfId="104"/>
    <cellStyle name="Normal 18 2" xfId="105"/>
    <cellStyle name="Normal 18 3" xfId="106"/>
    <cellStyle name="Normal 19" xfId="107"/>
    <cellStyle name="Normal 2" xfId="108"/>
    <cellStyle name="Normal 2 10" xfId="109"/>
    <cellStyle name="Normal 2 11" xfId="110"/>
    <cellStyle name="Normal 2 12" xfId="111"/>
    <cellStyle name="Normal 2 13" xfId="112"/>
    <cellStyle name="Normal 2 2" xfId="113"/>
    <cellStyle name="Normal 2 2 2" xfId="114"/>
    <cellStyle name="Normal 2 2 2 2" xfId="115"/>
    <cellStyle name="Normal 2 2 2 2 2" xfId="116"/>
    <cellStyle name="Normal 2 2 2 2 2 2" xfId="117"/>
    <cellStyle name="Normal 2 2 2 2_ירידות ערך שנזקפו" xfId="118"/>
    <cellStyle name="Normal 2 2 2 3" xfId="119"/>
    <cellStyle name="Normal 2 2 2 4" xfId="120"/>
    <cellStyle name="Normal 2 2 2 5" xfId="121"/>
    <cellStyle name="Normal 2 2 2 6" xfId="122"/>
    <cellStyle name="Normal 2 2 2 7" xfId="123"/>
    <cellStyle name="Normal 2 2 2 8" xfId="124"/>
    <cellStyle name="Normal 2 2 2_ירידות ערך שנזקפו" xfId="125"/>
    <cellStyle name="Normal 2 2 3" xfId="126"/>
    <cellStyle name="Normal 2 2 3 2" xfId="127"/>
    <cellStyle name="Normal 2 2 3 2 2" xfId="128"/>
    <cellStyle name="Normal 2 2 4" xfId="129"/>
    <cellStyle name="Normal 2 2 5" xfId="130"/>
    <cellStyle name="Normal 2 2 6" xfId="131"/>
    <cellStyle name="Normal 2 2 7" xfId="132"/>
    <cellStyle name="Normal 2 2 8" xfId="133"/>
    <cellStyle name="Normal 2 2 9" xfId="134"/>
    <cellStyle name="Normal 2 2_ירידות ערך שנזקפו" xfId="135"/>
    <cellStyle name="Normal 2 3" xfId="136"/>
    <cellStyle name="Normal 2 3 2" xfId="137"/>
    <cellStyle name="Normal 2 3 2 2" xfId="138"/>
    <cellStyle name="Normal 2 3 3" xfId="139"/>
    <cellStyle name="Normal 2 3 4" xfId="140"/>
    <cellStyle name="Normal 2 3 5" xfId="141"/>
    <cellStyle name="Normal 2 3 6" xfId="142"/>
    <cellStyle name="Normal 2 3 7" xfId="143"/>
    <cellStyle name="Normal 2 3 8" xfId="144"/>
    <cellStyle name="Normal 2 3 9" xfId="145"/>
    <cellStyle name="Normal 2 3_ירידות ערך שנזקפו" xfId="146"/>
    <cellStyle name="Normal 2 4" xfId="147"/>
    <cellStyle name="Normal 2 4 2" xfId="148"/>
    <cellStyle name="Normal 2 5" xfId="149"/>
    <cellStyle name="Normal 2 6" xfId="150"/>
    <cellStyle name="Normal 2 6 2" xfId="151"/>
    <cellStyle name="Normal 2 6 2 2" xfId="152"/>
    <cellStyle name="Normal 2 7" xfId="153"/>
    <cellStyle name="Normal 2 7 2" xfId="154"/>
    <cellStyle name="Normal 2 8" xfId="155"/>
    <cellStyle name="Normal 2 9" xfId="156"/>
    <cellStyle name="Normal 2_אלמנטרי" xfId="157"/>
    <cellStyle name="Normal 20" xfId="158"/>
    <cellStyle name="Normal 21" xfId="159"/>
    <cellStyle name="Normal 21 2" xfId="160"/>
    <cellStyle name="Normal 21 3" xfId="161"/>
    <cellStyle name="Normal 22" xfId="162"/>
    <cellStyle name="Normal 22 2" xfId="163"/>
    <cellStyle name="Normal 22 3" xfId="164"/>
    <cellStyle name="Normal 23" xfId="165"/>
    <cellStyle name="Normal 23 2" xfId="166"/>
    <cellStyle name="Normal 23 3" xfId="167"/>
    <cellStyle name="Normal 24" xfId="168"/>
    <cellStyle name="Normal 24 2" xfId="169"/>
    <cellStyle name="Normal 24 3" xfId="170"/>
    <cellStyle name="Normal 25" xfId="171"/>
    <cellStyle name="Normal 25 2" xfId="172"/>
    <cellStyle name="Normal 25 3" xfId="173"/>
    <cellStyle name="Normal 26" xfId="174"/>
    <cellStyle name="Normal 26 2" xfId="175"/>
    <cellStyle name="Normal 26 3" xfId="176"/>
    <cellStyle name="Normal 27" xfId="177"/>
    <cellStyle name="Normal 27 2" xfId="178"/>
    <cellStyle name="Normal 27 3" xfId="179"/>
    <cellStyle name="Normal 27 4" xfId="180"/>
    <cellStyle name="Normal 27 5" xfId="181"/>
    <cellStyle name="Normal 27 6" xfId="182"/>
    <cellStyle name="Normal 27 7" xfId="183"/>
    <cellStyle name="Normal 28" xfId="184"/>
    <cellStyle name="Normal 29" xfId="185"/>
    <cellStyle name="Normal 3" xfId="186"/>
    <cellStyle name="Normal 3 2" xfId="187"/>
    <cellStyle name="Normal 3 2 2" xfId="188"/>
    <cellStyle name="Normal 3 2 3" xfId="189"/>
    <cellStyle name="Normal 3 2 4" xfId="190"/>
    <cellStyle name="Normal 3 2 5" xfId="191"/>
    <cellStyle name="Normal 3 2 6" xfId="192"/>
    <cellStyle name="Normal 3 2 7" xfId="193"/>
    <cellStyle name="Normal 3 2 8" xfId="194"/>
    <cellStyle name="Normal 3 3" xfId="195"/>
    <cellStyle name="Normal 3 4" xfId="196"/>
    <cellStyle name="Normal 3 5" xfId="197"/>
    <cellStyle name="Normal 3 6" xfId="198"/>
    <cellStyle name="Normal 3 7" xfId="199"/>
    <cellStyle name="Normal 3 8" xfId="200"/>
    <cellStyle name="Normal 3 9" xfId="201"/>
    <cellStyle name="Normal 3_אלמנטרי" xfId="202"/>
    <cellStyle name="Normal 30" xfId="203"/>
    <cellStyle name="Normal 30 2" xfId="204"/>
    <cellStyle name="Normal 30 3" xfId="205"/>
    <cellStyle name="Normal 30 4" xfId="206"/>
    <cellStyle name="Normal 30 5" xfId="207"/>
    <cellStyle name="Normal 30 6" xfId="208"/>
    <cellStyle name="Normal 30 7" xfId="209"/>
    <cellStyle name="Normal 31" xfId="210"/>
    <cellStyle name="Normal 32" xfId="211"/>
    <cellStyle name="Normal 32 2" xfId="212"/>
    <cellStyle name="Normal 32 3" xfId="213"/>
    <cellStyle name="Normal 32 4" xfId="214"/>
    <cellStyle name="Normal 32 5" xfId="215"/>
    <cellStyle name="Normal 32 6" xfId="216"/>
    <cellStyle name="Normal 32 7" xfId="217"/>
    <cellStyle name="Normal 33" xfId="218"/>
    <cellStyle name="Normal 33 2" xfId="219"/>
    <cellStyle name="Normal 33 3" xfId="220"/>
    <cellStyle name="Normal 33 4" xfId="221"/>
    <cellStyle name="Normal 33 5" xfId="222"/>
    <cellStyle name="Normal 33 6" xfId="223"/>
    <cellStyle name="Normal 33 7" xfId="224"/>
    <cellStyle name="Normal 34" xfId="225"/>
    <cellStyle name="Normal 34 2" xfId="226"/>
    <cellStyle name="Normal 35" xfId="227"/>
    <cellStyle name="Normal 36" xfId="228"/>
    <cellStyle name="Normal 36 2" xfId="229"/>
    <cellStyle name="Normal 36 3" xfId="230"/>
    <cellStyle name="Normal 36 4" xfId="231"/>
    <cellStyle name="Normal 36 5" xfId="232"/>
    <cellStyle name="Normal 36 6" xfId="233"/>
    <cellStyle name="Normal 36 7" xfId="234"/>
    <cellStyle name="Normal 37" xfId="235"/>
    <cellStyle name="Normal 38" xfId="236"/>
    <cellStyle name="Normal 39" xfId="237"/>
    <cellStyle name="Normal 4" xfId="238"/>
    <cellStyle name="Normal 4 2" xfId="239"/>
    <cellStyle name="Normal 4 3" xfId="240"/>
    <cellStyle name="Normal 4 4" xfId="241"/>
    <cellStyle name="Normal 4 5" xfId="242"/>
    <cellStyle name="Normal 4 6" xfId="243"/>
    <cellStyle name="Normal 4 7" xfId="244"/>
    <cellStyle name="Normal 4 8" xfId="245"/>
    <cellStyle name="Normal 4_ירידות ערך שנזקפו" xfId="246"/>
    <cellStyle name="Normal 40" xfId="247"/>
    <cellStyle name="Normal 41" xfId="248"/>
    <cellStyle name="Normal 41 2" xfId="249"/>
    <cellStyle name="Normal 41 3" xfId="250"/>
    <cellStyle name="Normal 41 4" xfId="251"/>
    <cellStyle name="Normal 41 5" xfId="252"/>
    <cellStyle name="Normal 41 6" xfId="253"/>
    <cellStyle name="Normal 41 7" xfId="254"/>
    <cellStyle name="Normal 42" xfId="255"/>
    <cellStyle name="Normal 42 2" xfId="256"/>
    <cellStyle name="Normal 42 2 2" xfId="257"/>
    <cellStyle name="Normal 42 3" xfId="258"/>
    <cellStyle name="Normal 42 3 2" xfId="259"/>
    <cellStyle name="Normal 42 4" xfId="260"/>
    <cellStyle name="Normal 42 4 2" xfId="261"/>
    <cellStyle name="Normal 42 5" xfId="262"/>
    <cellStyle name="Normal 43" xfId="263"/>
    <cellStyle name="Normal 44" xfId="264"/>
    <cellStyle name="Normal 45" xfId="265"/>
    <cellStyle name="Normal 45 2" xfId="266"/>
    <cellStyle name="Normal 45 2 2" xfId="267"/>
    <cellStyle name="Normal 45 3" xfId="268"/>
    <cellStyle name="Normal 45 3 2" xfId="269"/>
    <cellStyle name="Normal 45 4" xfId="270"/>
    <cellStyle name="Normal 45 4 2" xfId="271"/>
    <cellStyle name="Normal 45 5" xfId="272"/>
    <cellStyle name="Normal 46" xfId="273"/>
    <cellStyle name="Normal 46 2" xfId="274"/>
    <cellStyle name="Normal 46 2 2" xfId="275"/>
    <cellStyle name="Normal 46 3" xfId="276"/>
    <cellStyle name="Normal 46 3 2" xfId="277"/>
    <cellStyle name="Normal 46 4" xfId="278"/>
    <cellStyle name="Normal 46 4 2" xfId="279"/>
    <cellStyle name="Normal 46 5" xfId="280"/>
    <cellStyle name="Normal 47" xfId="281"/>
    <cellStyle name="Normal 47 2" xfId="282"/>
    <cellStyle name="Normal 47 2 2" xfId="283"/>
    <cellStyle name="Normal 47 3" xfId="284"/>
    <cellStyle name="Normal 47 3 2" xfId="285"/>
    <cellStyle name="Normal 47 4" xfId="286"/>
    <cellStyle name="Normal 47 4 2" xfId="287"/>
    <cellStyle name="Normal 47 5" xfId="288"/>
    <cellStyle name="Normal 48" xfId="289"/>
    <cellStyle name="Normal 49" xfId="290"/>
    <cellStyle name="Normal 5" xfId="291"/>
    <cellStyle name="Normal 5 2" xfId="292"/>
    <cellStyle name="Normal 5 3" xfId="293"/>
    <cellStyle name="Normal 5 4" xfId="294"/>
    <cellStyle name="Normal 5 5" xfId="295"/>
    <cellStyle name="Normal 5 6" xfId="296"/>
    <cellStyle name="Normal 5 7" xfId="297"/>
    <cellStyle name="Normal 5 8" xfId="298"/>
    <cellStyle name="Normal 50" xfId="299"/>
    <cellStyle name="Normal 6" xfId="300"/>
    <cellStyle name="Normal 6 10" xfId="301"/>
    <cellStyle name="Normal 6 11" xfId="302"/>
    <cellStyle name="Normal 6 12" xfId="303"/>
    <cellStyle name="Normal 6 13" xfId="304"/>
    <cellStyle name="Normal 6 14" xfId="305"/>
    <cellStyle name="Normal 6 2" xfId="306"/>
    <cellStyle name="Normal 6 2 2" xfId="307"/>
    <cellStyle name="Normal 6 2 3" xfId="308"/>
    <cellStyle name="Normal 6 2 4" xfId="309"/>
    <cellStyle name="Normal 6 2 5" xfId="310"/>
    <cellStyle name="Normal 6 2 6" xfId="311"/>
    <cellStyle name="Normal 6 2 7" xfId="312"/>
    <cellStyle name="Normal 6 3" xfId="313"/>
    <cellStyle name="Normal 6 4" xfId="314"/>
    <cellStyle name="Normal 6 5" xfId="315"/>
    <cellStyle name="Normal 6 6" xfId="316"/>
    <cellStyle name="Normal 6 7" xfId="317"/>
    <cellStyle name="Normal 6 8" xfId="318"/>
    <cellStyle name="Normal 6 9" xfId="319"/>
    <cellStyle name="Normal 6_Data" xfId="320"/>
    <cellStyle name="Normal 60" xfId="321"/>
    <cellStyle name="Normal 64" xfId="322"/>
    <cellStyle name="Normal 64 2" xfId="323"/>
    <cellStyle name="Normal 64 2 2" xfId="324"/>
    <cellStyle name="Normal 64 3" xfId="325"/>
    <cellStyle name="Normal 64 3 2" xfId="326"/>
    <cellStyle name="Normal 64 4" xfId="327"/>
    <cellStyle name="Normal 64 4 2" xfId="328"/>
    <cellStyle name="Normal 64 5" xfId="329"/>
    <cellStyle name="Normal 65" xfId="330"/>
    <cellStyle name="Normal 65 2" xfId="331"/>
    <cellStyle name="Normal 65 2 2" xfId="332"/>
    <cellStyle name="Normal 65 3" xfId="333"/>
    <cellStyle name="Normal 65 3 2" xfId="334"/>
    <cellStyle name="Normal 65 4" xfId="335"/>
    <cellStyle name="Normal 65 4 2" xfId="336"/>
    <cellStyle name="Normal 65 5" xfId="337"/>
    <cellStyle name="Normal 7" xfId="338"/>
    <cellStyle name="Normal 7 10" xfId="339"/>
    <cellStyle name="Normal 7 11" xfId="340"/>
    <cellStyle name="Normal 7 12" xfId="341"/>
    <cellStyle name="Normal 7 13" xfId="342"/>
    <cellStyle name="Normal 7 14" xfId="343"/>
    <cellStyle name="Normal 7 2" xfId="344"/>
    <cellStyle name="Normal 7 2 2" xfId="345"/>
    <cellStyle name="Normal 7 2 3" xfId="346"/>
    <cellStyle name="Normal 7 2 4" xfId="347"/>
    <cellStyle name="Normal 7 2 5" xfId="348"/>
    <cellStyle name="Normal 7 2 6" xfId="349"/>
    <cellStyle name="Normal 7 2 7" xfId="350"/>
    <cellStyle name="Normal 7 3" xfId="351"/>
    <cellStyle name="Normal 7 4" xfId="352"/>
    <cellStyle name="Normal 7 5" xfId="353"/>
    <cellStyle name="Normal 7 6" xfId="354"/>
    <cellStyle name="Normal 7 7" xfId="355"/>
    <cellStyle name="Normal 7 8" xfId="356"/>
    <cellStyle name="Normal 7 9" xfId="357"/>
    <cellStyle name="Normal 7_Data" xfId="358"/>
    <cellStyle name="Normal 71" xfId="359"/>
    <cellStyle name="Normal 71 2" xfId="360"/>
    <cellStyle name="Normal 71 2 2" xfId="361"/>
    <cellStyle name="Normal 71 3" xfId="362"/>
    <cellStyle name="Normal 71 3 2" xfId="363"/>
    <cellStyle name="Normal 71 4" xfId="364"/>
    <cellStyle name="Normal 71 4 2" xfId="365"/>
    <cellStyle name="Normal 71 5" xfId="366"/>
    <cellStyle name="Normal 72" xfId="367"/>
    <cellStyle name="Normal 72 2" xfId="368"/>
    <cellStyle name="Normal 72 2 2" xfId="369"/>
    <cellStyle name="Normal 72 3" xfId="370"/>
    <cellStyle name="Normal 72 3 2" xfId="371"/>
    <cellStyle name="Normal 72 4" xfId="372"/>
    <cellStyle name="Normal 72 4 2" xfId="373"/>
    <cellStyle name="Normal 72 5" xfId="374"/>
    <cellStyle name="Normal 73" xfId="375"/>
    <cellStyle name="Normal 74" xfId="376"/>
    <cellStyle name="Normal 76" xfId="377"/>
    <cellStyle name="Normal 77" xfId="378"/>
    <cellStyle name="Normal 79" xfId="379"/>
    <cellStyle name="Normal 8" xfId="380"/>
    <cellStyle name="Normal 8 2" xfId="381"/>
    <cellStyle name="Normal 8 3" xfId="382"/>
    <cellStyle name="Normal 8 4" xfId="383"/>
    <cellStyle name="Normal 8 5" xfId="384"/>
    <cellStyle name="Normal 8 6" xfId="385"/>
    <cellStyle name="Normal 8 7" xfId="386"/>
    <cellStyle name="Normal 8 8" xfId="387"/>
    <cellStyle name="Normal 8_ירידות ערך שנזקפו" xfId="388"/>
    <cellStyle name="Normal 80" xfId="389"/>
    <cellStyle name="Normal 80 2" xfId="390"/>
    <cellStyle name="Normal 80 2 2" xfId="391"/>
    <cellStyle name="Normal 80 3" xfId="392"/>
    <cellStyle name="Normal 80 3 2" xfId="393"/>
    <cellStyle name="Normal 80 4" xfId="394"/>
    <cellStyle name="Normal 80 4 2" xfId="395"/>
    <cellStyle name="Normal 80 5" xfId="396"/>
    <cellStyle name="Normal 81" xfId="397"/>
    <cellStyle name="Normal 81 2" xfId="398"/>
    <cellStyle name="Normal 81 2 2" xfId="399"/>
    <cellStyle name="Normal 81 3" xfId="400"/>
    <cellStyle name="Normal 81 3 2" xfId="401"/>
    <cellStyle name="Normal 81 4" xfId="402"/>
    <cellStyle name="Normal 81 4 2" xfId="403"/>
    <cellStyle name="Normal 81 5" xfId="404"/>
    <cellStyle name="Normal 82" xfId="405"/>
    <cellStyle name="Normal 82 2" xfId="406"/>
    <cellStyle name="Normal 82 2 2" xfId="407"/>
    <cellStyle name="Normal 82 3" xfId="408"/>
    <cellStyle name="Normal 82 3 2" xfId="409"/>
    <cellStyle name="Normal 82 4" xfId="410"/>
    <cellStyle name="Normal 82 4 2" xfId="411"/>
    <cellStyle name="Normal 82 5" xfId="412"/>
    <cellStyle name="Normal 9" xfId="413"/>
    <cellStyle name="Normal 9 2" xfId="414"/>
    <cellStyle name="Normal 9 3" xfId="415"/>
    <cellStyle name="Normal 9 4" xfId="416"/>
    <cellStyle name="Normal 9 5" xfId="417"/>
    <cellStyle name="Normal 9 6" xfId="418"/>
    <cellStyle name="Normal 9 7" xfId="419"/>
    <cellStyle name="Normal 9 8" xfId="420"/>
    <cellStyle name="Normal 9_ירידות ערך שנזקפו" xfId="421"/>
    <cellStyle name="Percent" xfId="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68" t="s">
        <v>1408</v>
      </c>
      <c r="D1" s="8" t="s">
        <v>74</v>
      </c>
    </row>
    <row r="2" spans="1:4">
      <c r="A2" s="121" t="s">
        <v>64</v>
      </c>
      <c r="B2" s="9">
        <v>1</v>
      </c>
      <c r="C2" s="9" t="s">
        <v>65</v>
      </c>
      <c r="D2" s="10" t="s">
        <v>79</v>
      </c>
    </row>
    <row r="3" spans="1:4">
      <c r="A3" s="122"/>
      <c r="B3" s="9">
        <v>2</v>
      </c>
      <c r="C3" s="9" t="s">
        <v>66</v>
      </c>
      <c r="D3" s="10" t="s">
        <v>67</v>
      </c>
    </row>
    <row r="4" spans="1:4">
      <c r="A4" s="122"/>
      <c r="B4" s="9">
        <v>3</v>
      </c>
      <c r="C4" s="9" t="s">
        <v>68</v>
      </c>
      <c r="D4" s="10" t="s">
        <v>69</v>
      </c>
    </row>
    <row r="5" spans="1:4">
      <c r="A5" s="122"/>
      <c r="B5" s="123">
        <v>4</v>
      </c>
      <c r="C5" s="9" t="s">
        <v>70</v>
      </c>
      <c r="D5" s="10" t="s">
        <v>75</v>
      </c>
    </row>
    <row r="6" spans="1:4">
      <c r="A6" s="122"/>
      <c r="B6" s="124"/>
      <c r="C6" s="69"/>
      <c r="D6" s="58" t="s">
        <v>909</v>
      </c>
    </row>
    <row r="7" spans="1:4">
      <c r="A7" s="122"/>
      <c r="B7" s="124"/>
      <c r="C7" s="69"/>
      <c r="D7" s="57" t="s">
        <v>1384</v>
      </c>
    </row>
    <row r="8" spans="1:4">
      <c r="A8" s="122"/>
      <c r="B8" s="124"/>
      <c r="C8" s="69"/>
      <c r="D8" s="59" t="s">
        <v>1385</v>
      </c>
    </row>
    <row r="9" spans="1:4">
      <c r="A9" s="122"/>
      <c r="B9" s="124"/>
      <c r="C9" s="69"/>
      <c r="D9" s="10" t="s">
        <v>76</v>
      </c>
    </row>
    <row r="10" spans="1:4">
      <c r="A10" s="122"/>
      <c r="B10" s="124"/>
      <c r="C10" s="69"/>
      <c r="D10" s="58" t="s">
        <v>77</v>
      </c>
    </row>
    <row r="11" spans="1:4">
      <c r="A11" s="122"/>
      <c r="B11" s="124"/>
      <c r="C11" s="69"/>
      <c r="D11" s="57" t="s">
        <v>78</v>
      </c>
    </row>
    <row r="12" spans="1:4">
      <c r="A12" s="122"/>
      <c r="B12" s="124"/>
      <c r="C12" s="69"/>
      <c r="D12" s="10" t="s">
        <v>71</v>
      </c>
    </row>
    <row r="13" spans="1:4">
      <c r="A13" s="122"/>
      <c r="B13" s="124"/>
      <c r="C13" s="69"/>
      <c r="D13" s="10" t="s">
        <v>1377</v>
      </c>
    </row>
    <row r="14" spans="1:4">
      <c r="A14" s="122"/>
      <c r="B14" s="124"/>
      <c r="C14" s="69"/>
      <c r="D14" s="10" t="s">
        <v>1378</v>
      </c>
    </row>
    <row r="15" spans="1:4">
      <c r="A15" s="125" t="s">
        <v>905</v>
      </c>
      <c r="B15" s="9">
        <v>5</v>
      </c>
      <c r="C15" s="9" t="s">
        <v>72</v>
      </c>
      <c r="D15" s="10" t="s">
        <v>73</v>
      </c>
    </row>
    <row r="16" spans="1:4">
      <c r="A16" s="126"/>
      <c r="B16" s="9">
        <v>6</v>
      </c>
      <c r="C16" s="69"/>
      <c r="D16" s="9" t="s">
        <v>904</v>
      </c>
    </row>
    <row r="17" spans="1:4" ht="28.5">
      <c r="A17" s="127"/>
      <c r="B17" s="9">
        <v>7</v>
      </c>
      <c r="C17" s="69"/>
      <c r="D17" s="60" t="s">
        <v>1403</v>
      </c>
    </row>
    <row r="19" spans="1:4" ht="16.899999999999999" customHeight="1">
      <c r="A19" s="12" t="s">
        <v>885</v>
      </c>
      <c r="B19" s="30">
        <v>2024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9897</v>
      </c>
      <c r="C21" s="27"/>
    </row>
    <row r="22" spans="1:4" ht="15">
      <c r="A22" s="13" t="s">
        <v>886</v>
      </c>
      <c r="B22" s="30" t="s">
        <v>1407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 חסכון לילד - חוסכים המעדיפים סיכון בינוני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512237744_g9897_Yield424.xlsx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2"/>
      <c r="B1" s="4" t="s">
        <v>0</v>
      </c>
    </row>
    <row r="2" spans="1:31" ht="18.75">
      <c r="A2" s="112"/>
      <c r="B2" s="6" t="s">
        <v>821</v>
      </c>
      <c r="C2" s="25">
        <f>הנחיות!B21</f>
        <v>9897</v>
      </c>
      <c r="D2" s="128"/>
      <c r="E2" s="128"/>
    </row>
    <row r="3" spans="1:31" ht="18.75">
      <c r="A3" s="112"/>
      <c r="B3" s="7" t="s">
        <v>28</v>
      </c>
      <c r="C3" s="24" t="str">
        <f ca="1">הנחיות!B23</f>
        <v>מגדל  חסכון לילד - חוסכים המעדיפים סיכון בינוני</v>
      </c>
      <c r="D3" s="24"/>
    </row>
    <row r="4" spans="1:31" ht="18.75">
      <c r="A4" s="11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2"/>
      <c r="B5" s="7" t="s">
        <v>29</v>
      </c>
      <c r="C5" s="25">
        <f>הנחיות!B19</f>
        <v>2024</v>
      </c>
      <c r="D5" s="7" t="s">
        <v>903</v>
      </c>
      <c r="E5" s="25" t="str">
        <f>הנחיות!B22</f>
        <v>31.12.24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5">
        <f>W5+1</f>
        <v>1</v>
      </c>
      <c r="Z5" s="5"/>
    </row>
    <row r="6" spans="1:31" s="20" customFormat="1" ht="47.45" customHeight="1">
      <c r="A6" s="114"/>
      <c r="B6" s="106" t="s">
        <v>26</v>
      </c>
      <c r="C6" s="107" t="s">
        <v>30</v>
      </c>
      <c r="D6" s="108" t="s">
        <v>31</v>
      </c>
      <c r="E6" s="109" t="s">
        <v>32</v>
      </c>
      <c r="F6" s="110" t="s">
        <v>33</v>
      </c>
      <c r="G6" s="107" t="s">
        <v>34</v>
      </c>
      <c r="H6" s="108" t="s">
        <v>35</v>
      </c>
      <c r="I6" s="109" t="s">
        <v>36</v>
      </c>
      <c r="J6" s="110" t="s">
        <v>37</v>
      </c>
      <c r="K6" s="107" t="s">
        <v>38</v>
      </c>
      <c r="L6" s="108" t="s">
        <v>39</v>
      </c>
      <c r="M6" s="109" t="s">
        <v>40</v>
      </c>
      <c r="N6" s="110" t="s">
        <v>41</v>
      </c>
      <c r="O6" s="107" t="s">
        <v>42</v>
      </c>
      <c r="P6" s="108" t="s">
        <v>43</v>
      </c>
      <c r="Q6" s="109" t="s">
        <v>44</v>
      </c>
      <c r="R6" s="110" t="s">
        <v>45</v>
      </c>
      <c r="S6" s="107" t="s">
        <v>46</v>
      </c>
      <c r="T6" s="108" t="s">
        <v>47</v>
      </c>
      <c r="U6" s="109" t="s">
        <v>48</v>
      </c>
      <c r="V6" s="110" t="s">
        <v>49</v>
      </c>
      <c r="W6" s="107" t="s">
        <v>50</v>
      </c>
      <c r="X6" s="108" t="s">
        <v>51</v>
      </c>
      <c r="Y6" s="109" t="s">
        <v>52</v>
      </c>
      <c r="Z6" s="111" t="s">
        <v>53</v>
      </c>
      <c r="AE6" s="21"/>
    </row>
    <row r="7" spans="1:31">
      <c r="A7" s="112"/>
      <c r="B7" s="76" t="s">
        <v>1</v>
      </c>
      <c r="C7" s="77">
        <v>4.3839908265048993E-4</v>
      </c>
      <c r="D7" s="78">
        <v>0.13243366860711048</v>
      </c>
      <c r="E7" s="79">
        <v>-4.9162547379733381E-4</v>
      </c>
      <c r="F7" s="80">
        <v>0.13421912151983406</v>
      </c>
      <c r="G7" s="77">
        <v>2.5884342344571257E-3</v>
      </c>
      <c r="H7" s="78">
        <v>0.13725908865171507</v>
      </c>
      <c r="I7" s="79">
        <v>1.2670659504058475E-3</v>
      </c>
      <c r="J7" s="80">
        <v>0.14126686127237523</v>
      </c>
      <c r="K7" s="77">
        <v>-1.3481516071273841E-4</v>
      </c>
      <c r="L7" s="78">
        <v>0.15137346261811574</v>
      </c>
      <c r="M7" s="79">
        <v>1.6495397894919245E-3</v>
      </c>
      <c r="N7" s="80">
        <v>0.16135493243409121</v>
      </c>
      <c r="O7" s="77">
        <v>7.1498011501090481E-4</v>
      </c>
      <c r="P7" s="78">
        <v>0.16479006477610658</v>
      </c>
      <c r="Q7" s="79">
        <v>-1.652635428940474E-3</v>
      </c>
      <c r="R7" s="80">
        <v>0.16414645636337999</v>
      </c>
      <c r="S7" s="77">
        <v>2.2335855768650975E-3</v>
      </c>
      <c r="T7" s="78">
        <v>0.16625313096391181</v>
      </c>
      <c r="U7" s="79">
        <v>4.6443370602196896E-4</v>
      </c>
      <c r="V7" s="80">
        <v>0.16817681345169208</v>
      </c>
      <c r="W7" s="77">
        <v>-1.0418734899135225E-3</v>
      </c>
      <c r="X7" s="78">
        <v>0.16422037134027304</v>
      </c>
      <c r="Y7" s="79">
        <v>9.1520729649883386E-4</v>
      </c>
      <c r="Z7" s="81">
        <v>0.15976903059902453</v>
      </c>
      <c r="AE7" s="3"/>
    </row>
    <row r="8" spans="1:31" ht="30">
      <c r="A8" s="112"/>
      <c r="B8" s="82" t="s">
        <v>908</v>
      </c>
      <c r="C8" s="77">
        <v>-7.2185125743975097E-4</v>
      </c>
      <c r="D8" s="78">
        <v>0.13558733090116812</v>
      </c>
      <c r="E8" s="79">
        <v>4.3521269774355204E-4</v>
      </c>
      <c r="F8" s="80">
        <v>0.13072017819977927</v>
      </c>
      <c r="G8" s="77">
        <v>-6.1617252664782204E-4</v>
      </c>
      <c r="H8" s="78">
        <v>0.13115773320131283</v>
      </c>
      <c r="I8" s="79">
        <v>-1.8553330828795923E-3</v>
      </c>
      <c r="J8" s="80">
        <v>0.13101472401203756</v>
      </c>
      <c r="K8" s="77">
        <v>-9.2932250214503801E-4</v>
      </c>
      <c r="L8" s="78">
        <v>0.1261664782584086</v>
      </c>
      <c r="M8" s="79">
        <v>-1.2744446283929E-5</v>
      </c>
      <c r="N8" s="80">
        <v>0.1215976920142204</v>
      </c>
      <c r="O8" s="77">
        <v>1.2509728997146322E-3</v>
      </c>
      <c r="P8" s="78">
        <v>0.12067768560717335</v>
      </c>
      <c r="Q8" s="79">
        <v>1.5560067516163156E-3</v>
      </c>
      <c r="R8" s="80">
        <v>0.12125016956014992</v>
      </c>
      <c r="S8" s="77">
        <v>2.150660954150327E-4</v>
      </c>
      <c r="T8" s="78">
        <v>0.12065050508741194</v>
      </c>
      <c r="U8" s="79">
        <v>6.6701836746283356E-5</v>
      </c>
      <c r="V8" s="80">
        <v>0.12059698523209325</v>
      </c>
      <c r="W8" s="77">
        <v>2.1140690541269764E-3</v>
      </c>
      <c r="X8" s="78">
        <v>0.12108939580543913</v>
      </c>
      <c r="Y8" s="79">
        <v>6.2901312403170232E-4</v>
      </c>
      <c r="Z8" s="81">
        <v>0.12166105920875479</v>
      </c>
      <c r="AE8" s="3"/>
    </row>
    <row r="9" spans="1:31">
      <c r="A9" s="112"/>
      <c r="B9" s="83" t="s">
        <v>2</v>
      </c>
      <c r="C9" s="77">
        <v>0</v>
      </c>
      <c r="D9" s="78">
        <v>0</v>
      </c>
      <c r="E9" s="79">
        <v>0</v>
      </c>
      <c r="F9" s="80">
        <v>0</v>
      </c>
      <c r="G9" s="77">
        <v>0</v>
      </c>
      <c r="H9" s="78">
        <v>0</v>
      </c>
      <c r="I9" s="79">
        <v>0</v>
      </c>
      <c r="J9" s="80">
        <v>0</v>
      </c>
      <c r="K9" s="77">
        <v>0</v>
      </c>
      <c r="L9" s="78">
        <v>0</v>
      </c>
      <c r="M9" s="79">
        <v>0</v>
      </c>
      <c r="N9" s="80">
        <v>0</v>
      </c>
      <c r="O9" s="77">
        <v>0</v>
      </c>
      <c r="P9" s="78">
        <v>0</v>
      </c>
      <c r="Q9" s="79">
        <v>0</v>
      </c>
      <c r="R9" s="80">
        <v>0</v>
      </c>
      <c r="S9" s="77">
        <v>0</v>
      </c>
      <c r="T9" s="78">
        <v>0</v>
      </c>
      <c r="U9" s="79">
        <v>0</v>
      </c>
      <c r="V9" s="80">
        <v>0</v>
      </c>
      <c r="W9" s="77">
        <v>0</v>
      </c>
      <c r="X9" s="78">
        <v>0</v>
      </c>
      <c r="Y9" s="79">
        <v>0</v>
      </c>
      <c r="Z9" s="81">
        <v>0</v>
      </c>
      <c r="AE9" s="3"/>
    </row>
    <row r="10" spans="1:31">
      <c r="A10" s="112"/>
      <c r="B10" s="83" t="s">
        <v>3</v>
      </c>
      <c r="C10" s="77">
        <v>9.705994852929635E-6</v>
      </c>
      <c r="D10" s="78">
        <v>1.2367231887911935E-3</v>
      </c>
      <c r="E10" s="79">
        <v>-9.8084721139566476E-6</v>
      </c>
      <c r="F10" s="80">
        <v>1.1676923601230467E-3</v>
      </c>
      <c r="G10" s="77">
        <v>1.9877763072140956E-7</v>
      </c>
      <c r="H10" s="78">
        <v>1.13342630011116E-3</v>
      </c>
      <c r="I10" s="79">
        <v>2.5274870238280192E-5</v>
      </c>
      <c r="J10" s="80">
        <v>1.1775776117971632E-3</v>
      </c>
      <c r="K10" s="77">
        <v>6.269822334122943E-6</v>
      </c>
      <c r="L10" s="78">
        <v>1.1626196470986311E-3</v>
      </c>
      <c r="M10" s="79">
        <v>-3.7484356543879397E-5</v>
      </c>
      <c r="N10" s="80">
        <v>1.1370310551829708E-3</v>
      </c>
      <c r="O10" s="77">
        <v>9.0375041512236968E-5</v>
      </c>
      <c r="P10" s="78">
        <v>1.1053563734732496E-3</v>
      </c>
      <c r="Q10" s="79">
        <v>5.6441255499252786E-6</v>
      </c>
      <c r="R10" s="80">
        <v>1.1173007514080355E-3</v>
      </c>
      <c r="S10" s="77">
        <v>-1.076981608822045E-5</v>
      </c>
      <c r="T10" s="78">
        <v>1.0877761935995799E-3</v>
      </c>
      <c r="U10" s="79">
        <v>7.2424159003104384E-6</v>
      </c>
      <c r="V10" s="80">
        <v>1.0871373558466297E-3</v>
      </c>
      <c r="W10" s="77">
        <v>5.7960011407471487E-6</v>
      </c>
      <c r="X10" s="78">
        <v>1.0713161733897701E-3</v>
      </c>
      <c r="Y10" s="79">
        <v>-1.5130825877561642E-5</v>
      </c>
      <c r="Z10" s="81">
        <v>1.0237071576199347E-3</v>
      </c>
      <c r="AE10" s="3"/>
    </row>
    <row r="11" spans="1:31">
      <c r="A11" s="112"/>
      <c r="B11" s="83" t="s">
        <v>4</v>
      </c>
      <c r="C11" s="77">
        <v>7.2590013645469219E-4</v>
      </c>
      <c r="D11" s="78">
        <v>0.20602202059748467</v>
      </c>
      <c r="E11" s="79">
        <v>6.6600888955858667E-4</v>
      </c>
      <c r="F11" s="80">
        <v>0.19826336372717004</v>
      </c>
      <c r="G11" s="77">
        <v>2.8648901905955404E-3</v>
      </c>
      <c r="H11" s="78">
        <v>0.19582419946400212</v>
      </c>
      <c r="I11" s="79">
        <v>1.1771390546769552E-4</v>
      </c>
      <c r="J11" s="80">
        <v>0.19431199077708178</v>
      </c>
      <c r="K11" s="77">
        <v>5.9008603265542261E-4</v>
      </c>
      <c r="L11" s="78">
        <v>0.18892860893186661</v>
      </c>
      <c r="M11" s="79">
        <v>4.8601352862176088E-5</v>
      </c>
      <c r="N11" s="80">
        <v>0.18796077975691008</v>
      </c>
      <c r="O11" s="77">
        <v>2.2136068793643846E-3</v>
      </c>
      <c r="P11" s="78">
        <v>0.1862674085614999</v>
      </c>
      <c r="Q11" s="79">
        <v>2.2825986102828263E-3</v>
      </c>
      <c r="R11" s="80">
        <v>0.18474083487531262</v>
      </c>
      <c r="S11" s="77">
        <v>1.6520510475905757E-3</v>
      </c>
      <c r="T11" s="78">
        <v>0.17886527837883706</v>
      </c>
      <c r="U11" s="79">
        <v>4.3030708969750019E-4</v>
      </c>
      <c r="V11" s="80">
        <v>0.17556728580316888</v>
      </c>
      <c r="W11" s="77">
        <v>7.4196336311377667E-4</v>
      </c>
      <c r="X11" s="78">
        <v>0.17354683071092594</v>
      </c>
      <c r="Y11" s="79">
        <v>1.5572907684952761E-3</v>
      </c>
      <c r="Z11" s="81">
        <v>0.17355525559075027</v>
      </c>
      <c r="AE11" s="3"/>
    </row>
    <row r="12" spans="1:31">
      <c r="A12" s="112"/>
      <c r="B12" s="83" t="s">
        <v>5</v>
      </c>
      <c r="C12" s="77">
        <v>-8.9201651911882812E-7</v>
      </c>
      <c r="D12" s="78">
        <v>1.0428142834381527E-2</v>
      </c>
      <c r="E12" s="79">
        <v>5.9757854152778445E-5</v>
      </c>
      <c r="F12" s="80">
        <v>1.0350132215961387E-2</v>
      </c>
      <c r="G12" s="77">
        <v>2.6793026393263225E-4</v>
      </c>
      <c r="H12" s="78">
        <v>1.0031773202346847E-2</v>
      </c>
      <c r="I12" s="79">
        <v>-2.3461108331149835E-5</v>
      </c>
      <c r="J12" s="80">
        <v>1.0485134742641794E-2</v>
      </c>
      <c r="K12" s="77">
        <v>1.4473369082645704E-5</v>
      </c>
      <c r="L12" s="78">
        <v>1.0934318252702227E-2</v>
      </c>
      <c r="M12" s="79">
        <v>1.4834152606863772E-5</v>
      </c>
      <c r="N12" s="80">
        <v>1.0744463684503307E-2</v>
      </c>
      <c r="O12" s="77">
        <v>1.4040891745284052E-4</v>
      </c>
      <c r="P12" s="78">
        <v>1.0538179568671691E-2</v>
      </c>
      <c r="Q12" s="79">
        <v>1.6322369219215881E-4</v>
      </c>
      <c r="R12" s="80">
        <v>1.0320692514986905E-2</v>
      </c>
      <c r="S12" s="77">
        <v>-4.5420382491415045E-6</v>
      </c>
      <c r="T12" s="78">
        <v>1.0300106326942064E-2</v>
      </c>
      <c r="U12" s="79">
        <v>6.9934175449901337E-5</v>
      </c>
      <c r="V12" s="80">
        <v>1.0556291273947754E-2</v>
      </c>
      <c r="W12" s="77">
        <v>8.679797383667382E-5</v>
      </c>
      <c r="X12" s="78">
        <v>1.0408868400166497E-2</v>
      </c>
      <c r="Y12" s="79">
        <v>6.9117977233860669E-5</v>
      </c>
      <c r="Z12" s="81">
        <v>1.0620738918175639E-2</v>
      </c>
      <c r="AE12" s="3"/>
    </row>
    <row r="13" spans="1:31">
      <c r="A13" s="112"/>
      <c r="B13" s="83" t="s">
        <v>6</v>
      </c>
      <c r="C13" s="77">
        <v>-1.0196417447911681E-3</v>
      </c>
      <c r="D13" s="78">
        <v>0.17455743743522009</v>
      </c>
      <c r="E13" s="79">
        <v>8.3079259642410176E-3</v>
      </c>
      <c r="F13" s="80">
        <v>0.17513378566664445</v>
      </c>
      <c r="G13" s="77">
        <v>5.5367637506562447E-3</v>
      </c>
      <c r="H13" s="78">
        <v>0.18150044847769944</v>
      </c>
      <c r="I13" s="79">
        <v>-5.2448345135327184E-3</v>
      </c>
      <c r="J13" s="80">
        <v>0.17533105195702045</v>
      </c>
      <c r="K13" s="77">
        <v>2.4188867398238344E-3</v>
      </c>
      <c r="L13" s="78">
        <v>0.17075500180515663</v>
      </c>
      <c r="M13" s="79">
        <v>-1.1361436751327774E-3</v>
      </c>
      <c r="N13" s="80">
        <v>0.15917703162795557</v>
      </c>
      <c r="O13" s="77">
        <v>2.7731969291776254E-3</v>
      </c>
      <c r="P13" s="78">
        <v>0.15447923405073602</v>
      </c>
      <c r="Q13" s="79">
        <v>3.9313670018559692E-3</v>
      </c>
      <c r="R13" s="80">
        <v>0.15354837915653261</v>
      </c>
      <c r="S13" s="77">
        <v>3.016908555216454E-3</v>
      </c>
      <c r="T13" s="78">
        <v>0.15240450932294058</v>
      </c>
      <c r="U13" s="79">
        <v>5.0524866956446644E-3</v>
      </c>
      <c r="V13" s="80">
        <v>0.1523138888279274</v>
      </c>
      <c r="W13" s="77">
        <v>6.4643972060884286E-3</v>
      </c>
      <c r="X13" s="78">
        <v>0.15886038088211013</v>
      </c>
      <c r="Y13" s="79">
        <v>7.9423916533758413E-3</v>
      </c>
      <c r="Z13" s="81">
        <v>0.16567734232935566</v>
      </c>
      <c r="AE13" s="3"/>
    </row>
    <row r="14" spans="1:31">
      <c r="A14" s="112"/>
      <c r="B14" s="83" t="s">
        <v>62</v>
      </c>
      <c r="C14" s="77">
        <v>-5.660103773984515E-4</v>
      </c>
      <c r="D14" s="78">
        <v>0.13602520944755947</v>
      </c>
      <c r="E14" s="79">
        <v>2.9702887839959812E-3</v>
      </c>
      <c r="F14" s="80">
        <v>0.12644965502385144</v>
      </c>
      <c r="G14" s="77">
        <v>6.2167293677179583E-3</v>
      </c>
      <c r="H14" s="78">
        <v>0.12659904125206989</v>
      </c>
      <c r="I14" s="79">
        <v>-2.2650156750381734E-3</v>
      </c>
      <c r="J14" s="80">
        <v>0.12972452754615102</v>
      </c>
      <c r="K14" s="77">
        <v>1.8151354277883432E-3</v>
      </c>
      <c r="L14" s="78">
        <v>0.1310169372115165</v>
      </c>
      <c r="M14" s="79">
        <v>1.2294815654070492E-3</v>
      </c>
      <c r="N14" s="80">
        <v>0.13541613879872996</v>
      </c>
      <c r="O14" s="77">
        <v>3.5600852894685842E-3</v>
      </c>
      <c r="P14" s="78">
        <v>0.13954575710143893</v>
      </c>
      <c r="Q14" s="79">
        <v>6.037074199549226E-4</v>
      </c>
      <c r="R14" s="80">
        <v>0.14615678257765413</v>
      </c>
      <c r="S14" s="77">
        <v>5.0429700196248494E-3</v>
      </c>
      <c r="T14" s="78">
        <v>0.14895991367597047</v>
      </c>
      <c r="U14" s="79">
        <v>-2.2543212490485393E-3</v>
      </c>
      <c r="V14" s="80">
        <v>0.14883395234560864</v>
      </c>
      <c r="W14" s="77">
        <v>1.0775712212105269E-3</v>
      </c>
      <c r="X14" s="78">
        <v>0.14718148445523299</v>
      </c>
      <c r="Y14" s="79">
        <v>-1.2667080901506674E-3</v>
      </c>
      <c r="Z14" s="81">
        <v>0.14483653764259341</v>
      </c>
      <c r="AE14" s="3"/>
    </row>
    <row r="15" spans="1:31">
      <c r="A15" s="112"/>
      <c r="B15" s="83" t="s">
        <v>7</v>
      </c>
      <c r="C15" s="77">
        <v>-6.097926914252117E-5</v>
      </c>
      <c r="D15" s="78">
        <v>1.2990990006865306E-2</v>
      </c>
      <c r="E15" s="79">
        <v>2.675998572340812E-5</v>
      </c>
      <c r="F15" s="80">
        <v>9.0309285923122658E-3</v>
      </c>
      <c r="G15" s="77">
        <v>2.5079987412853091E-4</v>
      </c>
      <c r="H15" s="78">
        <v>8.1176228352051322E-3</v>
      </c>
      <c r="I15" s="79">
        <v>1.7420065086279181E-4</v>
      </c>
      <c r="J15" s="80">
        <v>8.5436728740904307E-3</v>
      </c>
      <c r="K15" s="77">
        <v>1.1110078121693007E-4</v>
      </c>
      <c r="L15" s="78">
        <v>8.3371372852102214E-3</v>
      </c>
      <c r="M15" s="79">
        <v>3.3268623583884168E-4</v>
      </c>
      <c r="N15" s="80">
        <v>8.6081319907125465E-3</v>
      </c>
      <c r="O15" s="77">
        <v>1.571327359097293E-4</v>
      </c>
      <c r="P15" s="78">
        <v>8.6019661993880503E-3</v>
      </c>
      <c r="Q15" s="79">
        <v>-6.0467109880562096E-5</v>
      </c>
      <c r="R15" s="80">
        <v>8.4994220369912273E-3</v>
      </c>
      <c r="S15" s="77">
        <v>2.6896269240952352E-4</v>
      </c>
      <c r="T15" s="78">
        <v>8.4273995201918882E-3</v>
      </c>
      <c r="U15" s="79">
        <v>-1.8517101629649758E-4</v>
      </c>
      <c r="V15" s="80">
        <v>7.9559722795097421E-3</v>
      </c>
      <c r="W15" s="77">
        <v>-1.1992025735090364E-4</v>
      </c>
      <c r="X15" s="78">
        <v>7.7686698492481386E-3</v>
      </c>
      <c r="Y15" s="79">
        <v>2.1033533472504002E-5</v>
      </c>
      <c r="Z15" s="81">
        <v>7.4606757759212682E-3</v>
      </c>
      <c r="AE15" s="3"/>
    </row>
    <row r="16" spans="1:31">
      <c r="A16" s="112"/>
      <c r="B16" s="83" t="s">
        <v>8</v>
      </c>
      <c r="C16" s="77">
        <v>-4.434184883636551E-5</v>
      </c>
      <c r="D16" s="78">
        <v>7.3177599262761669E-2</v>
      </c>
      <c r="E16" s="79">
        <v>-2.0386344779186981E-4</v>
      </c>
      <c r="F16" s="80">
        <v>9.5885018667713276E-2</v>
      </c>
      <c r="G16" s="77">
        <v>3.9900358034035358E-3</v>
      </c>
      <c r="H16" s="78">
        <v>9.5793794454236109E-2</v>
      </c>
      <c r="I16" s="79">
        <v>1.3533603945770274E-3</v>
      </c>
      <c r="J16" s="80">
        <v>0.10458681896102354</v>
      </c>
      <c r="K16" s="77">
        <v>1.4951369818089729E-3</v>
      </c>
      <c r="L16" s="78">
        <v>0.10406530344371061</v>
      </c>
      <c r="M16" s="79">
        <v>1.1037820236475457E-3</v>
      </c>
      <c r="N16" s="80">
        <v>0.10723836290398227</v>
      </c>
      <c r="O16" s="77">
        <v>1.1595076113233768E-3</v>
      </c>
      <c r="P16" s="78">
        <v>0.10637911798434467</v>
      </c>
      <c r="Q16" s="79">
        <v>-4.1178895912332076E-4</v>
      </c>
      <c r="R16" s="80">
        <v>0.10971023524132759</v>
      </c>
      <c r="S16" s="77">
        <v>1.8506691382536339E-3</v>
      </c>
      <c r="T16" s="78">
        <v>0.11065461279538708</v>
      </c>
      <c r="U16" s="79">
        <v>-6.3298568216476453E-4</v>
      </c>
      <c r="V16" s="80">
        <v>0.11027333363111569</v>
      </c>
      <c r="W16" s="77">
        <v>-1.9984852368614683E-3</v>
      </c>
      <c r="X16" s="78">
        <v>0.10758645507992479</v>
      </c>
      <c r="Y16" s="79">
        <v>5.9599982784146904E-4</v>
      </c>
      <c r="Z16" s="81">
        <v>0.10488070292468575</v>
      </c>
      <c r="AE16" s="3"/>
    </row>
    <row r="17" spans="1:31">
      <c r="A17" s="112"/>
      <c r="B17" s="83" t="s">
        <v>9</v>
      </c>
      <c r="C17" s="77">
        <v>-4.4295818106349238E-6</v>
      </c>
      <c r="D17" s="78">
        <v>8.0910143567953908E-5</v>
      </c>
      <c r="E17" s="79">
        <v>-1.8805298952908072E-7</v>
      </c>
      <c r="F17" s="80">
        <v>7.6592092440800756E-5</v>
      </c>
      <c r="G17" s="77">
        <v>1.4268802643717382E-4</v>
      </c>
      <c r="H17" s="78">
        <v>9.0220125403875747E-5</v>
      </c>
      <c r="I17" s="79">
        <v>1.0374849968663322E-6</v>
      </c>
      <c r="J17" s="80">
        <v>2.2776172416542675E-4</v>
      </c>
      <c r="K17" s="77">
        <v>1.3314765877292907E-4</v>
      </c>
      <c r="L17" s="78">
        <v>2.1973707384999566E-4</v>
      </c>
      <c r="M17" s="79">
        <v>-1.2453009042897692E-6</v>
      </c>
      <c r="N17" s="80">
        <v>2.1847830345288622E-4</v>
      </c>
      <c r="O17" s="77">
        <v>5.4496565186408843E-6</v>
      </c>
      <c r="P17" s="78">
        <v>2.1476926763360586E-4</v>
      </c>
      <c r="Q17" s="79">
        <v>-5.7365131968388956E-7</v>
      </c>
      <c r="R17" s="80">
        <v>2.2211282602616021E-4</v>
      </c>
      <c r="S17" s="77">
        <v>1.0666652014246662E-5</v>
      </c>
      <c r="T17" s="78">
        <v>2.2349736598958355E-4</v>
      </c>
      <c r="U17" s="79">
        <v>1.2337806619648605E-5</v>
      </c>
      <c r="V17" s="80">
        <v>2.4844953850510995E-4</v>
      </c>
      <c r="W17" s="77">
        <v>2.6195560974563459E-5</v>
      </c>
      <c r="X17" s="78">
        <v>2.5241737373800805E-4</v>
      </c>
      <c r="Y17" s="79">
        <v>5.0019020997209014E-5</v>
      </c>
      <c r="Z17" s="81">
        <v>2.8683553314592697E-4</v>
      </c>
      <c r="AE17" s="3"/>
    </row>
    <row r="18" spans="1:31">
      <c r="A18" s="112"/>
      <c r="B18" s="83" t="s">
        <v>10</v>
      </c>
      <c r="C18" s="77">
        <v>1.8407402553525035E-3</v>
      </c>
      <c r="D18" s="78">
        <v>1.0009760060672777E-2</v>
      </c>
      <c r="E18" s="79">
        <v>8.1914417751840791E-3</v>
      </c>
      <c r="F18" s="80">
        <v>1.4665323665888323E-2</v>
      </c>
      <c r="G18" s="77">
        <v>2.8583652014725543E-4</v>
      </c>
      <c r="H18" s="78">
        <v>8.9977592764781573E-3</v>
      </c>
      <c r="I18" s="79">
        <v>-9.6022908740969106E-3</v>
      </c>
      <c r="J18" s="80">
        <v>-2.9939386835980378E-3</v>
      </c>
      <c r="K18" s="77">
        <v>5.1933082533489371E-3</v>
      </c>
      <c r="L18" s="78">
        <v>1.1547749000668228E-3</v>
      </c>
      <c r="M18" s="79">
        <v>4.7440995967415016E-3</v>
      </c>
      <c r="N18" s="80">
        <v>1.421613137873233E-3</v>
      </c>
      <c r="O18" s="77">
        <v>-4.0573255185768932E-5</v>
      </c>
      <c r="P18" s="78">
        <v>3.3863223589026925E-3</v>
      </c>
      <c r="Q18" s="79">
        <v>3.9251299967098642E-3</v>
      </c>
      <c r="R18" s="80">
        <v>-3.9440700324797767E-3</v>
      </c>
      <c r="S18" s="77">
        <v>1.1893758312807368E-3</v>
      </c>
      <c r="T18" s="78">
        <v>-2.4697681512242044E-3</v>
      </c>
      <c r="U18" s="79">
        <v>-1.3473954918635195E-3</v>
      </c>
      <c r="V18" s="80">
        <v>2.470121901333765E-4</v>
      </c>
      <c r="W18" s="77">
        <v>1.0424354522864339E-2</v>
      </c>
      <c r="X18" s="78">
        <v>4.8788128525046456E-3</v>
      </c>
      <c r="Y18" s="79">
        <v>-2.7428570338604986E-3</v>
      </c>
      <c r="Z18" s="81">
        <v>8.705329252139701E-3</v>
      </c>
      <c r="AE18" s="3"/>
    </row>
    <row r="19" spans="1:31">
      <c r="A19" s="112"/>
      <c r="B19" s="83" t="s">
        <v>11</v>
      </c>
      <c r="C19" s="77">
        <v>-2.6887612221136118E-4</v>
      </c>
      <c r="D19" s="78">
        <v>1.9291242134315291E-4</v>
      </c>
      <c r="E19" s="79">
        <v>1.2956308543364125E-4</v>
      </c>
      <c r="F19" s="80">
        <v>2.0940311922349448E-4</v>
      </c>
      <c r="G19" s="77">
        <v>-4.0511841906480529E-6</v>
      </c>
      <c r="H19" s="78">
        <v>3.3123330279857837E-4</v>
      </c>
      <c r="I19" s="79">
        <v>5.8224635189141672E-5</v>
      </c>
      <c r="J19" s="80">
        <v>3.6427429097416896E-4</v>
      </c>
      <c r="K19" s="77">
        <v>2.1777276580662283E-6</v>
      </c>
      <c r="L19" s="78">
        <v>1.3823393707615962E-4</v>
      </c>
      <c r="M19" s="79">
        <v>-1.0180805796036211E-4</v>
      </c>
      <c r="N19" s="80">
        <v>2.203865840952784E-4</v>
      </c>
      <c r="O19" s="77">
        <v>2.6417145229266231E-4</v>
      </c>
      <c r="P19" s="78">
        <v>2.8822582729241255E-4</v>
      </c>
      <c r="Q19" s="79">
        <v>1.6862237692101878E-4</v>
      </c>
      <c r="R19" s="80">
        <v>1.2907411886266083E-4</v>
      </c>
      <c r="S19" s="77">
        <v>9.4218143005123556E-5</v>
      </c>
      <c r="T19" s="78">
        <v>2.2996389929515044E-4</v>
      </c>
      <c r="U19" s="79">
        <v>4.0625519309867405E-5</v>
      </c>
      <c r="V19" s="80">
        <v>4.4022607928347952E-4</v>
      </c>
      <c r="W19" s="77">
        <v>1.2180404062904004E-4</v>
      </c>
      <c r="X19" s="78">
        <v>3.8484384550542929E-4</v>
      </c>
      <c r="Y19" s="79">
        <v>1.2506927584670898E-4</v>
      </c>
      <c r="Z19" s="81">
        <v>2.4909866149192477E-4</v>
      </c>
    </row>
    <row r="20" spans="1:31">
      <c r="A20" s="112"/>
      <c r="B20" s="83" t="s">
        <v>12</v>
      </c>
      <c r="C20" s="77">
        <v>0</v>
      </c>
      <c r="D20" s="78">
        <v>0</v>
      </c>
      <c r="E20" s="79">
        <v>0</v>
      </c>
      <c r="F20" s="80">
        <v>0</v>
      </c>
      <c r="G20" s="77">
        <v>0</v>
      </c>
      <c r="H20" s="78">
        <v>0</v>
      </c>
      <c r="I20" s="79">
        <v>0</v>
      </c>
      <c r="J20" s="80">
        <v>0</v>
      </c>
      <c r="K20" s="77">
        <v>0</v>
      </c>
      <c r="L20" s="78">
        <v>0</v>
      </c>
      <c r="M20" s="79">
        <v>0</v>
      </c>
      <c r="N20" s="80">
        <v>0</v>
      </c>
      <c r="O20" s="77">
        <v>4.6262360930219181E-6</v>
      </c>
      <c r="P20" s="78">
        <v>2.019480056479965E-4</v>
      </c>
      <c r="Q20" s="79">
        <v>-1.5962892413838755E-7</v>
      </c>
      <c r="R20" s="80">
        <v>2.1106018581705963E-4</v>
      </c>
      <c r="S20" s="77">
        <v>6.1314324037570418E-6</v>
      </c>
      <c r="T20" s="78">
        <v>2.1589112114044241E-4</v>
      </c>
      <c r="U20" s="79">
        <v>-6.679544946607456E-6</v>
      </c>
      <c r="V20" s="80">
        <v>2.1274247284105893E-4</v>
      </c>
      <c r="W20" s="77">
        <v>-9.4585113035554065E-6</v>
      </c>
      <c r="X20" s="78">
        <v>2.1859273950075098E-4</v>
      </c>
      <c r="Y20" s="79">
        <v>5.462186846674892E-6</v>
      </c>
      <c r="Z20" s="81">
        <v>2.0805699414800752E-4</v>
      </c>
    </row>
    <row r="21" spans="1:31">
      <c r="A21" s="112"/>
      <c r="B21" s="83" t="s">
        <v>13</v>
      </c>
      <c r="C21" s="77">
        <v>9.5821067133424929E-4</v>
      </c>
      <c r="D21" s="78">
        <v>0.10164501851142053</v>
      </c>
      <c r="E21" s="79">
        <v>2.0647120366585895E-4</v>
      </c>
      <c r="F21" s="80">
        <v>9.8224181617158887E-2</v>
      </c>
      <c r="G21" s="77">
        <v>1.7582995511836311E-3</v>
      </c>
      <c r="H21" s="78">
        <v>9.7204554531030704E-2</v>
      </c>
      <c r="I21" s="79">
        <v>6.9833792933019715E-4</v>
      </c>
      <c r="J21" s="80">
        <v>9.8576904149550115E-2</v>
      </c>
      <c r="K21" s="77">
        <v>2.7258712107211281E-4</v>
      </c>
      <c r="L21" s="78">
        <v>9.8465967529275278E-2</v>
      </c>
      <c r="M21" s="79">
        <v>4.8519560550036405E-4</v>
      </c>
      <c r="N21" s="80">
        <v>9.7871933984178316E-2</v>
      </c>
      <c r="O21" s="77">
        <v>7.8204222356001451E-4</v>
      </c>
      <c r="P21" s="78">
        <v>9.663710218184024E-2</v>
      </c>
      <c r="Q21" s="79">
        <v>3.7826207599301448E-4</v>
      </c>
      <c r="R21" s="80">
        <v>9.7036959128442984E-2</v>
      </c>
      <c r="S21" s="77">
        <v>1.1150001253608707E-3</v>
      </c>
      <c r="T21" s="78">
        <v>9.6949163409241979E-2</v>
      </c>
      <c r="U21" s="79">
        <v>5.220614094321325E-4</v>
      </c>
      <c r="V21" s="80">
        <v>9.6212246967583848E-2</v>
      </c>
      <c r="W21" s="77">
        <v>2.8304586464370472E-4</v>
      </c>
      <c r="X21" s="78">
        <v>9.5366146045443828E-2</v>
      </c>
      <c r="Y21" s="79">
        <v>5.7499889112804707E-4</v>
      </c>
      <c r="Z21" s="81">
        <v>9.4005562921568309E-2</v>
      </c>
    </row>
    <row r="22" spans="1:31">
      <c r="A22" s="112"/>
      <c r="B22" s="83" t="s">
        <v>14</v>
      </c>
      <c r="C22" s="77">
        <v>0</v>
      </c>
      <c r="D22" s="78">
        <v>0</v>
      </c>
      <c r="E22" s="79">
        <v>0</v>
      </c>
      <c r="F22" s="80">
        <v>0</v>
      </c>
      <c r="G22" s="77">
        <v>0</v>
      </c>
      <c r="H22" s="78">
        <v>0</v>
      </c>
      <c r="I22" s="79">
        <v>0</v>
      </c>
      <c r="J22" s="80">
        <v>0</v>
      </c>
      <c r="K22" s="77">
        <v>0</v>
      </c>
      <c r="L22" s="78">
        <v>0</v>
      </c>
      <c r="M22" s="79">
        <v>0</v>
      </c>
      <c r="N22" s="80">
        <v>0</v>
      </c>
      <c r="O22" s="77">
        <v>0</v>
      </c>
      <c r="P22" s="78">
        <v>0</v>
      </c>
      <c r="Q22" s="79">
        <v>0</v>
      </c>
      <c r="R22" s="80">
        <v>0</v>
      </c>
      <c r="S22" s="77">
        <v>0</v>
      </c>
      <c r="T22" s="78">
        <v>0</v>
      </c>
      <c r="U22" s="79">
        <v>0</v>
      </c>
      <c r="V22" s="80">
        <v>0</v>
      </c>
      <c r="W22" s="77">
        <v>0</v>
      </c>
      <c r="X22" s="78">
        <v>0</v>
      </c>
      <c r="Y22" s="79">
        <v>0</v>
      </c>
      <c r="Z22" s="81">
        <v>0</v>
      </c>
    </row>
    <row r="23" spans="1:31">
      <c r="A23" s="112"/>
      <c r="B23" s="83" t="s">
        <v>15</v>
      </c>
      <c r="C23" s="77">
        <v>0</v>
      </c>
      <c r="D23" s="78">
        <v>0</v>
      </c>
      <c r="E23" s="79">
        <v>0</v>
      </c>
      <c r="F23" s="80">
        <v>0</v>
      </c>
      <c r="G23" s="77">
        <v>0</v>
      </c>
      <c r="H23" s="78">
        <v>0</v>
      </c>
      <c r="I23" s="79">
        <v>0</v>
      </c>
      <c r="J23" s="80">
        <v>0</v>
      </c>
      <c r="K23" s="77">
        <v>0</v>
      </c>
      <c r="L23" s="78">
        <v>0</v>
      </c>
      <c r="M23" s="79">
        <v>0</v>
      </c>
      <c r="N23" s="80">
        <v>0</v>
      </c>
      <c r="O23" s="77">
        <v>0</v>
      </c>
      <c r="P23" s="78">
        <v>0</v>
      </c>
      <c r="Q23" s="79">
        <v>0</v>
      </c>
      <c r="R23" s="80">
        <v>0</v>
      </c>
      <c r="S23" s="77">
        <v>0</v>
      </c>
      <c r="T23" s="78">
        <v>0</v>
      </c>
      <c r="U23" s="79">
        <v>0</v>
      </c>
      <c r="V23" s="80">
        <v>0</v>
      </c>
      <c r="W23" s="77">
        <v>0</v>
      </c>
      <c r="X23" s="78">
        <v>0</v>
      </c>
      <c r="Y23" s="79">
        <v>0</v>
      </c>
      <c r="Z23" s="81">
        <v>0</v>
      </c>
    </row>
    <row r="24" spans="1:31">
      <c r="A24" s="112"/>
      <c r="B24" s="83" t="s">
        <v>16</v>
      </c>
      <c r="C24" s="77">
        <v>4.0790175358002971E-6</v>
      </c>
      <c r="D24" s="78">
        <v>5.8302003000512736E-3</v>
      </c>
      <c r="E24" s="79">
        <v>3.9452069937842706E-6</v>
      </c>
      <c r="F24" s="80">
        <v>5.6046235318993201E-3</v>
      </c>
      <c r="G24" s="77">
        <v>4.9718775830522832E-5</v>
      </c>
      <c r="H24" s="78">
        <v>5.8804130638932528E-3</v>
      </c>
      <c r="I24" s="79">
        <v>8.971127308744496E-5</v>
      </c>
      <c r="J24" s="80">
        <v>7.3406401550527821E-3</v>
      </c>
      <c r="K24" s="77">
        <v>2.919887080737783E-6</v>
      </c>
      <c r="L24" s="78">
        <v>7.3031123242670746E-3</v>
      </c>
      <c r="M24" s="79">
        <v>8.0885997277289269E-5</v>
      </c>
      <c r="N24" s="80">
        <v>7.1297036285408837E-3</v>
      </c>
      <c r="O24" s="77">
        <v>1.3935720274613798E-5</v>
      </c>
      <c r="P24" s="78">
        <v>7.0472468458305793E-3</v>
      </c>
      <c r="Q24" s="79">
        <v>1.6597442954027093E-6</v>
      </c>
      <c r="R24" s="80">
        <v>7.0089887943190037E-3</v>
      </c>
      <c r="S24" s="77">
        <v>-4.0547962419922074E-5</v>
      </c>
      <c r="T24" s="78">
        <v>7.3989673562571585E-3</v>
      </c>
      <c r="U24" s="79">
        <v>3.0395457159048301E-5</v>
      </c>
      <c r="V24" s="80">
        <v>7.4228196397738231E-3</v>
      </c>
      <c r="W24" s="77">
        <v>4.008657700439055E-6</v>
      </c>
      <c r="X24" s="78">
        <v>7.3078046364503102E-3</v>
      </c>
      <c r="Y24" s="79">
        <v>-2.0944561991710202E-5</v>
      </c>
      <c r="Z24" s="81">
        <v>7.2023214312454805E-3</v>
      </c>
    </row>
    <row r="25" spans="1:31">
      <c r="A25" s="112"/>
      <c r="B25" s="83" t="s">
        <v>17</v>
      </c>
      <c r="C25" s="77">
        <v>-1.2940031292458151E-8</v>
      </c>
      <c r="D25" s="78">
        <v>-2.1792371839803637E-4</v>
      </c>
      <c r="E25" s="79">
        <v>0</v>
      </c>
      <c r="F25" s="80">
        <v>0</v>
      </c>
      <c r="G25" s="77">
        <v>7.898574717595225E-6</v>
      </c>
      <c r="H25" s="78">
        <v>7.8691861696928963E-5</v>
      </c>
      <c r="I25" s="79">
        <v>6.0081597232528699E-6</v>
      </c>
      <c r="J25" s="80">
        <v>4.1998609636488894E-5</v>
      </c>
      <c r="K25" s="77">
        <v>-1.0921397852781996E-6</v>
      </c>
      <c r="L25" s="78">
        <v>-2.1693218320994594E-5</v>
      </c>
      <c r="M25" s="79">
        <v>3.1951745167929333E-7</v>
      </c>
      <c r="N25" s="80">
        <v>-9.6679904429100867E-5</v>
      </c>
      <c r="O25" s="77">
        <v>8.154751250235163E-8</v>
      </c>
      <c r="P25" s="78">
        <v>-1.603847099798713E-4</v>
      </c>
      <c r="Q25" s="79">
        <v>-5.9701718323638745E-7</v>
      </c>
      <c r="R25" s="80">
        <v>-1.5439809873112983E-4</v>
      </c>
      <c r="S25" s="77">
        <v>2.5450731737709851E-7</v>
      </c>
      <c r="T25" s="78">
        <v>-1.5094726589287078E-4</v>
      </c>
      <c r="U25" s="79">
        <v>2.6872338602547434E-8</v>
      </c>
      <c r="V25" s="80">
        <v>-1.4515708903051325E-4</v>
      </c>
      <c r="W25" s="77">
        <v>-2.6597089976567371E-7</v>
      </c>
      <c r="X25" s="78">
        <v>-1.4239018985363129E-4</v>
      </c>
      <c r="Y25" s="79">
        <v>3.6956112308970335E-8</v>
      </c>
      <c r="Z25" s="81">
        <v>-1.4225494062069071E-4</v>
      </c>
    </row>
    <row r="26" spans="1:31">
      <c r="A26" s="112"/>
      <c r="B26" s="84" t="s">
        <v>18</v>
      </c>
      <c r="C26" s="85">
        <v>1.2899999999999999E-3</v>
      </c>
      <c r="D26" s="86">
        <v>1</v>
      </c>
      <c r="E26" s="87">
        <v>2.029189E-2</v>
      </c>
      <c r="F26" s="88">
        <v>1</v>
      </c>
      <c r="G26" s="85">
        <v>2.334E-2</v>
      </c>
      <c r="H26" s="86">
        <v>1</v>
      </c>
      <c r="I26" s="87">
        <v>-1.52E-2</v>
      </c>
      <c r="J26" s="88">
        <v>0.99999999999999989</v>
      </c>
      <c r="K26" s="85">
        <v>1.099E-2</v>
      </c>
      <c r="L26" s="86">
        <v>1</v>
      </c>
      <c r="M26" s="87">
        <v>8.3999999999999995E-3</v>
      </c>
      <c r="N26" s="88">
        <v>1</v>
      </c>
      <c r="O26" s="85">
        <v>1.3089999999999999E-2</v>
      </c>
      <c r="P26" s="86">
        <v>1.0000000000000002</v>
      </c>
      <c r="Q26" s="87">
        <v>1.089E-2</v>
      </c>
      <c r="R26" s="88">
        <v>1</v>
      </c>
      <c r="S26" s="85">
        <v>1.6639999999999999E-2</v>
      </c>
      <c r="T26" s="86">
        <v>0.99999999999999967</v>
      </c>
      <c r="U26" s="87">
        <v>2.2699999999999999E-3</v>
      </c>
      <c r="V26" s="88">
        <v>1.0000000000000002</v>
      </c>
      <c r="W26" s="85">
        <v>1.8180000000000002E-2</v>
      </c>
      <c r="X26" s="86">
        <v>0.99999999999999978</v>
      </c>
      <c r="Y26" s="87">
        <v>8.4399999999999996E-3</v>
      </c>
      <c r="Z26" s="89">
        <v>1</v>
      </c>
    </row>
    <row r="27" spans="1:31">
      <c r="A27" s="112"/>
      <c r="B27" s="90" t="s">
        <v>24</v>
      </c>
      <c r="C27" s="91">
        <v>132.56</v>
      </c>
      <c r="D27" s="115"/>
      <c r="E27" s="92">
        <v>2083.4499999999998</v>
      </c>
      <c r="F27" s="115"/>
      <c r="G27" s="91">
        <v>2456.12</v>
      </c>
      <c r="H27" s="115"/>
      <c r="I27" s="92">
        <v>-1637.52</v>
      </c>
      <c r="J27" s="115"/>
      <c r="K27" s="91">
        <v>1174.0999999999999</v>
      </c>
      <c r="L27" s="115"/>
      <c r="M27" s="92">
        <v>915.92</v>
      </c>
      <c r="N27" s="115"/>
      <c r="O27" s="91">
        <v>1449.095</v>
      </c>
      <c r="P27" s="115"/>
      <c r="Q27" s="92">
        <v>1221.1600000000001</v>
      </c>
      <c r="R27" s="115"/>
      <c r="S27" s="91">
        <v>1900.4349999999999</v>
      </c>
      <c r="T27" s="115"/>
      <c r="U27" s="92">
        <v>264.52999999999997</v>
      </c>
      <c r="V27" s="115"/>
      <c r="W27" s="91">
        <v>2129.63</v>
      </c>
      <c r="X27" s="115"/>
      <c r="Y27" s="92">
        <v>1010.74</v>
      </c>
      <c r="Z27" s="93"/>
    </row>
    <row r="28" spans="1:31">
      <c r="A28" s="112"/>
      <c r="B28" s="116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94"/>
    </row>
    <row r="29" spans="1:31">
      <c r="A29" s="112"/>
      <c r="B29" s="76" t="s">
        <v>19</v>
      </c>
      <c r="C29" s="95">
        <v>-3.3816184739323226E-4</v>
      </c>
      <c r="D29" s="96">
        <v>0.67023198129452122</v>
      </c>
      <c r="E29" s="97">
        <v>1.2736586841527458E-2</v>
      </c>
      <c r="F29" s="98">
        <v>0.65896339567688389</v>
      </c>
      <c r="G29" s="95">
        <v>4.2797576538643693E-3</v>
      </c>
      <c r="H29" s="96">
        <v>0.66251511895522375</v>
      </c>
      <c r="I29" s="97">
        <v>-7.6205281476511939E-3</v>
      </c>
      <c r="J29" s="98">
        <v>0.65612627106781485</v>
      </c>
      <c r="K29" s="95">
        <v>-2.0149102702978292E-3</v>
      </c>
      <c r="L29" s="96">
        <v>0.65552577786844091</v>
      </c>
      <c r="M29" s="97">
        <v>-3.4641872775851238E-3</v>
      </c>
      <c r="N29" s="98">
        <v>0.64834974382335175</v>
      </c>
      <c r="O29" s="95">
        <v>7.4843368358843976E-3</v>
      </c>
      <c r="P29" s="96">
        <v>0.65025164270675195</v>
      </c>
      <c r="Q29" s="97">
        <v>1.1884792436404732E-2</v>
      </c>
      <c r="R29" s="98">
        <v>0.64598175868526486</v>
      </c>
      <c r="S29" s="95">
        <v>4.0919566934161057E-3</v>
      </c>
      <c r="T29" s="96">
        <v>0.65077734979907498</v>
      </c>
      <c r="U29" s="97">
        <v>1.0191573534996019E-2</v>
      </c>
      <c r="V29" s="98">
        <v>0.65659452920922179</v>
      </c>
      <c r="W29" s="95">
        <v>1.6215933859683937E-2</v>
      </c>
      <c r="X29" s="96">
        <v>0.66549052930094643</v>
      </c>
      <c r="Y29" s="97">
        <v>1.1923888923267742E-2</v>
      </c>
      <c r="Z29" s="99">
        <v>0.67777168206496263</v>
      </c>
    </row>
    <row r="30" spans="1:31">
      <c r="A30" s="112"/>
      <c r="B30" s="83" t="s">
        <v>20</v>
      </c>
      <c r="C30" s="77">
        <v>1.6281618473932293E-3</v>
      </c>
      <c r="D30" s="78">
        <v>0.32976801870547884</v>
      </c>
      <c r="E30" s="79">
        <v>7.5553031584725391E-3</v>
      </c>
      <c r="F30" s="80">
        <v>0.34103660432311611</v>
      </c>
      <c r="G30" s="77">
        <v>1.9060242346135632E-2</v>
      </c>
      <c r="H30" s="78">
        <v>0.33748488104477625</v>
      </c>
      <c r="I30" s="79">
        <v>-7.5794718523488061E-3</v>
      </c>
      <c r="J30" s="80">
        <v>0.3438737289321851</v>
      </c>
      <c r="K30" s="77">
        <v>1.3004910270297822E-2</v>
      </c>
      <c r="L30" s="78">
        <v>0.34447422213155904</v>
      </c>
      <c r="M30" s="79">
        <v>1.186418727758512E-2</v>
      </c>
      <c r="N30" s="80">
        <v>0.35165025617664825</v>
      </c>
      <c r="O30" s="77">
        <v>5.6073651034925457E-3</v>
      </c>
      <c r="P30" s="78">
        <v>0.34974835729324816</v>
      </c>
      <c r="Q30" s="79">
        <v>-9.9479243640473872E-4</v>
      </c>
      <c r="R30" s="80">
        <v>0.35401824131473508</v>
      </c>
      <c r="S30" s="77">
        <v>1.2548043306583901E-2</v>
      </c>
      <c r="T30" s="78">
        <v>0.34922265020092513</v>
      </c>
      <c r="U30" s="79">
        <v>-7.9215735349960209E-3</v>
      </c>
      <c r="V30" s="80">
        <v>0.34340547079077821</v>
      </c>
      <c r="W30" s="77">
        <v>1.9640661403160752E-3</v>
      </c>
      <c r="X30" s="78">
        <v>0.33450947069905368</v>
      </c>
      <c r="Y30" s="79">
        <v>-3.4838889232677436E-3</v>
      </c>
      <c r="Z30" s="81">
        <v>0.32222831793503737</v>
      </c>
    </row>
    <row r="31" spans="1:31">
      <c r="A31" s="112"/>
      <c r="B31" s="84" t="s">
        <v>18</v>
      </c>
      <c r="C31" s="85">
        <v>1.2899999999999999E-3</v>
      </c>
      <c r="D31" s="86">
        <v>1</v>
      </c>
      <c r="E31" s="87">
        <v>2.029189E-2</v>
      </c>
      <c r="F31" s="88">
        <v>1</v>
      </c>
      <c r="G31" s="85">
        <v>2.334E-2</v>
      </c>
      <c r="H31" s="86">
        <v>1</v>
      </c>
      <c r="I31" s="87">
        <v>-1.52E-2</v>
      </c>
      <c r="J31" s="88">
        <v>1</v>
      </c>
      <c r="K31" s="85">
        <v>1.099E-2</v>
      </c>
      <c r="L31" s="86">
        <v>1</v>
      </c>
      <c r="M31" s="87">
        <v>8.3999999999999995E-3</v>
      </c>
      <c r="N31" s="88">
        <v>1</v>
      </c>
      <c r="O31" s="85">
        <v>1.3089999999999999E-2</v>
      </c>
      <c r="P31" s="86">
        <v>1</v>
      </c>
      <c r="Q31" s="87">
        <v>1.089E-2</v>
      </c>
      <c r="R31" s="88">
        <v>1</v>
      </c>
      <c r="S31" s="85">
        <v>1.6639999999999999E-2</v>
      </c>
      <c r="T31" s="86">
        <v>1</v>
      </c>
      <c r="U31" s="87">
        <v>2.2699999999999999E-3</v>
      </c>
      <c r="V31" s="88">
        <v>1</v>
      </c>
      <c r="W31" s="85">
        <v>1.8180000000000002E-2</v>
      </c>
      <c r="X31" s="86">
        <v>1</v>
      </c>
      <c r="Y31" s="87">
        <v>8.4399999999999996E-3</v>
      </c>
      <c r="Z31" s="89">
        <v>1</v>
      </c>
    </row>
    <row r="32" spans="1:31">
      <c r="A32" s="112"/>
      <c r="B32" s="116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94"/>
    </row>
    <row r="33" spans="1:26">
      <c r="A33" s="112"/>
      <c r="B33" s="76" t="s">
        <v>21</v>
      </c>
      <c r="C33" s="95">
        <v>-5.0528817105488727E-4</v>
      </c>
      <c r="D33" s="96">
        <v>0.78473718096783152</v>
      </c>
      <c r="E33" s="97">
        <v>1.6905028962053013E-2</v>
      </c>
      <c r="F33" s="98">
        <v>0.7639180877817543</v>
      </c>
      <c r="G33" s="95">
        <v>2.0164765491340855E-2</v>
      </c>
      <c r="H33" s="96">
        <v>0.76707613252832796</v>
      </c>
      <c r="I33" s="97">
        <v>-1.3734114217598825E-2</v>
      </c>
      <c r="J33" s="98">
        <v>0.76117605463261451</v>
      </c>
      <c r="K33" s="95">
        <v>8.1668533053546287E-3</v>
      </c>
      <c r="L33" s="96">
        <v>0.76027540583212028</v>
      </c>
      <c r="M33" s="97">
        <v>6.602653077045678E-3</v>
      </c>
      <c r="N33" s="98">
        <v>0.75946987405945177</v>
      </c>
      <c r="O33" s="95">
        <v>1.1588497809400846E-2</v>
      </c>
      <c r="P33" s="96">
        <v>0.76044354510704637</v>
      </c>
      <c r="Q33" s="97">
        <v>8.0277135141277219E-3</v>
      </c>
      <c r="R33" s="98">
        <v>0.76163441229371365</v>
      </c>
      <c r="S33" s="95">
        <v>1.5839980128594423E-2</v>
      </c>
      <c r="T33" s="96">
        <v>0.75681660190483935</v>
      </c>
      <c r="U33" s="97">
        <v>1.5214337051686244E-3</v>
      </c>
      <c r="V33" s="98">
        <v>0.75703476446315299</v>
      </c>
      <c r="W33" s="95">
        <v>1.4089358242484478E-2</v>
      </c>
      <c r="X33" s="96">
        <v>0.76047580894744493</v>
      </c>
      <c r="Y33" s="97">
        <v>7.0553450034257607E-3</v>
      </c>
      <c r="Z33" s="99">
        <v>0.75960256178174679</v>
      </c>
    </row>
    <row r="34" spans="1:26">
      <c r="A34" s="112"/>
      <c r="B34" s="83" t="s">
        <v>22</v>
      </c>
      <c r="C34" s="77">
        <v>1.7952881710548911E-3</v>
      </c>
      <c r="D34" s="78">
        <v>0.21526281903216854</v>
      </c>
      <c r="E34" s="79">
        <v>3.3868610379469795E-3</v>
      </c>
      <c r="F34" s="80">
        <v>0.23608191221824579</v>
      </c>
      <c r="G34" s="77">
        <v>3.1752345086591464E-3</v>
      </c>
      <c r="H34" s="78">
        <v>0.23292386747167204</v>
      </c>
      <c r="I34" s="79">
        <v>-1.4658857824011739E-3</v>
      </c>
      <c r="J34" s="80">
        <v>0.23882394536738549</v>
      </c>
      <c r="K34" s="77">
        <v>2.8231466946453685E-3</v>
      </c>
      <c r="L34" s="78">
        <v>0.23972459416787972</v>
      </c>
      <c r="M34" s="79">
        <v>1.7973469229543161E-3</v>
      </c>
      <c r="N34" s="80">
        <v>0.24053012594054821</v>
      </c>
      <c r="O34" s="77">
        <v>1.5032041299760902E-3</v>
      </c>
      <c r="P34" s="78">
        <v>0.23955645489295369</v>
      </c>
      <c r="Q34" s="79">
        <v>2.8622864858722711E-3</v>
      </c>
      <c r="R34" s="80">
        <v>0.23836558770628635</v>
      </c>
      <c r="S34" s="77">
        <v>8.0001987140558117E-4</v>
      </c>
      <c r="T34" s="78">
        <v>0.24318339809516068</v>
      </c>
      <c r="U34" s="79">
        <v>7.4856629483137436E-4</v>
      </c>
      <c r="V34" s="80">
        <v>0.24296523553684704</v>
      </c>
      <c r="W34" s="77">
        <v>4.0906417575155268E-3</v>
      </c>
      <c r="X34" s="78">
        <v>0.23952419105255507</v>
      </c>
      <c r="Y34" s="79">
        <v>1.3846549965742386E-3</v>
      </c>
      <c r="Z34" s="81">
        <v>0.24039743821825316</v>
      </c>
    </row>
    <row r="35" spans="1:26">
      <c r="A35" s="112"/>
      <c r="B35" s="100" t="s">
        <v>18</v>
      </c>
      <c r="C35" s="101">
        <v>1.2899999999999999E-3</v>
      </c>
      <c r="D35" s="102">
        <v>1</v>
      </c>
      <c r="E35" s="103">
        <v>2.029189E-2</v>
      </c>
      <c r="F35" s="104">
        <v>1</v>
      </c>
      <c r="G35" s="101">
        <v>2.334E-2</v>
      </c>
      <c r="H35" s="102">
        <v>1</v>
      </c>
      <c r="I35" s="103">
        <v>-1.52E-2</v>
      </c>
      <c r="J35" s="104">
        <v>1</v>
      </c>
      <c r="K35" s="101">
        <v>1.099E-2</v>
      </c>
      <c r="L35" s="102">
        <v>1</v>
      </c>
      <c r="M35" s="103">
        <v>8.3999999999999995E-3</v>
      </c>
      <c r="N35" s="104">
        <v>1</v>
      </c>
      <c r="O35" s="101">
        <v>1.3089999999999999E-2</v>
      </c>
      <c r="P35" s="102">
        <v>1</v>
      </c>
      <c r="Q35" s="103">
        <v>1.089E-2</v>
      </c>
      <c r="R35" s="104">
        <v>1</v>
      </c>
      <c r="S35" s="101">
        <v>1.6639999999999999E-2</v>
      </c>
      <c r="T35" s="102">
        <v>1</v>
      </c>
      <c r="U35" s="103">
        <v>2.2699999999999999E-3</v>
      </c>
      <c r="V35" s="104">
        <v>1</v>
      </c>
      <c r="W35" s="101">
        <v>1.8180000000000002E-2</v>
      </c>
      <c r="X35" s="102">
        <v>1</v>
      </c>
      <c r="Y35" s="103">
        <v>8.4399999999999996E-3</v>
      </c>
      <c r="Z35" s="105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2"/>
      <c r="B37" s="70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5" t="s">
        <v>61</v>
      </c>
      <c r="K37" s="118" t="s">
        <v>1408</v>
      </c>
      <c r="L37" s="118" t="s">
        <v>1408</v>
      </c>
      <c r="M37" s="118" t="s">
        <v>1408</v>
      </c>
      <c r="N37" s="118" t="s">
        <v>1408</v>
      </c>
      <c r="O37" s="118" t="s">
        <v>1408</v>
      </c>
      <c r="P37" s="118" t="s">
        <v>1408</v>
      </c>
      <c r="Q37" s="118" t="s">
        <v>1408</v>
      </c>
      <c r="R37" s="118" t="s">
        <v>1408</v>
      </c>
      <c r="S37" s="118" t="s">
        <v>1408</v>
      </c>
      <c r="T37" s="118" t="s">
        <v>1408</v>
      </c>
      <c r="U37" s="118" t="s">
        <v>1408</v>
      </c>
      <c r="V37" s="118" t="s">
        <v>1408</v>
      </c>
      <c r="W37" s="118" t="s">
        <v>1408</v>
      </c>
      <c r="X37" s="118" t="s">
        <v>1408</v>
      </c>
      <c r="Y37" s="118" t="s">
        <v>1408</v>
      </c>
      <c r="Z37" s="33"/>
    </row>
    <row r="38" spans="1:26">
      <c r="A38" s="112"/>
      <c r="B38" s="76" t="s">
        <v>1</v>
      </c>
      <c r="C38" s="77">
        <v>2.56089832991177E-3</v>
      </c>
      <c r="D38" s="78">
        <v>0.13725908865171507</v>
      </c>
      <c r="E38" s="79">
        <v>5.3823297924225086E-3</v>
      </c>
      <c r="F38" s="80">
        <v>0.16135493243409121</v>
      </c>
      <c r="G38" s="77">
        <v>6.8275163205470616E-3</v>
      </c>
      <c r="H38" s="78">
        <v>0.16625313096391181</v>
      </c>
      <c r="I38" s="79">
        <v>7.2637531193311435E-3</v>
      </c>
      <c r="J38" s="81">
        <v>0.15976903059902453</v>
      </c>
      <c r="K38" s="118" t="s">
        <v>1408</v>
      </c>
      <c r="L38" s="118" t="s">
        <v>1408</v>
      </c>
      <c r="M38" s="118" t="s">
        <v>1408</v>
      </c>
      <c r="N38" s="118" t="s">
        <v>1408</v>
      </c>
      <c r="O38" s="118" t="s">
        <v>1408</v>
      </c>
      <c r="P38" s="118" t="s">
        <v>1408</v>
      </c>
      <c r="Q38" s="118" t="s">
        <v>1408</v>
      </c>
      <c r="R38" s="118" t="s">
        <v>1408</v>
      </c>
      <c r="S38" s="118" t="s">
        <v>1408</v>
      </c>
      <c r="T38" s="118" t="s">
        <v>1408</v>
      </c>
      <c r="U38" s="118" t="s">
        <v>1408</v>
      </c>
      <c r="V38" s="118" t="s">
        <v>1408</v>
      </c>
      <c r="W38" s="118" t="s">
        <v>1408</v>
      </c>
      <c r="X38" s="118" t="s">
        <v>1408</v>
      </c>
      <c r="Y38" s="118" t="s">
        <v>1408</v>
      </c>
      <c r="Z38" s="33"/>
    </row>
    <row r="39" spans="1:26" ht="30">
      <c r="A39" s="112"/>
      <c r="B39" s="82" t="s">
        <v>908</v>
      </c>
      <c r="C39" s="77">
        <v>-9.122257723327736E-4</v>
      </c>
      <c r="D39" s="78">
        <v>0.13115773320131283</v>
      </c>
      <c r="E39" s="79">
        <v>-3.7355784662985092E-3</v>
      </c>
      <c r="F39" s="80">
        <v>0.1215976920142204</v>
      </c>
      <c r="G39" s="77">
        <v>-7.0352187879022107E-4</v>
      </c>
      <c r="H39" s="78">
        <v>0.12065050508741194</v>
      </c>
      <c r="I39" s="79">
        <v>2.2182979643497829E-3</v>
      </c>
      <c r="J39" s="81">
        <v>0.12166105920875479</v>
      </c>
      <c r="K39" s="118" t="s">
        <v>1408</v>
      </c>
      <c r="L39" s="118" t="s">
        <v>1408</v>
      </c>
      <c r="M39" s="118" t="s">
        <v>1408</v>
      </c>
      <c r="N39" s="118" t="s">
        <v>1408</v>
      </c>
      <c r="O39" s="118" t="s">
        <v>1408</v>
      </c>
      <c r="P39" s="118" t="s">
        <v>1408</v>
      </c>
      <c r="Q39" s="118" t="s">
        <v>1408</v>
      </c>
      <c r="R39" s="118" t="s">
        <v>1408</v>
      </c>
      <c r="S39" s="118" t="s">
        <v>1408</v>
      </c>
      <c r="T39" s="118" t="s">
        <v>1408</v>
      </c>
      <c r="U39" s="118" t="s">
        <v>1408</v>
      </c>
      <c r="V39" s="118" t="s">
        <v>1408</v>
      </c>
      <c r="W39" s="118" t="s">
        <v>1408</v>
      </c>
      <c r="X39" s="118" t="s">
        <v>1408</v>
      </c>
      <c r="Y39" s="118" t="s">
        <v>1408</v>
      </c>
      <c r="Z39" s="33"/>
    </row>
    <row r="40" spans="1:26">
      <c r="A40" s="112"/>
      <c r="B40" s="83" t="s">
        <v>2</v>
      </c>
      <c r="C40" s="77">
        <v>0</v>
      </c>
      <c r="D40" s="78">
        <v>0</v>
      </c>
      <c r="E40" s="79">
        <v>0</v>
      </c>
      <c r="F40" s="80">
        <v>0</v>
      </c>
      <c r="G40" s="77">
        <v>0</v>
      </c>
      <c r="H40" s="78">
        <v>0</v>
      </c>
      <c r="I40" s="79">
        <v>0</v>
      </c>
      <c r="J40" s="81">
        <v>0</v>
      </c>
      <c r="K40" s="118" t="s">
        <v>1408</v>
      </c>
      <c r="L40" s="118" t="s">
        <v>1408</v>
      </c>
      <c r="M40" s="118" t="s">
        <v>1408</v>
      </c>
      <c r="N40" s="118" t="s">
        <v>1408</v>
      </c>
      <c r="O40" s="118" t="s">
        <v>1408</v>
      </c>
      <c r="P40" s="118" t="s">
        <v>1408</v>
      </c>
      <c r="Q40" s="118" t="s">
        <v>1408</v>
      </c>
      <c r="R40" s="118" t="s">
        <v>1408</v>
      </c>
      <c r="S40" s="118" t="s">
        <v>1408</v>
      </c>
      <c r="T40" s="118" t="s">
        <v>1408</v>
      </c>
      <c r="U40" s="118" t="s">
        <v>1408</v>
      </c>
      <c r="V40" s="118" t="s">
        <v>1408</v>
      </c>
      <c r="W40" s="118" t="s">
        <v>1408</v>
      </c>
      <c r="X40" s="118" t="s">
        <v>1408</v>
      </c>
      <c r="Y40" s="118" t="s">
        <v>1408</v>
      </c>
      <c r="Z40" s="33"/>
    </row>
    <row r="41" spans="1:26">
      <c r="A41" s="112"/>
      <c r="B41" s="83" t="s">
        <v>3</v>
      </c>
      <c r="C41" s="77">
        <v>9.7193607872066841E-8</v>
      </c>
      <c r="D41" s="78">
        <v>1.13342630011116E-3</v>
      </c>
      <c r="E41" s="79">
        <v>-5.9069657324274197E-6</v>
      </c>
      <c r="F41" s="80">
        <v>1.1370310551829708E-3</v>
      </c>
      <c r="G41" s="77">
        <v>8.1831936139682628E-5</v>
      </c>
      <c r="H41" s="78">
        <v>1.0877761935995799E-3</v>
      </c>
      <c r="I41" s="79">
        <v>8.0639783677619216E-5</v>
      </c>
      <c r="J41" s="81">
        <v>1.0237071576199347E-3</v>
      </c>
      <c r="K41" s="118" t="s">
        <v>1408</v>
      </c>
      <c r="L41" s="118" t="s">
        <v>1408</v>
      </c>
      <c r="M41" s="118" t="s">
        <v>1408</v>
      </c>
      <c r="N41" s="118" t="s">
        <v>1408</v>
      </c>
      <c r="O41" s="118" t="s">
        <v>1408</v>
      </c>
      <c r="P41" s="118" t="s">
        <v>1408</v>
      </c>
      <c r="Q41" s="118" t="s">
        <v>1408</v>
      </c>
      <c r="R41" s="118" t="s">
        <v>1408</v>
      </c>
      <c r="S41" s="118" t="s">
        <v>1408</v>
      </c>
      <c r="T41" s="118" t="s">
        <v>1408</v>
      </c>
      <c r="U41" s="118" t="s">
        <v>1408</v>
      </c>
      <c r="V41" s="118" t="s">
        <v>1408</v>
      </c>
      <c r="W41" s="118" t="s">
        <v>1408</v>
      </c>
      <c r="X41" s="118" t="s">
        <v>1408</v>
      </c>
      <c r="Y41" s="118" t="s">
        <v>1408</v>
      </c>
      <c r="Z41" s="33"/>
    </row>
    <row r="42" spans="1:26">
      <c r="A42" s="112"/>
      <c r="B42" s="83" t="s">
        <v>4</v>
      </c>
      <c r="C42" s="77">
        <v>4.3050541409284885E-3</v>
      </c>
      <c r="D42" s="78">
        <v>0.19582419946400212</v>
      </c>
      <c r="E42" s="79">
        <v>5.0746792090800678E-3</v>
      </c>
      <c r="F42" s="80">
        <v>0.18796077975691008</v>
      </c>
      <c r="G42" s="77">
        <v>1.1555551887865457E-2</v>
      </c>
      <c r="H42" s="78">
        <v>0.17886527837883706</v>
      </c>
      <c r="I42" s="79">
        <v>1.4576716857122947E-2</v>
      </c>
      <c r="J42" s="81">
        <v>0.17355525559075027</v>
      </c>
      <c r="K42" s="118" t="s">
        <v>1408</v>
      </c>
      <c r="L42" s="118" t="s">
        <v>1408</v>
      </c>
      <c r="M42" s="118" t="s">
        <v>1408</v>
      </c>
      <c r="N42" s="118" t="s">
        <v>1408</v>
      </c>
      <c r="O42" s="118" t="s">
        <v>1408</v>
      </c>
      <c r="P42" s="118" t="s">
        <v>1408</v>
      </c>
      <c r="Q42" s="118" t="s">
        <v>1408</v>
      </c>
      <c r="R42" s="118" t="s">
        <v>1408</v>
      </c>
      <c r="S42" s="118" t="s">
        <v>1408</v>
      </c>
      <c r="T42" s="118" t="s">
        <v>1408</v>
      </c>
      <c r="U42" s="118" t="s">
        <v>1408</v>
      </c>
      <c r="V42" s="118" t="s">
        <v>1408</v>
      </c>
      <c r="W42" s="118" t="s">
        <v>1408</v>
      </c>
      <c r="X42" s="118" t="s">
        <v>1408</v>
      </c>
      <c r="Y42" s="118" t="s">
        <v>1408</v>
      </c>
      <c r="Z42" s="33"/>
    </row>
    <row r="43" spans="1:26">
      <c r="A43" s="112"/>
      <c r="B43" s="83" t="s">
        <v>5</v>
      </c>
      <c r="C43" s="77">
        <v>3.3016964673617867E-4</v>
      </c>
      <c r="D43" s="78">
        <v>1.0031773202346847E-2</v>
      </c>
      <c r="E43" s="79">
        <v>3.3621607862831688E-4</v>
      </c>
      <c r="F43" s="80">
        <v>1.0744463684503307E-2</v>
      </c>
      <c r="G43" s="77">
        <v>6.5119328075735486E-4</v>
      </c>
      <c r="H43" s="78">
        <v>1.0300106326942064E-2</v>
      </c>
      <c r="I43" s="79">
        <v>8.9481752881067755E-4</v>
      </c>
      <c r="J43" s="81">
        <v>1.0620738918175639E-2</v>
      </c>
      <c r="K43" s="118" t="s">
        <v>1408</v>
      </c>
      <c r="L43" s="118" t="s">
        <v>1408</v>
      </c>
      <c r="M43" s="118" t="s">
        <v>1408</v>
      </c>
      <c r="N43" s="118" t="s">
        <v>1408</v>
      </c>
      <c r="O43" s="118" t="s">
        <v>1408</v>
      </c>
      <c r="P43" s="118" t="s">
        <v>1408</v>
      </c>
      <c r="Q43" s="118" t="s">
        <v>1408</v>
      </c>
      <c r="R43" s="118" t="s">
        <v>1408</v>
      </c>
      <c r="S43" s="118" t="s">
        <v>1408</v>
      </c>
      <c r="T43" s="118" t="s">
        <v>1408</v>
      </c>
      <c r="U43" s="118" t="s">
        <v>1408</v>
      </c>
      <c r="V43" s="118" t="s">
        <v>1408</v>
      </c>
      <c r="W43" s="118" t="s">
        <v>1408</v>
      </c>
      <c r="X43" s="118" t="s">
        <v>1408</v>
      </c>
      <c r="Y43" s="118" t="s">
        <v>1408</v>
      </c>
      <c r="Z43" s="33"/>
    </row>
    <row r="44" spans="1:26">
      <c r="A44" s="112"/>
      <c r="B44" s="83" t="s">
        <v>6</v>
      </c>
      <c r="C44" s="77">
        <v>1.2988981457627695E-2</v>
      </c>
      <c r="D44" s="78">
        <v>0.18150044847769944</v>
      </c>
      <c r="E44" s="79">
        <v>8.9287143102057872E-3</v>
      </c>
      <c r="F44" s="80">
        <v>0.15917703162795557</v>
      </c>
      <c r="G44" s="77">
        <v>1.9244064618849081E-2</v>
      </c>
      <c r="H44" s="78">
        <v>0.15240450932294058</v>
      </c>
      <c r="I44" s="79">
        <v>4.0285323198313773E-2</v>
      </c>
      <c r="J44" s="81">
        <v>0.16567734232935566</v>
      </c>
      <c r="K44" s="118" t="s">
        <v>1408</v>
      </c>
      <c r="L44" s="118" t="s">
        <v>1408</v>
      </c>
      <c r="M44" s="118" t="s">
        <v>1408</v>
      </c>
      <c r="N44" s="118" t="s">
        <v>1408</v>
      </c>
      <c r="O44" s="118" t="s">
        <v>1408</v>
      </c>
      <c r="P44" s="118" t="s">
        <v>1408</v>
      </c>
      <c r="Q44" s="118" t="s">
        <v>1408</v>
      </c>
      <c r="R44" s="118" t="s">
        <v>1408</v>
      </c>
      <c r="S44" s="118" t="s">
        <v>1408</v>
      </c>
      <c r="T44" s="118" t="s">
        <v>1408</v>
      </c>
      <c r="U44" s="118" t="s">
        <v>1408</v>
      </c>
      <c r="V44" s="118" t="s">
        <v>1408</v>
      </c>
      <c r="W44" s="118" t="s">
        <v>1408</v>
      </c>
      <c r="X44" s="118" t="s">
        <v>1408</v>
      </c>
      <c r="Y44" s="118" t="s">
        <v>1408</v>
      </c>
      <c r="Z44" s="33"/>
    </row>
    <row r="45" spans="1:26">
      <c r="A45" s="112"/>
      <c r="B45" s="83" t="s">
        <v>62</v>
      </c>
      <c r="C45" s="77">
        <v>8.7229755507393248E-3</v>
      </c>
      <c r="D45" s="78">
        <v>0.12659904125206989</v>
      </c>
      <c r="E45" s="79">
        <v>9.5165492729925374E-3</v>
      </c>
      <c r="F45" s="80">
        <v>0.13541613879872996</v>
      </c>
      <c r="G45" s="77">
        <v>1.9305542043842959E-2</v>
      </c>
      <c r="H45" s="78">
        <v>0.14895991367597047</v>
      </c>
      <c r="I45" s="79">
        <v>1.6941860724334141E-2</v>
      </c>
      <c r="J45" s="81">
        <v>0.14483653764259341</v>
      </c>
      <c r="K45" s="118" t="s">
        <v>1408</v>
      </c>
      <c r="L45" s="118" t="s">
        <v>1408</v>
      </c>
      <c r="M45" s="118" t="s">
        <v>1408</v>
      </c>
      <c r="N45" s="118" t="s">
        <v>1408</v>
      </c>
      <c r="O45" s="118" t="s">
        <v>1408</v>
      </c>
      <c r="P45" s="118" t="s">
        <v>1408</v>
      </c>
      <c r="Q45" s="118" t="s">
        <v>1408</v>
      </c>
      <c r="R45" s="118" t="s">
        <v>1408</v>
      </c>
      <c r="S45" s="118" t="s">
        <v>1408</v>
      </c>
      <c r="T45" s="118" t="s">
        <v>1408</v>
      </c>
      <c r="U45" s="118" t="s">
        <v>1408</v>
      </c>
      <c r="V45" s="118" t="s">
        <v>1408</v>
      </c>
      <c r="W45" s="118" t="s">
        <v>1408</v>
      </c>
      <c r="X45" s="118" t="s">
        <v>1408</v>
      </c>
      <c r="Y45" s="118" t="s">
        <v>1408</v>
      </c>
      <c r="Z45" s="33"/>
    </row>
    <row r="46" spans="1:26">
      <c r="A46" s="112"/>
      <c r="B46" s="83" t="s">
        <v>7</v>
      </c>
      <c r="C46" s="77">
        <v>2.1879552764318737E-4</v>
      </c>
      <c r="D46" s="78">
        <v>8.1176228352051322E-3</v>
      </c>
      <c r="E46" s="79">
        <v>8.437309525498876E-4</v>
      </c>
      <c r="F46" s="80">
        <v>8.6081319907125465E-3</v>
      </c>
      <c r="G46" s="77">
        <v>1.2374741736266141E-3</v>
      </c>
      <c r="H46" s="78">
        <v>8.4273995201918882E-3</v>
      </c>
      <c r="I46" s="79">
        <v>9.5582812949958709E-4</v>
      </c>
      <c r="J46" s="81">
        <v>7.4606757759212682E-3</v>
      </c>
      <c r="K46" s="118" t="s">
        <v>1408</v>
      </c>
      <c r="L46" s="118" t="s">
        <v>1408</v>
      </c>
      <c r="M46" s="118" t="s">
        <v>1408</v>
      </c>
      <c r="N46" s="118" t="s">
        <v>1408</v>
      </c>
      <c r="O46" s="118" t="s">
        <v>1408</v>
      </c>
      <c r="P46" s="118" t="s">
        <v>1408</v>
      </c>
      <c r="Q46" s="118" t="s">
        <v>1408</v>
      </c>
      <c r="R46" s="118" t="s">
        <v>1408</v>
      </c>
      <c r="S46" s="118" t="s">
        <v>1408</v>
      </c>
      <c r="T46" s="118" t="s">
        <v>1408</v>
      </c>
      <c r="U46" s="118" t="s">
        <v>1408</v>
      </c>
      <c r="V46" s="118" t="s">
        <v>1408</v>
      </c>
      <c r="W46" s="118" t="s">
        <v>1408</v>
      </c>
      <c r="X46" s="118" t="s">
        <v>1408</v>
      </c>
      <c r="Y46" s="118" t="s">
        <v>1408</v>
      </c>
      <c r="Z46" s="33"/>
    </row>
    <row r="47" spans="1:26">
      <c r="A47" s="112"/>
      <c r="B47" s="83" t="s">
        <v>8</v>
      </c>
      <c r="C47" s="77">
        <v>3.7792845728329108E-3</v>
      </c>
      <c r="D47" s="78">
        <v>9.5793794454236109E-2</v>
      </c>
      <c r="E47" s="79">
        <v>7.7955621251185638E-3</v>
      </c>
      <c r="F47" s="80">
        <v>0.10723836290398227</v>
      </c>
      <c r="G47" s="77">
        <v>1.0648400396836972E-2</v>
      </c>
      <c r="H47" s="78">
        <v>0.11065461279538708</v>
      </c>
      <c r="I47" s="79">
        <v>8.6319479479510224E-3</v>
      </c>
      <c r="J47" s="81">
        <v>0.10488070292468575</v>
      </c>
      <c r="K47" s="118" t="s">
        <v>1408</v>
      </c>
      <c r="L47" s="118" t="s">
        <v>1408</v>
      </c>
      <c r="M47" s="118" t="s">
        <v>1408</v>
      </c>
      <c r="N47" s="118" t="s">
        <v>1408</v>
      </c>
      <c r="O47" s="118" t="s">
        <v>1408</v>
      </c>
      <c r="P47" s="118" t="s">
        <v>1408</v>
      </c>
      <c r="Q47" s="118" t="s">
        <v>1408</v>
      </c>
      <c r="R47" s="118" t="s">
        <v>1408</v>
      </c>
      <c r="S47" s="118" t="s">
        <v>1408</v>
      </c>
      <c r="T47" s="118" t="s">
        <v>1408</v>
      </c>
      <c r="U47" s="118" t="s">
        <v>1408</v>
      </c>
      <c r="V47" s="118" t="s">
        <v>1408</v>
      </c>
      <c r="W47" s="118" t="s">
        <v>1408</v>
      </c>
      <c r="X47" s="118" t="s">
        <v>1408</v>
      </c>
      <c r="Y47" s="118" t="s">
        <v>1408</v>
      </c>
      <c r="Z47" s="33"/>
    </row>
    <row r="48" spans="1:26">
      <c r="A48" s="112"/>
      <c r="B48" s="83" t="s">
        <v>9</v>
      </c>
      <c r="C48" s="77">
        <v>1.3948833043428034E-4</v>
      </c>
      <c r="D48" s="78">
        <v>9.0220125403875747E-5</v>
      </c>
      <c r="E48" s="79">
        <v>2.7392541524731906E-4</v>
      </c>
      <c r="F48" s="80">
        <v>2.1847830345288622E-4</v>
      </c>
      <c r="G48" s="77">
        <v>2.9533799469635979E-4</v>
      </c>
      <c r="H48" s="78">
        <v>2.2349736598958355E-4</v>
      </c>
      <c r="I48" s="79">
        <v>3.9130731650270368E-4</v>
      </c>
      <c r="J48" s="81">
        <v>2.8683553314592697E-4</v>
      </c>
      <c r="K48" s="118" t="s">
        <v>1408</v>
      </c>
      <c r="L48" s="118" t="s">
        <v>1408</v>
      </c>
      <c r="M48" s="118" t="s">
        <v>1408</v>
      </c>
      <c r="N48" s="118" t="s">
        <v>1408</v>
      </c>
      <c r="O48" s="118" t="s">
        <v>1408</v>
      </c>
      <c r="P48" s="118" t="s">
        <v>1408</v>
      </c>
      <c r="Q48" s="118" t="s">
        <v>1408</v>
      </c>
      <c r="R48" s="118" t="s">
        <v>1408</v>
      </c>
      <c r="S48" s="118" t="s">
        <v>1408</v>
      </c>
      <c r="T48" s="118" t="s">
        <v>1408</v>
      </c>
      <c r="U48" s="118" t="s">
        <v>1408</v>
      </c>
      <c r="V48" s="118" t="s">
        <v>1408</v>
      </c>
      <c r="W48" s="118" t="s">
        <v>1408</v>
      </c>
      <c r="X48" s="118" t="s">
        <v>1408</v>
      </c>
      <c r="Y48" s="118" t="s">
        <v>1408</v>
      </c>
      <c r="Z48" s="33"/>
    </row>
    <row r="49" spans="1:26">
      <c r="A49" s="112"/>
      <c r="B49" s="83" t="s">
        <v>10</v>
      </c>
      <c r="C49" s="77">
        <v>1.0442165604737052E-2</v>
      </c>
      <c r="D49" s="78">
        <v>8.9977592764781573E-3</v>
      </c>
      <c r="E49" s="79">
        <v>1.0716147176456421E-2</v>
      </c>
      <c r="F49" s="80">
        <v>1.421613137873233E-3</v>
      </c>
      <c r="G49" s="77">
        <v>1.6216194700954895E-2</v>
      </c>
      <c r="H49" s="78">
        <v>-2.4697681512242044E-3</v>
      </c>
      <c r="I49" s="79">
        <v>2.3082073603872509E-2</v>
      </c>
      <c r="J49" s="81">
        <v>8.705329252139701E-3</v>
      </c>
      <c r="K49" s="118" t="s">
        <v>1408</v>
      </c>
      <c r="L49" s="118" t="s">
        <v>1408</v>
      </c>
      <c r="M49" s="118" t="s">
        <v>1408</v>
      </c>
      <c r="N49" s="118" t="s">
        <v>1408</v>
      </c>
      <c r="O49" s="118" t="s">
        <v>1408</v>
      </c>
      <c r="P49" s="118" t="s">
        <v>1408</v>
      </c>
      <c r="Q49" s="118" t="s">
        <v>1408</v>
      </c>
      <c r="R49" s="118" t="s">
        <v>1408</v>
      </c>
      <c r="S49" s="118" t="s">
        <v>1408</v>
      </c>
      <c r="T49" s="118" t="s">
        <v>1408</v>
      </c>
      <c r="U49" s="118" t="s">
        <v>1408</v>
      </c>
      <c r="V49" s="118" t="s">
        <v>1408</v>
      </c>
      <c r="W49" s="118" t="s">
        <v>1408</v>
      </c>
      <c r="X49" s="118" t="s">
        <v>1408</v>
      </c>
      <c r="Y49" s="118" t="s">
        <v>1408</v>
      </c>
      <c r="Z49" s="33"/>
    </row>
    <row r="50" spans="1:26">
      <c r="A50" s="112"/>
      <c r="B50" s="83" t="s">
        <v>11</v>
      </c>
      <c r="C50" s="77">
        <v>-1.4487184002266563E-4</v>
      </c>
      <c r="D50" s="78">
        <v>3.3123330279857837E-4</v>
      </c>
      <c r="E50" s="79">
        <v>-1.8677998302071673E-4</v>
      </c>
      <c r="F50" s="80">
        <v>2.203865840952784E-4</v>
      </c>
      <c r="G50" s="77">
        <v>3.5265961893417037E-4</v>
      </c>
      <c r="H50" s="78">
        <v>2.2996389929515044E-4</v>
      </c>
      <c r="I50" s="79">
        <v>6.5693523852205702E-4</v>
      </c>
      <c r="J50" s="81">
        <v>2.4909866149192477E-4</v>
      </c>
      <c r="K50" s="118" t="s">
        <v>1408</v>
      </c>
      <c r="L50" s="118" t="s">
        <v>1408</v>
      </c>
      <c r="M50" s="118" t="s">
        <v>1408</v>
      </c>
      <c r="N50" s="118" t="s">
        <v>1408</v>
      </c>
      <c r="O50" s="118" t="s">
        <v>1408</v>
      </c>
      <c r="P50" s="118" t="s">
        <v>1408</v>
      </c>
      <c r="Q50" s="118" t="s">
        <v>1408</v>
      </c>
      <c r="R50" s="118" t="s">
        <v>1408</v>
      </c>
      <c r="S50" s="118" t="s">
        <v>1408</v>
      </c>
      <c r="T50" s="118" t="s">
        <v>1408</v>
      </c>
      <c r="U50" s="118" t="s">
        <v>1408</v>
      </c>
      <c r="V50" s="118" t="s">
        <v>1408</v>
      </c>
      <c r="W50" s="118" t="s">
        <v>1408</v>
      </c>
      <c r="X50" s="118" t="s">
        <v>1408</v>
      </c>
      <c r="Y50" s="118" t="s">
        <v>1408</v>
      </c>
      <c r="Z50" s="33"/>
    </row>
    <row r="51" spans="1:26">
      <c r="A51" s="112"/>
      <c r="B51" s="83" t="s">
        <v>12</v>
      </c>
      <c r="C51" s="77">
        <v>0</v>
      </c>
      <c r="D51" s="78">
        <v>0</v>
      </c>
      <c r="E51" s="79">
        <v>0</v>
      </c>
      <c r="F51" s="80">
        <v>0</v>
      </c>
      <c r="G51" s="77">
        <v>1.0922144568722336E-5</v>
      </c>
      <c r="H51" s="78">
        <v>2.1589112114044241E-4</v>
      </c>
      <c r="I51" s="79">
        <v>-8.1297097819257424E-8</v>
      </c>
      <c r="J51" s="81">
        <v>2.0805699414800752E-4</v>
      </c>
      <c r="K51" s="118" t="s">
        <v>1408</v>
      </c>
      <c r="L51" s="118" t="s">
        <v>1408</v>
      </c>
      <c r="M51" s="118" t="s">
        <v>1408</v>
      </c>
      <c r="N51" s="118" t="s">
        <v>1408</v>
      </c>
      <c r="O51" s="118" t="s">
        <v>1408</v>
      </c>
      <c r="P51" s="118" t="s">
        <v>1408</v>
      </c>
      <c r="Q51" s="118" t="s">
        <v>1408</v>
      </c>
      <c r="R51" s="118" t="s">
        <v>1408</v>
      </c>
      <c r="S51" s="118" t="s">
        <v>1408</v>
      </c>
      <c r="T51" s="118" t="s">
        <v>1408</v>
      </c>
      <c r="U51" s="118" t="s">
        <v>1408</v>
      </c>
      <c r="V51" s="118" t="s">
        <v>1408</v>
      </c>
      <c r="W51" s="118" t="s">
        <v>1408</v>
      </c>
      <c r="X51" s="118" t="s">
        <v>1408</v>
      </c>
      <c r="Y51" s="118" t="s">
        <v>1408</v>
      </c>
      <c r="Z51" s="33"/>
    </row>
    <row r="52" spans="1:26">
      <c r="A52" s="112"/>
      <c r="B52" s="83" t="s">
        <v>13</v>
      </c>
      <c r="C52" s="77">
        <v>2.9552827128901189E-3</v>
      </c>
      <c r="D52" s="78">
        <v>9.7204554531030704E-2</v>
      </c>
      <c r="E52" s="79">
        <v>4.433163962089386E-3</v>
      </c>
      <c r="F52" s="80">
        <v>9.7871933984178316E-2</v>
      </c>
      <c r="G52" s="77">
        <v>6.8772108578527159E-3</v>
      </c>
      <c r="H52" s="78">
        <v>9.6949163409241979E-2</v>
      </c>
      <c r="I52" s="79">
        <v>8.4102432338595701E-3</v>
      </c>
      <c r="J52" s="81">
        <v>9.4005562921568309E-2</v>
      </c>
      <c r="K52" s="118" t="s">
        <v>1408</v>
      </c>
      <c r="L52" s="118" t="s">
        <v>1408</v>
      </c>
      <c r="M52" s="118" t="s">
        <v>1408</v>
      </c>
      <c r="N52" s="118" t="s">
        <v>1408</v>
      </c>
      <c r="O52" s="118" t="s">
        <v>1408</v>
      </c>
      <c r="P52" s="118" t="s">
        <v>1408</v>
      </c>
      <c r="Q52" s="118" t="s">
        <v>1408</v>
      </c>
      <c r="R52" s="118" t="s">
        <v>1408</v>
      </c>
      <c r="S52" s="118" t="s">
        <v>1408</v>
      </c>
      <c r="T52" s="118" t="s">
        <v>1408</v>
      </c>
      <c r="U52" s="118" t="s">
        <v>1408</v>
      </c>
      <c r="V52" s="118" t="s">
        <v>1408</v>
      </c>
      <c r="W52" s="118" t="s">
        <v>1408</v>
      </c>
      <c r="X52" s="118" t="s">
        <v>1408</v>
      </c>
      <c r="Y52" s="118" t="s">
        <v>1408</v>
      </c>
      <c r="Z52" s="33"/>
    </row>
    <row r="53" spans="1:26">
      <c r="A53" s="112"/>
      <c r="B53" s="83" t="s">
        <v>14</v>
      </c>
      <c r="C53" s="77">
        <v>0</v>
      </c>
      <c r="D53" s="78">
        <v>0</v>
      </c>
      <c r="E53" s="79">
        <v>0</v>
      </c>
      <c r="F53" s="80">
        <v>0</v>
      </c>
      <c r="G53" s="77">
        <v>0</v>
      </c>
      <c r="H53" s="78">
        <v>0</v>
      </c>
      <c r="I53" s="79">
        <v>0</v>
      </c>
      <c r="J53" s="81">
        <v>0</v>
      </c>
      <c r="K53" s="118" t="s">
        <v>1408</v>
      </c>
      <c r="L53" s="118" t="s">
        <v>1408</v>
      </c>
      <c r="M53" s="118" t="s">
        <v>1408</v>
      </c>
      <c r="N53" s="118" t="s">
        <v>1408</v>
      </c>
      <c r="O53" s="118" t="s">
        <v>1408</v>
      </c>
      <c r="P53" s="118" t="s">
        <v>1408</v>
      </c>
      <c r="Q53" s="118" t="s">
        <v>1408</v>
      </c>
      <c r="R53" s="118" t="s">
        <v>1408</v>
      </c>
      <c r="S53" s="118" t="s">
        <v>1408</v>
      </c>
      <c r="T53" s="118" t="s">
        <v>1408</v>
      </c>
      <c r="U53" s="118" t="s">
        <v>1408</v>
      </c>
      <c r="V53" s="118" t="s">
        <v>1408</v>
      </c>
      <c r="W53" s="118" t="s">
        <v>1408</v>
      </c>
      <c r="X53" s="118" t="s">
        <v>1408</v>
      </c>
      <c r="Y53" s="118" t="s">
        <v>1408</v>
      </c>
      <c r="Z53" s="33"/>
    </row>
    <row r="54" spans="1:26">
      <c r="A54" s="112"/>
      <c r="B54" s="83" t="s">
        <v>15</v>
      </c>
      <c r="C54" s="77">
        <v>0</v>
      </c>
      <c r="D54" s="78">
        <v>0</v>
      </c>
      <c r="E54" s="79">
        <v>0</v>
      </c>
      <c r="F54" s="80">
        <v>0</v>
      </c>
      <c r="G54" s="77">
        <v>0</v>
      </c>
      <c r="H54" s="78">
        <v>0</v>
      </c>
      <c r="I54" s="79">
        <v>0</v>
      </c>
      <c r="J54" s="81">
        <v>0</v>
      </c>
      <c r="K54" s="118" t="s">
        <v>1408</v>
      </c>
      <c r="L54" s="118" t="s">
        <v>1408</v>
      </c>
      <c r="M54" s="118" t="s">
        <v>1408</v>
      </c>
      <c r="N54" s="118" t="s">
        <v>1408</v>
      </c>
      <c r="O54" s="118" t="s">
        <v>1408</v>
      </c>
      <c r="P54" s="118" t="s">
        <v>1408</v>
      </c>
      <c r="Q54" s="118" t="s">
        <v>1408</v>
      </c>
      <c r="R54" s="118" t="s">
        <v>1408</v>
      </c>
      <c r="S54" s="118" t="s">
        <v>1408</v>
      </c>
      <c r="T54" s="118" t="s">
        <v>1408</v>
      </c>
      <c r="U54" s="118" t="s">
        <v>1408</v>
      </c>
      <c r="V54" s="118" t="s">
        <v>1408</v>
      </c>
      <c r="W54" s="118" t="s">
        <v>1408</v>
      </c>
      <c r="X54" s="118" t="s">
        <v>1408</v>
      </c>
      <c r="Y54" s="118" t="s">
        <v>1408</v>
      </c>
      <c r="Z54" s="33"/>
    </row>
    <row r="55" spans="1:26">
      <c r="A55" s="112"/>
      <c r="B55" s="83" t="s">
        <v>16</v>
      </c>
      <c r="C55" s="77">
        <v>5.8336699865019655E-5</v>
      </c>
      <c r="D55" s="78">
        <v>5.8804130638932528E-3</v>
      </c>
      <c r="E55" s="79">
        <v>2.3375090442480864E-4</v>
      </c>
      <c r="F55" s="80">
        <v>7.1297036285408837E-3</v>
      </c>
      <c r="G55" s="77">
        <v>2.1262851372402894E-4</v>
      </c>
      <c r="H55" s="78">
        <v>7.3989673562571585E-3</v>
      </c>
      <c r="I55" s="79">
        <v>2.2924398930154513E-4</v>
      </c>
      <c r="J55" s="81">
        <v>7.2023214312454805E-3</v>
      </c>
      <c r="K55" s="118" t="s">
        <v>1408</v>
      </c>
      <c r="L55" s="118" t="s">
        <v>1408</v>
      </c>
      <c r="M55" s="118" t="s">
        <v>1408</v>
      </c>
      <c r="N55" s="118" t="s">
        <v>1408</v>
      </c>
      <c r="O55" s="118" t="s">
        <v>1408</v>
      </c>
      <c r="P55" s="118" t="s">
        <v>1408</v>
      </c>
      <c r="Q55" s="118" t="s">
        <v>1408</v>
      </c>
      <c r="R55" s="118" t="s">
        <v>1408</v>
      </c>
      <c r="S55" s="118" t="s">
        <v>1408</v>
      </c>
      <c r="T55" s="118" t="s">
        <v>1408</v>
      </c>
      <c r="U55" s="118" t="s">
        <v>1408</v>
      </c>
      <c r="V55" s="118" t="s">
        <v>1408</v>
      </c>
      <c r="W55" s="118" t="s">
        <v>1408</v>
      </c>
      <c r="X55" s="118" t="s">
        <v>1408</v>
      </c>
      <c r="Y55" s="118" t="s">
        <v>1408</v>
      </c>
      <c r="Z55" s="33"/>
    </row>
    <row r="56" spans="1:26">
      <c r="A56" s="112"/>
      <c r="B56" s="83" t="s">
        <v>17</v>
      </c>
      <c r="C56" s="77">
        <v>7.9666555006233123E-6</v>
      </c>
      <c r="D56" s="78">
        <v>7.8691861696928963E-5</v>
      </c>
      <c r="E56" s="79">
        <v>1.3261484854062226E-5</v>
      </c>
      <c r="F56" s="80">
        <v>-9.6679904429100867E-5</v>
      </c>
      <c r="G56" s="77">
        <v>1.325349575860899E-5</v>
      </c>
      <c r="H56" s="78">
        <v>-1.5094726589287078E-4</v>
      </c>
      <c r="I56" s="79">
        <v>1.3203097938707468E-5</v>
      </c>
      <c r="J56" s="81">
        <v>-1.4225494062069071E-4</v>
      </c>
      <c r="K56" s="118" t="s">
        <v>1408</v>
      </c>
      <c r="L56" s="118" t="s">
        <v>1408</v>
      </c>
      <c r="M56" s="118" t="s">
        <v>1408</v>
      </c>
      <c r="N56" s="118" t="s">
        <v>1408</v>
      </c>
      <c r="O56" s="118" t="s">
        <v>1408</v>
      </c>
      <c r="P56" s="118" t="s">
        <v>1408</v>
      </c>
      <c r="Q56" s="118" t="s">
        <v>1408</v>
      </c>
      <c r="R56" s="118" t="s">
        <v>1408</v>
      </c>
      <c r="S56" s="118" t="s">
        <v>1408</v>
      </c>
      <c r="T56" s="118" t="s">
        <v>1408</v>
      </c>
      <c r="U56" s="118" t="s">
        <v>1408</v>
      </c>
      <c r="V56" s="118" t="s">
        <v>1408</v>
      </c>
      <c r="W56" s="118" t="s">
        <v>1408</v>
      </c>
      <c r="X56" s="118" t="s">
        <v>1408</v>
      </c>
      <c r="Y56" s="118" t="s">
        <v>1408</v>
      </c>
      <c r="Z56" s="33"/>
    </row>
    <row r="57" spans="1:26">
      <c r="A57" s="112"/>
      <c r="B57" s="84" t="s">
        <v>25</v>
      </c>
      <c r="C57" s="85">
        <v>4.5452398811099082E-2</v>
      </c>
      <c r="D57" s="86">
        <v>1</v>
      </c>
      <c r="E57" s="87">
        <v>4.9619765269018012E-2</v>
      </c>
      <c r="F57" s="88">
        <v>1</v>
      </c>
      <c r="G57" s="85">
        <v>9.282626010616446E-2</v>
      </c>
      <c r="H57" s="86">
        <v>1</v>
      </c>
      <c r="I57" s="87">
        <v>0.12463211043628997</v>
      </c>
      <c r="J57" s="89">
        <v>1</v>
      </c>
      <c r="K57" s="118" t="s">
        <v>1408</v>
      </c>
      <c r="L57" s="118" t="s">
        <v>1408</v>
      </c>
      <c r="M57" s="118" t="s">
        <v>1408</v>
      </c>
      <c r="N57" s="118" t="s">
        <v>1408</v>
      </c>
      <c r="O57" s="118" t="s">
        <v>1408</v>
      </c>
      <c r="P57" s="118" t="s">
        <v>1408</v>
      </c>
      <c r="Q57" s="118" t="s">
        <v>1408</v>
      </c>
      <c r="R57" s="118" t="s">
        <v>1408</v>
      </c>
      <c r="S57" s="118" t="s">
        <v>1408</v>
      </c>
      <c r="T57" s="118" t="s">
        <v>1408</v>
      </c>
      <c r="U57" s="118" t="s">
        <v>1408</v>
      </c>
      <c r="V57" s="118" t="s">
        <v>1408</v>
      </c>
      <c r="W57" s="118" t="s">
        <v>1408</v>
      </c>
      <c r="X57" s="118" t="s">
        <v>1408</v>
      </c>
      <c r="Y57" s="118" t="s">
        <v>1408</v>
      </c>
      <c r="Z57" s="33"/>
    </row>
    <row r="58" spans="1:26">
      <c r="A58" s="112"/>
      <c r="B58" s="90" t="s">
        <v>24</v>
      </c>
      <c r="C58" s="91">
        <v>4672.1299999999992</v>
      </c>
      <c r="D58" s="115"/>
      <c r="E58" s="92">
        <v>5124.6299999999992</v>
      </c>
      <c r="F58" s="115"/>
      <c r="G58" s="91">
        <v>9695.32</v>
      </c>
      <c r="H58" s="115"/>
      <c r="I58" s="92">
        <v>13100.22</v>
      </c>
      <c r="J58" s="119"/>
      <c r="K58" s="118" t="s">
        <v>1408</v>
      </c>
      <c r="L58" s="118" t="s">
        <v>1408</v>
      </c>
      <c r="M58" s="118" t="s">
        <v>1408</v>
      </c>
      <c r="N58" s="118" t="s">
        <v>1408</v>
      </c>
      <c r="O58" s="118" t="s">
        <v>1408</v>
      </c>
      <c r="P58" s="118" t="s">
        <v>1408</v>
      </c>
      <c r="Q58" s="118" t="s">
        <v>1408</v>
      </c>
      <c r="R58" s="118" t="s">
        <v>1408</v>
      </c>
      <c r="S58" s="118" t="s">
        <v>1408</v>
      </c>
      <c r="T58" s="118" t="s">
        <v>1408</v>
      </c>
      <c r="U58" s="118" t="s">
        <v>1408</v>
      </c>
      <c r="V58" s="118" t="s">
        <v>1408</v>
      </c>
      <c r="W58" s="118" t="s">
        <v>1408</v>
      </c>
      <c r="X58" s="118" t="s">
        <v>1408</v>
      </c>
      <c r="Y58" s="118" t="s">
        <v>1408</v>
      </c>
      <c r="Z58" s="33"/>
    </row>
    <row r="59" spans="1:26">
      <c r="A59" s="112"/>
      <c r="B59" s="116"/>
      <c r="C59" s="117"/>
      <c r="D59" s="117"/>
      <c r="E59" s="117"/>
      <c r="F59" s="117"/>
      <c r="G59" s="117"/>
      <c r="H59" s="117"/>
      <c r="I59" s="117"/>
      <c r="J59" s="120"/>
      <c r="K59" s="118" t="s">
        <v>1408</v>
      </c>
      <c r="L59" s="118" t="s">
        <v>1408</v>
      </c>
      <c r="M59" s="118" t="s">
        <v>1408</v>
      </c>
      <c r="N59" s="118" t="s">
        <v>1408</v>
      </c>
      <c r="O59" s="118" t="s">
        <v>1408</v>
      </c>
      <c r="P59" s="118" t="s">
        <v>1408</v>
      </c>
      <c r="Q59" s="118" t="s">
        <v>1408</v>
      </c>
      <c r="R59" s="118" t="s">
        <v>1408</v>
      </c>
      <c r="S59" s="118" t="s">
        <v>1408</v>
      </c>
      <c r="T59" s="118" t="s">
        <v>1408</v>
      </c>
      <c r="U59" s="118" t="s">
        <v>1408</v>
      </c>
      <c r="V59" s="118" t="s">
        <v>1408</v>
      </c>
      <c r="W59" s="118" t="s">
        <v>1408</v>
      </c>
      <c r="X59" s="118" t="s">
        <v>1408</v>
      </c>
      <c r="Y59" s="118" t="s">
        <v>1408</v>
      </c>
      <c r="Z59" s="33"/>
    </row>
    <row r="60" spans="1:26">
      <c r="A60" s="112"/>
      <c r="B60" s="76" t="s">
        <v>19</v>
      </c>
      <c r="C60" s="95">
        <v>1.6835892189648653E-2</v>
      </c>
      <c r="D60" s="96">
        <v>0.66251511895522375</v>
      </c>
      <c r="E60" s="97">
        <v>3.4566965291629548E-3</v>
      </c>
      <c r="F60" s="98">
        <v>0.64834974382335175</v>
      </c>
      <c r="G60" s="95">
        <v>2.7607251942656886E-2</v>
      </c>
      <c r="H60" s="96">
        <v>0.65077734979907498</v>
      </c>
      <c r="I60" s="97">
        <v>6.8947331134667708E-2</v>
      </c>
      <c r="J60" s="99">
        <v>0.67777168206496263</v>
      </c>
      <c r="K60" s="118" t="s">
        <v>1408</v>
      </c>
      <c r="L60" s="118" t="s">
        <v>1408</v>
      </c>
      <c r="M60" s="118" t="s">
        <v>1408</v>
      </c>
      <c r="N60" s="118" t="s">
        <v>1408</v>
      </c>
      <c r="O60" s="118" t="s">
        <v>1408</v>
      </c>
      <c r="P60" s="118" t="s">
        <v>1408</v>
      </c>
      <c r="Q60" s="118" t="s">
        <v>1408</v>
      </c>
      <c r="R60" s="118" t="s">
        <v>1408</v>
      </c>
      <c r="S60" s="118" t="s">
        <v>1408</v>
      </c>
      <c r="T60" s="118" t="s">
        <v>1408</v>
      </c>
      <c r="U60" s="118" t="s">
        <v>1408</v>
      </c>
      <c r="V60" s="118" t="s">
        <v>1408</v>
      </c>
      <c r="W60" s="118" t="s">
        <v>1408</v>
      </c>
      <c r="X60" s="118" t="s">
        <v>1408</v>
      </c>
      <c r="Y60" s="118" t="s">
        <v>1408</v>
      </c>
      <c r="Z60" s="33"/>
    </row>
    <row r="61" spans="1:26">
      <c r="A61" s="112"/>
      <c r="B61" s="83" t="s">
        <v>20</v>
      </c>
      <c r="C61" s="77">
        <v>2.8616506621450429E-2</v>
      </c>
      <c r="D61" s="78">
        <v>0.33748488104477625</v>
      </c>
      <c r="E61" s="79">
        <v>4.6163068739855061E-2</v>
      </c>
      <c r="F61" s="80">
        <v>0.35165025617664825</v>
      </c>
      <c r="G61" s="77">
        <v>6.5219008163507577E-2</v>
      </c>
      <c r="H61" s="78">
        <v>0.34922265020092513</v>
      </c>
      <c r="I61" s="79">
        <v>5.5684779301622266E-2</v>
      </c>
      <c r="J61" s="81">
        <v>0.32222831793503737</v>
      </c>
      <c r="K61" s="118" t="s">
        <v>1408</v>
      </c>
      <c r="L61" s="118" t="s">
        <v>1408</v>
      </c>
      <c r="M61" s="118" t="s">
        <v>1408</v>
      </c>
      <c r="N61" s="118" t="s">
        <v>1408</v>
      </c>
      <c r="O61" s="118" t="s">
        <v>1408</v>
      </c>
      <c r="P61" s="118" t="s">
        <v>1408</v>
      </c>
      <c r="Q61" s="118" t="s">
        <v>1408</v>
      </c>
      <c r="R61" s="118" t="s">
        <v>1408</v>
      </c>
      <c r="S61" s="118" t="s">
        <v>1408</v>
      </c>
      <c r="T61" s="118" t="s">
        <v>1408</v>
      </c>
      <c r="U61" s="118" t="s">
        <v>1408</v>
      </c>
      <c r="V61" s="118" t="s">
        <v>1408</v>
      </c>
      <c r="W61" s="118" t="s">
        <v>1408</v>
      </c>
      <c r="X61" s="118" t="s">
        <v>1408</v>
      </c>
      <c r="Y61" s="118" t="s">
        <v>1408</v>
      </c>
      <c r="Z61" s="33"/>
    </row>
    <row r="62" spans="1:26">
      <c r="A62" s="112"/>
      <c r="B62" s="84" t="s">
        <v>25</v>
      </c>
      <c r="C62" s="85">
        <v>4.5452398811099082E-2</v>
      </c>
      <c r="D62" s="86">
        <v>1</v>
      </c>
      <c r="E62" s="87">
        <v>4.9619765269018012E-2</v>
      </c>
      <c r="F62" s="88">
        <v>1</v>
      </c>
      <c r="G62" s="85">
        <v>9.282626010616446E-2</v>
      </c>
      <c r="H62" s="86">
        <v>1</v>
      </c>
      <c r="I62" s="87">
        <v>0.12463211043628997</v>
      </c>
      <c r="J62" s="89">
        <v>1</v>
      </c>
      <c r="K62" s="118" t="s">
        <v>1408</v>
      </c>
      <c r="L62" s="118" t="s">
        <v>1408</v>
      </c>
      <c r="M62" s="118" t="s">
        <v>1408</v>
      </c>
      <c r="N62" s="118" t="s">
        <v>1408</v>
      </c>
      <c r="O62" s="118" t="s">
        <v>1408</v>
      </c>
      <c r="P62" s="118" t="s">
        <v>1408</v>
      </c>
      <c r="Q62" s="118" t="s">
        <v>1408</v>
      </c>
      <c r="R62" s="118" t="s">
        <v>1408</v>
      </c>
      <c r="S62" s="118" t="s">
        <v>1408</v>
      </c>
      <c r="T62" s="118" t="s">
        <v>1408</v>
      </c>
      <c r="U62" s="118" t="s">
        <v>1408</v>
      </c>
      <c r="V62" s="118" t="s">
        <v>1408</v>
      </c>
      <c r="W62" s="118" t="s">
        <v>1408</v>
      </c>
      <c r="X62" s="118" t="s">
        <v>1408</v>
      </c>
      <c r="Y62" s="118" t="s">
        <v>1408</v>
      </c>
      <c r="Z62" s="33"/>
    </row>
    <row r="63" spans="1:26">
      <c r="A63" s="112"/>
      <c r="B63" s="116"/>
      <c r="C63" s="117"/>
      <c r="D63" s="117"/>
      <c r="E63" s="117"/>
      <c r="F63" s="117"/>
      <c r="G63" s="117"/>
      <c r="H63" s="117"/>
      <c r="I63" s="117"/>
      <c r="J63" s="120"/>
      <c r="K63" s="118" t="s">
        <v>1408</v>
      </c>
      <c r="L63" s="118" t="s">
        <v>1408</v>
      </c>
      <c r="M63" s="118" t="s">
        <v>1408</v>
      </c>
      <c r="N63" s="118" t="s">
        <v>1408</v>
      </c>
      <c r="O63" s="118" t="s">
        <v>1408</v>
      </c>
      <c r="P63" s="118" t="s">
        <v>1408</v>
      </c>
      <c r="Q63" s="118" t="s">
        <v>1408</v>
      </c>
      <c r="R63" s="118" t="s">
        <v>1408</v>
      </c>
      <c r="S63" s="118" t="s">
        <v>1408</v>
      </c>
      <c r="T63" s="118" t="s">
        <v>1408</v>
      </c>
      <c r="U63" s="118" t="s">
        <v>1408</v>
      </c>
      <c r="V63" s="118" t="s">
        <v>1408</v>
      </c>
      <c r="W63" s="118" t="s">
        <v>1408</v>
      </c>
      <c r="X63" s="118" t="s">
        <v>1408</v>
      </c>
      <c r="Y63" s="118" t="s">
        <v>1408</v>
      </c>
      <c r="Z63" s="33"/>
    </row>
    <row r="64" spans="1:26">
      <c r="A64" s="112"/>
      <c r="B64" s="76" t="s">
        <v>21</v>
      </c>
      <c r="C64" s="95">
        <v>3.7038032864481457E-2</v>
      </c>
      <c r="D64" s="96">
        <v>0.76707613252832796</v>
      </c>
      <c r="E64" s="97">
        <v>3.800064894150891E-2</v>
      </c>
      <c r="F64" s="98">
        <v>0.75946987405945177</v>
      </c>
      <c r="G64" s="95">
        <v>7.5848828803592352E-2</v>
      </c>
      <c r="H64" s="96">
        <v>0.75681660190483935</v>
      </c>
      <c r="I64" s="97">
        <v>0.10112971882998843</v>
      </c>
      <c r="J64" s="99">
        <v>0.75960256178174679</v>
      </c>
      <c r="K64" s="118" t="s">
        <v>1408</v>
      </c>
      <c r="L64" s="118" t="s">
        <v>1408</v>
      </c>
      <c r="M64" s="118" t="s">
        <v>1408</v>
      </c>
      <c r="N64" s="118" t="s">
        <v>1408</v>
      </c>
      <c r="O64" s="118" t="s">
        <v>1408</v>
      </c>
      <c r="P64" s="118" t="s">
        <v>1408</v>
      </c>
      <c r="Q64" s="118" t="s">
        <v>1408</v>
      </c>
      <c r="R64" s="118" t="s">
        <v>1408</v>
      </c>
      <c r="S64" s="118" t="s">
        <v>1408</v>
      </c>
      <c r="T64" s="118" t="s">
        <v>1408</v>
      </c>
      <c r="U64" s="118" t="s">
        <v>1408</v>
      </c>
      <c r="V64" s="118" t="s">
        <v>1408</v>
      </c>
      <c r="W64" s="118" t="s">
        <v>1408</v>
      </c>
      <c r="X64" s="118" t="s">
        <v>1408</v>
      </c>
      <c r="Y64" s="118" t="s">
        <v>1408</v>
      </c>
      <c r="Z64" s="33"/>
    </row>
    <row r="65" spans="1:26">
      <c r="A65" s="112"/>
      <c r="B65" s="83" t="s">
        <v>22</v>
      </c>
      <c r="C65" s="77">
        <v>8.4143659466176211E-3</v>
      </c>
      <c r="D65" s="78">
        <v>0.23292386747167204</v>
      </c>
      <c r="E65" s="79">
        <v>1.1619116327509098E-2</v>
      </c>
      <c r="F65" s="80">
        <v>0.24053012594054821</v>
      </c>
      <c r="G65" s="77">
        <v>1.6977431302572114E-2</v>
      </c>
      <c r="H65" s="78">
        <v>0.24318339809516068</v>
      </c>
      <c r="I65" s="79">
        <v>2.3502391606301538E-2</v>
      </c>
      <c r="J65" s="81">
        <v>0.24039743821825316</v>
      </c>
      <c r="K65" s="118" t="s">
        <v>1408</v>
      </c>
      <c r="L65" s="118" t="s">
        <v>1408</v>
      </c>
      <c r="M65" s="118" t="s">
        <v>1408</v>
      </c>
      <c r="N65" s="118" t="s">
        <v>1408</v>
      </c>
      <c r="O65" s="118" t="s">
        <v>1408</v>
      </c>
      <c r="P65" s="118" t="s">
        <v>1408</v>
      </c>
      <c r="Q65" s="118" t="s">
        <v>1408</v>
      </c>
      <c r="R65" s="118" t="s">
        <v>1408</v>
      </c>
      <c r="S65" s="118" t="s">
        <v>1408</v>
      </c>
      <c r="T65" s="118" t="s">
        <v>1408</v>
      </c>
      <c r="U65" s="118" t="s">
        <v>1408</v>
      </c>
      <c r="V65" s="118" t="s">
        <v>1408</v>
      </c>
      <c r="W65" s="118" t="s">
        <v>1408</v>
      </c>
      <c r="X65" s="118" t="s">
        <v>1408</v>
      </c>
      <c r="Y65" s="118" t="s">
        <v>1408</v>
      </c>
      <c r="Z65" s="33"/>
    </row>
    <row r="66" spans="1:26">
      <c r="A66" s="112"/>
      <c r="B66" s="100" t="s">
        <v>25</v>
      </c>
      <c r="C66" s="101">
        <v>4.5452398811099082E-2</v>
      </c>
      <c r="D66" s="102">
        <v>1</v>
      </c>
      <c r="E66" s="103">
        <v>4.9619765269018012E-2</v>
      </c>
      <c r="F66" s="104">
        <v>1</v>
      </c>
      <c r="G66" s="101">
        <v>9.282626010616446E-2</v>
      </c>
      <c r="H66" s="102">
        <v>1</v>
      </c>
      <c r="I66" s="103">
        <v>0.12463211043628997</v>
      </c>
      <c r="J66" s="105">
        <v>1</v>
      </c>
      <c r="K66" s="118" t="s">
        <v>1408</v>
      </c>
      <c r="L66" s="118" t="s">
        <v>1408</v>
      </c>
      <c r="M66" s="118" t="s">
        <v>1408</v>
      </c>
      <c r="N66" s="118" t="s">
        <v>1408</v>
      </c>
      <c r="O66" s="118" t="s">
        <v>1408</v>
      </c>
      <c r="P66" s="118" t="s">
        <v>1408</v>
      </c>
      <c r="Q66" s="118" t="s">
        <v>1408</v>
      </c>
      <c r="R66" s="118" t="s">
        <v>1408</v>
      </c>
      <c r="S66" s="118" t="s">
        <v>1408</v>
      </c>
      <c r="T66" s="118" t="s">
        <v>1408</v>
      </c>
      <c r="U66" s="118" t="s">
        <v>1408</v>
      </c>
      <c r="V66" s="118" t="s">
        <v>1408</v>
      </c>
      <c r="W66" s="118" t="s">
        <v>1408</v>
      </c>
      <c r="X66" s="118" t="s">
        <v>1408</v>
      </c>
      <c r="Y66" s="118" t="s">
        <v>1408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.12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 hidden="1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24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2024</v>
      </c>
      <c r="AE4" t="s">
        <v>901</v>
      </c>
    </row>
    <row r="5" spans="1:33" ht="28.5" hidden="1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 hidden="1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31.03.24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 hidden="1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30.06.24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 hidden="1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30.09.24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 hidden="1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31.12.24</v>
      </c>
      <c r="AB9">
        <v>4</v>
      </c>
      <c r="AE9" t="s">
        <v>1375</v>
      </c>
      <c r="AF9" t="s">
        <v>1376</v>
      </c>
      <c r="AG9" t="s">
        <v>1250</v>
      </c>
    </row>
    <row r="10" spans="1:33" ht="28.5" hidden="1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 hidden="1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 hidden="1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 hidden="1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 hidden="1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 hidden="1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 hidden="1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 hidden="1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 hidden="1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 hidden="1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 hidden="1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 hidden="1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 hidden="1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 hidden="1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 hidden="1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 hidden="1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 hidden="1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 hidden="1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 hidden="1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 hidden="1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 hidden="1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 hidden="1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 hidden="1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 hidden="1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 hidden="1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 hidden="1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 hidden="1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 hidden="1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 hidden="1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 hidden="1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 hidden="1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 hidden="1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 hidden="1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 hidden="1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 hidden="1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 hidden="1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 hidden="1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 hidden="1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 hidden="1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 hidden="1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 hidden="1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 hidden="1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 hidden="1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 hidden="1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 hidden="1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 hidden="1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 hidden="1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 hidden="1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 hidden="1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 hidden="1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 hidden="1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 hidden="1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 hidden="1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 hidden="1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 hidden="1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 hidden="1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 hidden="1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 hidden="1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 hidden="1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 hidden="1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 hidden="1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 hidden="1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 hidden="1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 hidden="1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 hidden="1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 hidden="1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 hidden="1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 hidden="1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 hidden="1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 hidden="1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 hidden="1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 hidden="1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 hidden="1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 hidden="1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 hidden="1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 hidden="1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 hidden="1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 hidden="1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 hidden="1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 hidden="1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 hidden="1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 hidden="1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 hidden="1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 hidden="1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 hidden="1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 hidden="1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 hidden="1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 hidden="1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 hidden="1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 hidden="1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 hidden="1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 hidden="1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 hidden="1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 hidden="1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 hidden="1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 hidden="1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 hidden="1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 hidden="1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 hidden="1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 hidden="1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 hidden="1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 hidden="1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 hidden="1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 hidden="1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 hidden="1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 hidden="1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 hidden="1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 hidden="1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 hidden="1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 hidden="1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 hidden="1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 hidden="1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 hidden="1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 hidden="1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 hidden="1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 hidden="1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 hidden="1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 hidden="1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 hidden="1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 hidden="1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 hidden="1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 hidden="1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 hidden="1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 hidden="1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 hidden="1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 hidden="1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 hidden="1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 hidden="1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 hidden="1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 hidden="1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 hidden="1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 hidden="1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 hidden="1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 hidden="1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 hidden="1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 hidden="1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 hidden="1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 hidden="1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 hidden="1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 hidden="1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 hidden="1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 hidden="1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 hidden="1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 hidden="1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 hidden="1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 hidden="1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 hidden="1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 hidden="1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 hidden="1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 hidden="1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 hidden="1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 hidden="1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 hidden="1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 hidden="1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 hidden="1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 hidden="1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 hidden="1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 hidden="1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 hidden="1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idden="1">
      <c r="A195" s="53">
        <v>100000</v>
      </c>
      <c r="B195" s="55" t="s">
        <v>86</v>
      </c>
      <c r="C195" s="55" t="s">
        <v>1395</v>
      </c>
      <c r="D195" s="62" t="s">
        <v>896</v>
      </c>
      <c r="E195" s="63">
        <v>123456789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 hidden="1">
      <c r="A196" s="53">
        <v>100000</v>
      </c>
      <c r="B196" s="55" t="s">
        <v>86</v>
      </c>
      <c r="C196" s="55" t="s">
        <v>1395</v>
      </c>
      <c r="D196" s="62" t="s">
        <v>896</v>
      </c>
      <c r="E196" s="63">
        <v>123456789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idden="1">
      <c r="A197" s="53">
        <v>100000</v>
      </c>
      <c r="B197" s="55" t="s">
        <v>86</v>
      </c>
      <c r="C197" s="55" t="s">
        <v>1395</v>
      </c>
      <c r="D197" s="62" t="s">
        <v>896</v>
      </c>
      <c r="E197" s="63">
        <v>123456789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idden="1">
      <c r="A198" s="53">
        <v>100000</v>
      </c>
      <c r="B198" s="55" t="s">
        <v>86</v>
      </c>
      <c r="C198" s="55" t="s">
        <v>1395</v>
      </c>
      <c r="D198" s="62" t="s">
        <v>896</v>
      </c>
      <c r="E198" s="63">
        <v>123456789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idden="1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idden="1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 hidden="1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 hidden="1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 hidden="1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 hidden="1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 hidden="1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 hidden="1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 hidden="1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 hidden="1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 hidden="1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 hidden="1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 hidden="1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 hidden="1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 hidden="1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 hidden="1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 hidden="1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 hidden="1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 hidden="1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 hidden="1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 hidden="1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 hidden="1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 hidden="1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 hidden="1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 hidden="1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 hidden="1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 hidden="1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 hidden="1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 hidden="1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 hidden="1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 hidden="1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 hidden="1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 hidden="1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 hidden="1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 hidden="1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 hidden="1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 hidden="1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 hidden="1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 hidden="1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 hidden="1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 hidden="1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 hidden="1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 hidden="1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 hidden="1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 hidden="1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 hidden="1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 hidden="1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 hidden="1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 hidden="1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 hidden="1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 hidden="1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 hidden="1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 hidden="1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 hidden="1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 hidden="1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 hidden="1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 hidden="1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 hidden="1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 hidden="1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 hidden="1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 hidden="1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 hidden="1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 hidden="1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 hidden="1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 hidden="1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 hidden="1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 hidden="1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 hidden="1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 hidden="1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 hidden="1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 hidden="1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 hidden="1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 hidden="1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 hidden="1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 hidden="1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 hidden="1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 hidden="1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 hidden="1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 hidden="1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 hidden="1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 hidden="1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 hidden="1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 hidden="1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 hidden="1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 hidden="1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 hidden="1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400000</v>
      </c>
      <c r="N286" s="67" t="s">
        <v>86</v>
      </c>
      <c r="O286" s="67" t="s">
        <v>1397</v>
      </c>
      <c r="P286" s="67" t="s">
        <v>83</v>
      </c>
      <c r="Q286" s="66">
        <v>123456789</v>
      </c>
      <c r="R286" s="61" t="s">
        <v>179</v>
      </c>
    </row>
    <row r="287" spans="7:18" hidden="1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400000</v>
      </c>
      <c r="N287" s="67" t="s">
        <v>86</v>
      </c>
      <c r="O287" s="67" t="s">
        <v>1397</v>
      </c>
      <c r="P287" s="67" t="s">
        <v>83</v>
      </c>
      <c r="Q287" s="66">
        <v>123456789</v>
      </c>
      <c r="R287" s="61" t="s">
        <v>179</v>
      </c>
    </row>
    <row r="288" spans="7:18" hidden="1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 hidden="1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 hidden="1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 hidden="1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 hidden="1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 hidden="1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 hidden="1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 hidden="1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 hidden="1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 hidden="1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 hidden="1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 hidden="1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 hidden="1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 hidden="1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 hidden="1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 hidden="1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 hidden="1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 hidden="1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 hidden="1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 hidden="1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 hidden="1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 hidden="1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 hidden="1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 hidden="1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 hidden="1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 hidden="1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 hidden="1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 hidden="1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 hidden="1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 hidden="1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 hidden="1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 hidden="1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 hidden="1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 hidden="1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 hidden="1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 hidden="1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 hidden="1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 hidden="1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 hidden="1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 hidden="1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 hidden="1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 hidden="1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 hidden="1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 hidden="1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 hidden="1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 hidden="1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 hidden="1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 hidden="1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 hidden="1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 hidden="1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 hidden="1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 hidden="1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 hidden="1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 hidden="1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 hidden="1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 hidden="1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 hidden="1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 hidden="1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 hidden="1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 hidden="1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 hidden="1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 hidden="1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 hidden="1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 hidden="1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 hidden="1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 hidden="1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 hidden="1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 hidden="1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 hidden="1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 hidden="1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 hidden="1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 hidden="1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 hidden="1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 hidden="1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 hidden="1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 hidden="1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 hidden="1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 hidden="1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 hidden="1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 hidden="1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 hidden="1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 hidden="1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 hidden="1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 hidden="1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 hidden="1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 hidden="1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 hidden="1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 hidden="1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 hidden="1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 hidden="1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 hidden="1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 hidden="1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 hidden="1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 hidden="1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 hidden="1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 hidden="1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 hidden="1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 hidden="1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 hidden="1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 hidden="1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 hidden="1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 hidden="1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 hidden="1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 hidden="1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 hidden="1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 hidden="1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 hidden="1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 hidden="1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 hidden="1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 hidden="1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 hidden="1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 hidden="1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 hidden="1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 hidden="1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 hidden="1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 hidden="1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 hidden="1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 hidden="1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 hidden="1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 hidden="1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 hidden="1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 hidden="1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 hidden="1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 hidden="1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 hidden="1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 hidden="1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 hidden="1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 hidden="1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 hidden="1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 hidden="1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 hidden="1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 hidden="1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 hidden="1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 hidden="1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 hidden="1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 hidden="1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 hidden="1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 hidden="1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 hidden="1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 hidden="1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 hidden="1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 hidden="1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 hidden="1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 hidden="1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 hidden="1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 hidden="1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 hidden="1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 hidden="1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 hidden="1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 hidden="1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 hidden="1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 hidden="1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 hidden="1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 hidden="1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 hidden="1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 hidden="1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 hidden="1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 hidden="1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 hidden="1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 hidden="1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 hidden="1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 hidden="1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 hidden="1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 hidden="1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 hidden="1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 hidden="1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 hidden="1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 hidden="1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 hidden="1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 hidden="1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 hidden="1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 hidden="1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 hidden="1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 hidden="1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 hidden="1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 hidden="1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 hidden="1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 hidden="1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 hidden="1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 hidden="1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 hidden="1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 hidden="1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 hidden="1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 hidden="1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 hidden="1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 hidden="1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 hidden="1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 hidden="1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 hidden="1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 hidden="1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 hidden="1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 hidden="1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 hidden="1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 hidden="1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 hidden="1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 hidden="1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 hidden="1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 hidden="1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 hidden="1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 hidden="1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 hidden="1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 hidden="1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 hidden="1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 hidden="1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 hidden="1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 hidden="1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 hidden="1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 hidden="1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 hidden="1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 hidden="1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 hidden="1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 hidden="1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 hidden="1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 hidden="1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 hidden="1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 hidden="1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 hidden="1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 hidden="1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 hidden="1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 hidden="1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 hidden="1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 hidden="1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 hidden="1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 hidden="1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 hidden="1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 hidden="1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 hidden="1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 hidden="1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 hidden="1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 hidden="1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 hidden="1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 hidden="1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 hidden="1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 hidden="1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 hidden="1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 hidden="1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 hidden="1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 hidden="1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 hidden="1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 hidden="1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 hidden="1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 hidden="1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 hidden="1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 hidden="1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 hidden="1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 hidden="1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 hidden="1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 hidden="1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 hidden="1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 hidden="1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 hidden="1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 hidden="1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 hidden="1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 hidden="1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 hidden="1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 hidden="1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 hidden="1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 hidden="1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 hidden="1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 hidden="1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 hidden="1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 hidden="1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 hidden="1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 hidden="1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 hidden="1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 hidden="1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 hidden="1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 hidden="1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 hidden="1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 hidden="1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 hidden="1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 hidden="1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 hidden="1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 hidden="1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 hidden="1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 hidden="1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 hidden="1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 hidden="1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 hidden="1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 hidden="1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 hidden="1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 hidden="1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 hidden="1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 hidden="1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 hidden="1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 hidden="1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 hidden="1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 hidden="1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 hidden="1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 hidden="1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 hidden="1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 hidden="1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 hidden="1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 hidden="1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 hidden="1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 hidden="1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 hidden="1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 hidden="1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 hidden="1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 hidden="1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 hidden="1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 hidden="1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 hidden="1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 hidden="1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 hidden="1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 hidden="1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 hidden="1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 hidden="1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 hidden="1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 hidden="1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 hidden="1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 hidden="1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 hidden="1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 hidden="1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 hidden="1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 hidden="1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 hidden="1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 hidden="1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 hidden="1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 hidden="1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 hidden="1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 hidden="1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 hidden="1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 hidden="1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 hidden="1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 hidden="1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 hidden="1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 hidden="1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 hidden="1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 hidden="1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 hidden="1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 hidden="1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 hidden="1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 hidden="1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 hidden="1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 hidden="1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 hidden="1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 hidden="1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 hidden="1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 hidden="1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 hidden="1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 hidden="1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 hidden="1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 hidden="1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 hidden="1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 hidden="1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 hidden="1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 hidden="1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 hidden="1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 hidden="1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 hidden="1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 hidden="1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 hidden="1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 hidden="1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 hidden="1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 hidden="1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 hidden="1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 hidden="1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 hidden="1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 hidden="1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14943</v>
      </c>
      <c r="H700" s="64" t="s">
        <v>86</v>
      </c>
      <c r="I700" s="64" t="s">
        <v>1405</v>
      </c>
      <c r="J700" s="64" t="s">
        <v>116</v>
      </c>
      <c r="K700" s="65">
        <v>512237744</v>
      </c>
      <c r="L700" s="35" t="s">
        <v>88</v>
      </c>
    </row>
    <row r="701" spans="7:12">
      <c r="G701" s="64">
        <v>14944</v>
      </c>
      <c r="H701" s="64" t="s">
        <v>86</v>
      </c>
      <c r="I701" s="64" t="s">
        <v>1406</v>
      </c>
      <c r="J701" s="64" t="s">
        <v>116</v>
      </c>
      <c r="K701" s="65">
        <v>512237744</v>
      </c>
      <c r="L701" s="35" t="s">
        <v>88</v>
      </c>
    </row>
    <row r="702" spans="7:12">
      <c r="G702" s="64">
        <v>14945</v>
      </c>
      <c r="H702" s="64" t="s">
        <v>86</v>
      </c>
      <c r="I702" s="64" t="s">
        <v>1404</v>
      </c>
      <c r="J702" s="64" t="s">
        <v>116</v>
      </c>
      <c r="K702" s="65">
        <v>512237744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>
    <filterColumn colId="9">
      <filters>
        <filter val="מגדל מקפת קרנות פנסיה וקופות גמל בע&quot;מ"/>
      </filters>
    </filterColumn>
  </autoFilter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purl.org/dc/terms/"/>
    <ds:schemaRef ds:uri="http://schemas.microsoft.com/sharepoint/v3"/>
    <ds:schemaRef ds:uri="http://schemas.microsoft.com/office/2006/metadata/properties"/>
    <ds:schemaRef ds:uri="a46656d4-8850-49b3-aebd-68bd05f7f43d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creator>Joe Sternberg</dc:creator>
  <dc:description>מונגש</dc:description>
  <cp:lastModifiedBy>שוהם קאופמן</cp:lastModifiedBy>
  <cp:lastPrinted>2021-05-27T06:23:48Z</cp:lastPrinted>
  <dcterms:created xsi:type="dcterms:W3CDTF">2016-08-07T08:05:35Z</dcterms:created>
  <dcterms:modified xsi:type="dcterms:W3CDTF">2025-10-20T10:14:50Z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