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0D7AD0D5-037D-4192-A977-A9E4145DC0E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<sst xmlns="http://schemas.openxmlformats.org/spreadsheetml/2006/main" count="5755" uniqueCount="1430">
  <si>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</si>
  <si>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</si>
  <si>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</si>
  <si>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</si>
  <si>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</si>
  <si>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</si>
  <si>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</si>
  <si>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</si>
  <si>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</si>
  <si>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</si>
  <si>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</si>
  <si>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</si>
  <si>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</si>
  <si>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</si>
  <si>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</si>
  <si>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</si>
  <si>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</si>
  <si>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</si>
  <si>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</si>
  <si>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</si>
  <si>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</si>
  <si>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</si>
  <si>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</si>
  <si>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</si>
  <si>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</si>
  <si>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</si>
  <si>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</si>
  <si>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</si>
  <si>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</si>
  <si>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</si>
  <si>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</si>
  <si>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</si>
  <si>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</si>
  <si>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</si>
  <si>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</si>
  <si>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</si>
  <si>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</si>
  <si>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</si>
  <si>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</si>
  <si>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</si>
  <si>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</si>
  <si>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</si>
  <si>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</si>
  <si>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</si>
  <si>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</si>
  <si>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</si>
  <si>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</si>
  <si>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</si>
  <si>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</si>
  <si>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</si>
  <si>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</si>
  <si>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</si>
  <si>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</si>
  <si>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</si>
  <si>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</si>
  <si>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</si>
  <si>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</si>
  <si>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</si>
  <si>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</si>
  <si>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</si>
  <si>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</si>
  <si>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</si>
  <si>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</si>
  <si>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</si>
  <si>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</si>
  <si>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</si>
  <si>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</si>
  <si>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</si>
  <si>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</si>
  <si>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</si>
  <si>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</si>
  <si>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</si>
  <si>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</si>
  <si>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</si>
  <si>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</si>
  <si>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</si>
  <si>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</si>
  <si>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</si>
  <si>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</si>
  <si>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</si>
  <si>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</si>
  <si>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</si>
  <si>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</si>
  <si>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</si>
  <si>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</si>
  <si>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</si>
  <si>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</si>
  <si>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</si>
  <si>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</si>
  <si>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</si>
  <si>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</si>
  <si>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</si>
  <si>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</si>
  <si>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</si>
  <si>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</si>
  <si>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</si>
  <si>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</si>
  <si>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</si>
  <si>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</si>
  <si>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</si>
  <si>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</si>
  <si>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</si>
  <si>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</si>
  <si>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</si>
  <si>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</si>
  <si>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</si>
  <si>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</si>
  <si>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</si>
  <si>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</si>
  <si>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</si>
  <si>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</si>
  <si>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</si>
  <si>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</si>
  <si>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</si>
  <si>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</si>
  <si>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</si>
  <si>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</si>
  <si>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</si>
  <si>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</si>
  <si>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</si>
  <si>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</si>
  <si>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</si>
  <si>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</si>
  <si>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</si>
  <si>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</si>
  <si>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</si>
  <si>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</si>
  <si>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</si>
  <si>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</si>
  <si>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</si>
  <si>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</si>
  <si>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</si>
  <si>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</si>
  <si>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</si>
  <si>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</si>
  <si>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</si>
  <si>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</si>
  <si>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</si>
  <si>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</si>
  <si>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</si>
  <si>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</si>
  <si>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</si>
  <si>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</si>
  <si>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</si>
  <si>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</si>
  <si>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</si>
  <si>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</si>
  <si>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</si>
  <si>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</si>
  <si>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</si>
  <si>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</si>
  <si>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</si>
  <si>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</si>
  <si>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</si>
  <si>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</si>
  <si>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</si>
  <si>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</si>
  <si>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</si>
  <si>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</si>
  <si>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</si>
  <si>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</si>
  <si>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</si>
  <si>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</si>
  <si>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</si>
  <si>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</si>
  <si>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</si>
  <si>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</si>
  <si>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</si>
  <si>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</si>
  <si>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</si>
  <si>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</si>
  <si>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</si>
  <si>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</si>
  <si>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</si>
  <si>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</si>
  <si>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</si>
  <si>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</si>
  <si>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</si>
  <si>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</si>
  <si>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</si>
  <si>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</si>
  <si>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</si>
  <si>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</si>
  <si>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</si>
  <si>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</si>
  <si>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</si>
  <si>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</si>
  <si>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</si>
  <si>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</si>
  <si>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</si>
  <si>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</si>
  <si>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</si>
  <si>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</si>
  <si>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</si>
  <si>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</si>
  <si>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</si>
  <si>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</si>
  <si>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</si>
  <si>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</si>
  <si>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</si>
  <si>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</si>
  <si>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</si>
  <si>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</si>
  <si>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</si>
  <si>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</si>
  <si>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</si>
  <si>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</si>
  <si>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</si>
  <si>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</si>
  <si>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</si>
  <si>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</si>
  <si>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</si>
  <si>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</si>
  <si>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</si>
  <si>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</si>
  <si>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</si>
  <si>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</si>
  <si>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</si>
  <si>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</si>
  <si>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</si>
  <si>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</si>
  <si>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</si>
  <si>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</si>
  <si>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</si>
  <si>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</si>
  <si>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</si>
  <si>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</si>
  <si>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</si>
  <si>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</si>
  <si>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</si>
  <si>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</si>
  <si>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</si>
  <si>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</si>
  <si>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</si>
  <si>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</si>
  <si>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</si>
  <si>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</si>
  <si>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</si>
  <si>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</si>
  <si>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</si>
  <si>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</si>
  <si>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</si>
  <si>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</si>
  <si>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</si>
  <si>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</si>
  <si>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</si>
  <si>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</si>
  <si>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</si>
  <si>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</si>
  <si>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</si>
  <si>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</si>
  <si>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</si>
  <si>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</si>
  <si>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</si>
  <si>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</si>
  <si>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</si>
  <si>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</si>
  <si>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</si>
  <si>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</si>
  <si>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</si>
  <si>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</si>
  <si>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</si>
  <si>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</si>
  <si>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</si>
  <si>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</si>
  <si>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</si>
  <si>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</si>
  <si>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</si>
  <si>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</si>
  <si>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</si>
  <si>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</si>
  <si>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</si>
  <si>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</si>
  <si>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</si>
  <si>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</si>
  <si>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</si>
  <si>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</si>
  <si>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</si>
  <si>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</si>
  <si>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</si>
  <si>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</si>
  <si>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</si>
  <si>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</si>
  <si>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</si>
  <si>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</si>
  <si>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</si>
  <si>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</si>
  <si>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</si>
  <si>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</si>
  <si>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</si>
  <si>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</si>
  <si>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</si>
  <si>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</si>
  <si>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</si>
  <si>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</si>
  <si>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</si>
  <si>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</si>
  <si>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</si>
  <si>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</si>
  <si>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</si>
  <si>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</si>
  <si>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</si>
  <si>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</si>
  <si>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</si>
  <si>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</si>
  <si>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</si>
  <si>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</si>
  <si>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</si>
  <si>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</si>
  <si>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</si>
  <si>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</si>
  <si>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</si>
  <si>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</si>
  <si>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</si>
  <si>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</si>
  <si>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</si>
  <si>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</si>
  <si>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</si>
  <si>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</si>
  <si>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</si>
  <si>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</si>
  <si>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</si>
  <si>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</si>
  <si>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</si>
  <si>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</si>
  <si>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</si>
  <si>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</si>
  <si>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</si>
  <si>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</si>
  <si>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</si>
  <si>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</si>
  <si>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</si>
  <si>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</si>
  <si>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</si>
  <si>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</si>
  <si>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</si>
  <si>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</si>
  <si>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</si>
  <si>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</si>
  <si>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</si>
  <si>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</si>
  <si>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</si>
  <si>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</si>
  <si>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</si>
  <si>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</si>
  <si>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</si>
  <si>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</si>
  <si>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</si>
  <si>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</si>
  <si>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</si>
  <si>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</si>
  <si>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</si>
  <si>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</si>
  <si>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</si>
  <si>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</si>
  <si>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</si>
  <si>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</si>
  <si>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</si>
  <si>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</si>
  <si>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</si>
  <si>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</si>
  <si>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</si>
  <si>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</si>
  <si>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</si>
  <si>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</si>
  <si>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</si>
  <si>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</si>
  <si>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</si>
  <si>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</si>
  <si>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</si>
  <si>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</si>
  <si>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</si>
  <si>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</si>
  <si>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</si>
  <si>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</si>
  <si>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</si>
  <si>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</si>
  <si>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</si>
  <si>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</si>
  <si>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</si>
  <si>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</si>
  <si>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</si>
  <si>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</si>
  <si>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</si>
  <si>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</si>
  <si>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</si>
  <si>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</si>
  <si>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</si>
  <si>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</si>
  <si>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</si>
  <si>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</si>
  <si>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</si>
  <si>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</si>
  <si>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</si>
  <si>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</si>
  <si>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</si>
  <si>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</si>
  <si>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</si>
  <si>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</si>
  <si>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</si>
  <si>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</si>
  <si>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</si>
  <si>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</si>
  <si>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</si>
  <si>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</si>
  <si>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</si>
  <si>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</si>
  <si>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</si>
  <si>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</si>
  <si>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</si>
  <si>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</si>
  <si>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</si>
  <si>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</si>
  <si>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</si>
  <si>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</si>
  <si>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</si>
  <si>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</si>
  <si>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</si>
  <si>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</si>
  <si>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</si>
  <si>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</si>
  <si>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</si>
  <si>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</si>
  <si>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</si>
  <si>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</si>
  <si>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</si>
  <si>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</si>
  <si>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</si>
  <si>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</si>
  <si>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</si>
  <si>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</si>
  <si>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</si>
  <si>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</si>
  <si>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</si>
  <si>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</si>
  <si>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</si>
  <si>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</si>
  <si>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</si>
  <si>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</si>
  <si>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</si>
  <si>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</si>
  <si>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</si>
  <si>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</si>
  <si>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</si>
  <si>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</si>
  <si>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</si>
  <si>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</si>
  <si>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</si>
  <si>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</si>
  <si>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</si>
  <si>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</si>
  <si>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</si>
  <si>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</si>
  <si>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</si>
  <si>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</si>
  <si>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</si>
  <si>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</si>
  <si>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</si>
  <si>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</si>
  <si>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</si>
  <si>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</si>
  <si>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</si>
  <si>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</si>
  <si>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</si>
  <si>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</si>
  <si>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</si>
  <si>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</si>
  <si>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</si>
  <si>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</si>
  <si>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</si>
  <si>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</si>
  <si>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</si>
  <si>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</si>
  <si>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</si>
  <si>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</si>
  <si>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</si>
  <si>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</si>
  <si>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</si>
  <si>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</si>
  <si>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</si>
  <si>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</si>
  <si>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</si>
  <si>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</si>
  <si>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</si>
  <si>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</si>
  <si>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</si>
  <si>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</si>
  <si>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</si>
  <si>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</si>
  <si>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</si>
  <si>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</si>
  <si>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</si>
  <si>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</si>
  <si>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</si>
  <si>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</si>
  <si>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</si>
  <si>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</si>
  <si>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</si>
  <si>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</si>
  <si>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</si>
  <si>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</si>
  <si>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</si>
  <si>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</si>
  <si>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</si>
  <si>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</si>
  <si>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</si>
  <si>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</si>
  <si>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</si>
  <si>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</si>
  <si>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</si>
  <si>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</si>
  <si>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</si>
  <si>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</si>
  <si>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</si>
  <si>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</si>
  <si>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</si>
  <si>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</si>
  <si>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</si>
  <si>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</si>
  <si>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</si>
  <si>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</si>
  <si>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</si>
  <si>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</si>
  <si>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</si>
  <si>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</si>
  <si>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</si>
  <si>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</si>
  <si>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</si>
  <si>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</si>
  <si>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</si>
  <si>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</si>
  <si>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</si>
  <si>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</si>
  <si>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</si>
  <si>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</si>
  <si>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</si>
  <si>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</si>
  <si>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</si>
  <si>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</si>
  <si>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</si>
  <si>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</si>
  <si>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</si>
  <si>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</si>
  <si>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</si>
  <si>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</si>
  <si>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</si>
  <si>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</si>
  <si>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</si>
  <si>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</si>
  <si>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</si>
  <si>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</si>
  <si>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</si>
  <si>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</si>
  <si>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</si>
  <si>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</si>
  <si>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</si>
  <si>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</si>
  <si>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</si>
  <si>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</si>
  <si>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</si>
  <si>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</si>
  <si>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</si>
  <si>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</si>
  <si>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</si>
  <si>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</si>
  <si>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</si>
  <si>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</si>
  <si>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</si>
  <si>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</si>
  <si>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</si>
  <si>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</si>
  <si>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</si>
  <si>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</si>
  <si>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</si>
  <si>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</si>
  <si>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</si>
  <si>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</si>
  <si>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</si>
  <si>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</si>
  <si>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</si>
  <si>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</si>
  <si>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</si>
  <si>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</si>
  <si>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</si>
  <si>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</si>
  <si>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</si>
  <si>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</si>
  <si>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</si>
  <si>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</si>
  <si>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</si>
  <si>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</si>
  <si>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</si>
  <si>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</si>
  <si>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</si>
  <si>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</si>
  <si>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</si>
  <si>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</si>
  <si>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</si>
  <si>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</si>
  <si>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</si>
  <si>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</si>
  <si>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</si>
  <si>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</si>
  <si>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</si>
  <si>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</si>
  <si>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</si>
  <si>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</si>
  <si>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</si>
  <si>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</si>
  <si>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</si>
  <si>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</si>
  <si>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</si>
  <si>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</si>
  <si>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</si>
  <si>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</si>
  <si>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</si>
  <si>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</si>
  <si>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</si>
  <si>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</si>
  <si>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</si>
  <si>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</si>
  <si>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</si>
  <si>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</si>
  <si>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</si>
  <si>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</si>
  <si>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</si>
  <si>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</si>
  <si>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</si>
  <si>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</si>
  <si>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</si>
  <si>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</si>
  <si>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</si>
  <si>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</si>
  <si>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</si>
  <si>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</si>
  <si>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</si>
  <si>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</si>
  <si>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</si>
  <si>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</si>
  <si>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</si>
  <si>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</si>
  <si>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</si>
  <si>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</si>
  <si>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</si>
  <si>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</si>
  <si>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</si>
  <si>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</si>
  <si>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</si>
  <si>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</si>
  <si>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</si>
  <si>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</si>
  <si>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</si>
  <si>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</si>
  <si>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</si>
  <si>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</si>
  <si>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</si>
  <si>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</si>
  <si>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</si>
  <si>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</si>
  <si>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</si>
  <si>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</si>
  <si>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</si>
  <si>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</si>
  <si>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</si>
  <si>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</si>
  <si>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</si>
  <si>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</si>
  <si>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</si>
  <si>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</si>
  <si>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</si>
  <si>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</si>
  <si>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</si>
  <si>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</si>
  <si>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</si>
  <si>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</si>
  <si>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</si>
  <si>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</si>
  <si>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</si>
  <si>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</si>
  <si>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</si>
  <si>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</si>
  <si>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</si>
  <si>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</si>
  <si>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</si>
  <si>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</si>
  <si>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</si>
  <si>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</si>
  <si>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</si>
  <si>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</si>
  <si>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</si>
  <si>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</si>
  <si>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</si>
  <si>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</si>
  <si>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</si>
  <si>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</si>
  <si>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</si>
  <si>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</si>
  <si>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</si>
  <si>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</si>
  <si>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</si>
  <si>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</si>
  <si>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</si>
  <si>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</si>
  <si>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</si>
  <si>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</si>
  <si>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</si>
  <si>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</si>
  <si>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</si>
  <si>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</si>
  <si>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</si>
  <si>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</si>
  <si>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</si>
  <si>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</si>
  <si>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</si>
  <si>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</si>
  <si>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</si>
  <si>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</si>
  <si>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</si>
  <si>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</si>
  <si>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</si>
  <si>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</si>
  <si>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</si>
  <si>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</si>
  <si>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</si>
  <si>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</si>
  <si>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</si>
  <si>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</si>
  <si>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</si>
  <si>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</si>
  <si>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</si>
  <si>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</si>
  <si>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</si>
  <si>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</si>
  <si>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</si>
  <si>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</si>
  <si>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</si>
  <si>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</si>
  <si>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</si>
  <si>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</si>
  <si>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</si>
  <si>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</si>
  <si>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</si>
  <si>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</si>
  <si>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</si>
  <si>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</si>
  <si>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</si>
  <si>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</si>
  <si>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</si>
  <si>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</si>
  <si>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</si>
  <si>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</si>
  <si>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</si>
  <si>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</si>
  <si>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</si>
  <si>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</si>
  <si>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</si>
  <si>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</si>
  <si>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</si>
  <si>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</si>
  <si>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</si>
  <si>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</si>
  <si>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</si>
  <si>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</si>
  <si>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</si>
  <si>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</si>
  <si>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</si>
  <si>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</si>
  <si>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</si>
  <si>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</si>
  <si>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</si>
  <si>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</si>
  <si>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</si>
  <si>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</si>
  <si>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</si>
  <si>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</si>
  <si>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</si>
  <si>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</si>
  <si>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</si>
  <si>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</si>
  <si>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</si>
  <si>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</si>
  <si>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</si>
  <si>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</si>
  <si>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</si>
  <si>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</si>
  <si>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</si>
  <si>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</si>
  <si>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</si>
  <si>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</si>
  <si>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</si>
  <si>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</si>
  <si>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</si>
  <si>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</si>
  <si>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</si>
  <si>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</si>
  <si>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</si>
  <si>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</si>
  <si>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</si>
  <si>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</si>
  <si>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</si>
  <si>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</si>
  <si>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</si>
  <si>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</si>
  <si>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</si>
  <si>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</si>
  <si>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</si>
  <si>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</si>
  <si>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</si>
  <si>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</si>
  <si>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</si>
  <si>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</si>
  <si>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</si>
  <si>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</si>
  <si>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</si>
  <si>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</si>
  <si>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</si>
  <si>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</si>
  <si>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</si>
  <si>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</si>
  <si>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</si>
  <si>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</si>
  <si>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</si>
  <si>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</si>
  <si>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</si>
  <si>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</si>
  <si>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</si>
  <si>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</si>
  <si>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</si>
  <si>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</si>
  <si>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</si>
  <si>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</si>
  <si>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</si>
  <si>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</si>
  <si>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</si>
  <si>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</si>
  <si>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</si>
  <si>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</si>
  <si>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</si>
  <si>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</si>
  <si>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</si>
  <si>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</si>
  <si>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</si>
  <si>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</si>
  <si>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</si>
  <si>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</si>
  <si>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</si>
  <si>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</si>
  <si>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</si>
  <si>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</si>
  <si>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</si>
  <si>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</si>
  <si>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</si>
  <si>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</si>
  <si>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</si>
  <si>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</si>
  <si>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</si>
  <si>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</si>
  <si>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</si>
  <si>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</si>
  <si>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</si>
  <si>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</si>
  <si>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</si>
  <si>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</si>
  <si>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</si>
  <si>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</si>
  <si>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</si>
  <si>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</si>
  <si>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</si>
  <si>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</si>
  <si>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</si>
  <si>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</si>
  <si>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</si>
  <si>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</si>
  <si>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</si>
  <si>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</si>
  <si>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</si>
  <si>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</si>
  <si>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</si>
  <si>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</si>
  <si>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</si>
  <si>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</si>
  <si>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</si>
  <si>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</si>
  <si>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</si>
  <si>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</si>
  <si>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</si>
  <si>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</si>
  <si>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</si>
  <si>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</si>
  <si>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</si>
  <si>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</si>
  <si>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</si>
  <si>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</si>
  <si>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</si>
  <si>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</si>
  <si>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</si>
  <si>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</si>
  <si>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</si>
  <si>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</si>
  <si>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</si>
  <si>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</si>
  <si>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</si>
  <si>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</si>
  <si>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</si>
  <si>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</si>
  <si>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</si>
  <si>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</si>
  <si>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</si>
  <si>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</si>
  <si>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</si>
  <si>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</si>
  <si>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</si>
  <si>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</si>
  <si>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</si>
  <si>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</si>
  <si>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</si>
  <si>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</si>
  <si>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</si>
  <si>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</si>
  <si>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</si>
  <si>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</si>
  <si>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</si>
  <si>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</si>
  <si>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</si>
  <si>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</si>
  <si>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</si>
  <si>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</si>
  <si>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</si>
  <si>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</si>
  <si>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</si>
  <si>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</si>
  <si>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</si>
  <si>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</si>
  <si>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</si>
  <si>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</si>
  <si>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</si>
  <si>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</si>
  <si>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</si>
  <si>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</si>
  <si>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</si>
  <si>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</si>
  <si>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</si>
  <si>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</si>
  <si>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</si>
  <si>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</si>
  <si>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</si>
  <si>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</si>
  <si>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</si>
  <si>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</si>
  <si>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</si>
  <si>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</si>
  <si>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</si>
  <si>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</si>
  <si>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</si>
  <si>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</si>
  <si>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</si>
  <si>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</si>
  <si>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</si>
  <si>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</si>
  <si>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</si>
  <si>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</si>
  <si>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</si>
  <si>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</si>
  <si>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</si>
  <si>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</si>
  <si>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</si>
  <si>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</si>
  <si>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</si>
  <si>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</si>
  <si>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</si>
  <si>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</si>
  <si>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</si>
  <si>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</si>
  <si>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</si>
  <si>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</si>
  <si>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</si>
  <si>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</si>
  <si>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</si>
  <si>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</si>
  <si>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</si>
  <si>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</si>
  <si>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</si>
  <si>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</si>
  <si>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</si>
  <si>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</si>
  <si>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</si>
  <si>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</si>
  <si>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</si>
  <si>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</si>
  <si>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</si>
  <si>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</si>
  <si>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</si>
  <si>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</si>
  <si>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</si>
  <si>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</si>
  <si>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</si>
  <si>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</si>
  <si>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</si>
  <si>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</si>
  <si>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</si>
  <si>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</si>
  <si>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</si>
  <si>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</si>
  <si>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</si>
  <si>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</si>
  <si>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</si>
  <si>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</si>
  <si>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</si>
  <si>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</si>
  <si>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</si>
  <si>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</si>
  <si>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</si>
  <si>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</si>
  <si>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</si>
  <si>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</si>
  <si>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</si>
  <si>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</si>
  <si>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</si>
  <si>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</si>
  <si>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</si>
  <si>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</si>
  <si>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</si>
  <si>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</si>
  <si>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</si>
  <si>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</si>
  <si>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</si>
  <si>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</si>
  <si>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</si>
  <si>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</si>
  <si>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</si>
  <si>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</si>
  <si>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</si>
  <si>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</si>
  <si>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</si>
  <si>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</si>
  <si>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</si>
  <si>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</si>
  <si>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</si>
  <si>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</si>
  <si>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</si>
  <si>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</si>
  <si>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</si>
  <si>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</si>
  <si>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</si>
  <si>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</si>
  <si>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</si>
  <si>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</si>
  <si>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</si>
  <si>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</si>
  <si>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</si>
  <si>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</si>
  <si>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</si>
  <si>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</si>
  <si>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</si>
  <si>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</si>
  <si>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</si>
  <si>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</si>
  <si>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</si>
  <si>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</si>
  <si>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</si>
  <si>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</si>
  <si>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</si>
  <si>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</si>
  <si>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</si>
  <si>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</si>
  <si>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</si>
  <si>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</si>
  <si>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</si>
  <si>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</si>
  <si>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</si>
  <si>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</si>
  <si>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</si>
  <si>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</si>
  <si>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</si>
  <si>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</si>
  <si>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</si>
  <si>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</si>
  <si>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</si>
  <si>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</si>
  <si>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</si>
  <si>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</si>
  <si>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</si>
  <si>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</si>
  <si>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</si>
  <si>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</si>
  <si>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</si>
  <si>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</si>
  <si>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</si>
  <si>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</si>
  <si>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</si>
  <si>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</si>
  <si>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</si>
  <si>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</si>
  <si>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</si>
  <si>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</si>
  <si>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</si>
  <si>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</si>
  <si>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</si>
  <si>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</si>
  <si>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</si>
  <si>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</si>
  <si>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</si>
  <si>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</si>
  <si>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</si>
  <si>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</si>
  <si>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</si>
  <si>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</si>
  <si>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</si>
  <si>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</si>
  <si>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</si>
  <si>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</si>
  <si>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</si>
  <si>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</si>
  <si>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</si>
  <si>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</si>
  <si>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</si>
  <si>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</si>
  <si>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</si>
  <si>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</si>
  <si>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</si>
  <si>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</si>
  <si>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</si>
  <si>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</si>
  <si>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</si>
  <si>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</si>
  <si>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</si>
  <si>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</si>
  <si>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</si>
  <si>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</si>
  <si>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</si>
  <si>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</si>
  <si>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</si>
  <si>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</si>
  <si>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</si>
  <si>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</si>
  <si>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</si>
  <si>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</si>
  <si>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</si>
  <si>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</si>
  <si>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</si>
  <si>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</si>
  <si>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</si>
  <si>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</si>
  <si>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</si>
  <si>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</si>
  <si>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</si>
  <si>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</si>
  <si>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</si>
  <si>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</si>
  <si>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</si>
  <si>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</si>
  <si>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</si>
  <si>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</si>
  <si>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</si>
  <si>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</si>
  <si>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</si>
  <si>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</si>
  <si>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</si>
  <si>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</si>
  <si>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</si>
  <si>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</si>
  <si>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</si>
  <si>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</si>
  <si>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</si>
  <si>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</si>
  <si>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</si>
  <si>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</si>
  <si>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</si>
  <si>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</si>
  <si>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</si>
  <si>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</si>
  <si>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</si>
  <si>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</si>
  <si>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</si>
  <si>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</si>
  <si>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</si>
  <si>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</si>
  <si>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</si>
  <si>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</si>
  <si>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</si>
  <si>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</si>
  <si>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</si>
  <si>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</si>
  <si>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</si>
  <si>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</si>
  <si>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</si>
  <si>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</si>
  <si>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</si>
  <si>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</si>
  <si>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</si>
  <si>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</si>
  <si>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</si>
  <si>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</si>
  <si>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</si>
  <si>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</si>
  <si>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</si>
  <si>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</si>
  <si>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</si>
  <si>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</si>
  <si>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</si>
  <si>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</si>
  <si>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</si>
  <si>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</si>
  <si>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</si>
  <si>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</si>
  <si>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</si>
  <si>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</si>
  <si>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</si>
  <si>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</si>
  <si>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</si>
  <si>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</si>
  <si>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</si>
  <si>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</si>
  <si>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</si>
  <si>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</si>
  <si>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</si>
  <si>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</si>
  <si>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</si>
  <si>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</si>
  <si>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</si>
  <si>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</si>
  <si>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</si>
  <si>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</si>
  <si>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</si>
  <si>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</si>
  <si>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</si>
  <si>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</si>
  <si>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</si>
  <si>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</si>
  <si>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</si>
  <si>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</si>
  <si>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</si>
  <si>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</si>
  <si>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</si>
  <si>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</si>
  <si>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</si>
  <si>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</si>
  <si>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</si>
  <si>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</si>
  <si>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</si>
  <si>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</si>
  <si>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</si>
  <si>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</si>
  <si>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</si>
  <si>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</si>
  <si>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</si>
  <si>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</si>
  <si>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</si>
  <si>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</si>
  <si>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</si>
  <si>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</si>
  <si>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</si>
  <si>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</si>
  <si>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</si>
  <si>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</si>
  <si>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</si>
  <si>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</si>
  <si>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</si>
  <si>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</si>
  <si>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</si>
  <si>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</si>
  <si>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</si>
  <si>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</si>
  <si>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</si>
  <si>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</si>
  <si>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</si>
  <si>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</si>
  <si>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</si>
  <si>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</si>
  <si>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</si>
  <si>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</si>
  <si>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</si>
  <si>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</si>
  <si>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</si>
  <si>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</si>
  <si>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</si>
  <si>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</si>
  <si>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</si>
  <si>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</si>
  <si>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</si>
  <si>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</si>
  <si>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</si>
  <si>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</si>
  <si>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</si>
  <si>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</si>
  <si>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</si>
  <si>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</si>
  <si>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</si>
  <si>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</si>
  <si>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</si>
  <si>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</si>
  <si>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</si>
  <si>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</si>
  <si>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</si>
  <si>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</si>
  <si>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</si>
  <si>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</si>
  <si>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</si>
  <si>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</si>
  <si>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</si>
  <si>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</si>
  <si>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</si>
  <si>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</si>
  <si>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</si>
  <si>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</si>
  <si>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</si>
  <si>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</si>
  <si>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</si>
  <si>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</si>
  <si>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</si>
  <si>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</si>
  <si>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</si>
  <si>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</si>
  <si>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</si>
  <si>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</si>
  <si>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</si>
  <si>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</si>
  <si>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</si>
  <si>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</si>
  <si>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</si>
  <si>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</si>
  <si>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</si>
  <si>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</si>
  <si>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</si>
  <si>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</si>
  <si>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</si>
  <si>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</si>
  <si>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</si>
  <si>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</si>
  <si>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</si>
  <si>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</si>
  <si>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</si>
  <si>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</si>
  <si>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</si>
  <si>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</si>
  <si>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</si>
  <si>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</si>
  <si>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</si>
  <si>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</si>
  <si>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</si>
  <si>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</si>
  <si>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</si>
  <si>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</si>
  <si>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</si>
  <si>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</si>
  <si>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</si>
  <si>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</si>
  <si>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</si>
  <si>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</si>
  <si>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</si>
  <si>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</si>
  <si>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</si>
  <si>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</si>
  <si>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</si>
  <si>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</si>
  <si>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</si>
  <si>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</si>
  <si>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</si>
  <si>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</si>
  <si>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</si>
  <si>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</si>
  <si>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</si>
  <si>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</si>
  <si>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</si>
  <si>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</si>
  <si>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</si>
  <si>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</si>
  <si>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</si>
  <si>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</si>
  <si>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</si>
  <si>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</si>
  <si>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</si>
  <si>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</si>
  <si>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</si>
  <si>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</si>
  <si>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</si>
  <si>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</si>
  <si>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</si>
  <si>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</si>
  <si>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</si>
  <si>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</si>
  <si>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</si>
  <si>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</si>
  <si>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</si>
  <si>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</si>
  <si>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</si>
  <si>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</si>
  <si>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</si>
  <si>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</si>
  <si>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</si>
  <si>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</si>
  <si>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</si>
  <si>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</si>
  <si>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</si>
  <si>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</si>
  <si>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</si>
  <si>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</si>
  <si>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</si>
  <si>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</si>
  <si>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</si>
  <si>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</si>
  <si>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</si>
  <si>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</si>
  <si>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</si>
  <si>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</si>
  <si>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</si>
  <si>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</si>
  <si>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</si>
  <si>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</si>
  <si>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</si>
  <si>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</si>
  <si>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</si>
  <si>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</si>
  <si>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</si>
  <si>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</si>
  <si>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</si>
  <si>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</si>
  <si>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</si>
  <si>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</si>
  <si>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</si>
  <si>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</si>
  <si>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</si>
  <si>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</si>
  <si>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</si>
  <si>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30.09.26</t>
  </si>
  <si>
    <t>מגדל גמל להשקעה - אשראי ואג"ח</t>
  </si>
  <si>
    <t>מגדל גמל להשקעה - מסלול משולב סחיר</t>
  </si>
  <si>
    <t>מגדל גמל להשקעה - מסלול מניות סחיר</t>
  </si>
  <si>
    <t>מגדל גמל להשקעה -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</si>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</sst>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4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7" t="s">
        <v>1429</v>
      </c>
      <c r="D1" s="8" t="s">
        <v>74</v>
      </c>
    </row>
    <row r="2" spans="1:4">
      <c r="A2" s="73" t="s">
        <v>64</v>
      </c>
      <c r="B2" s="9">
        <v>1</v>
      </c>
      <c r="C2" s="9" t="s">
        <v>65</v>
      </c>
      <c r="D2" s="10" t="s">
        <v>79</v>
      </c>
    </row>
    <row r="3" spans="1:4">
      <c r="A3" s="78"/>
      <c r="B3" s="9">
        <v>2</v>
      </c>
      <c r="C3" s="9" t="s">
        <v>66</v>
      </c>
      <c r="D3" s="10" t="s">
        <v>67</v>
      </c>
    </row>
    <row r="4" spans="1:4">
      <c r="A4" s="78"/>
      <c r="B4" s="9">
        <v>3</v>
      </c>
      <c r="C4" s="9" t="s">
        <v>68</v>
      </c>
      <c r="D4" s="10" t="s">
        <v>69</v>
      </c>
    </row>
    <row r="5" spans="1:4">
      <c r="A5" s="78"/>
      <c r="B5" s="74">
        <v>4</v>
      </c>
      <c r="C5" s="9" t="s">
        <v>70</v>
      </c>
      <c r="D5" s="10" t="s">
        <v>75</v>
      </c>
    </row>
    <row r="6" spans="1:4">
      <c r="A6" s="78"/>
      <c r="B6" s="79"/>
      <c r="C6" s="80"/>
      <c r="D6" s="58" t="s">
        <v>909</v>
      </c>
    </row>
    <row r="7" spans="1:4">
      <c r="A7" s="78"/>
      <c r="B7" s="79"/>
      <c r="C7" s="80"/>
      <c r="D7" s="57" t="s">
        <v>1384</v>
      </c>
    </row>
    <row r="8" spans="1:4">
      <c r="A8" s="78"/>
      <c r="B8" s="79"/>
      <c r="C8" s="80"/>
      <c r="D8" s="59" t="s">
        <v>1385</v>
      </c>
    </row>
    <row r="9" spans="1:4">
      <c r="A9" s="78"/>
      <c r="B9" s="79"/>
      <c r="C9" s="80"/>
      <c r="D9" s="10" t="s">
        <v>76</v>
      </c>
    </row>
    <row r="10" spans="1:4">
      <c r="A10" s="78"/>
      <c r="B10" s="79"/>
      <c r="C10" s="80"/>
      <c r="D10" s="58" t="s">
        <v>77</v>
      </c>
    </row>
    <row r="11" spans="1:4">
      <c r="A11" s="78"/>
      <c r="B11" s="79"/>
      <c r="C11" s="80"/>
      <c r="D11" s="57" t="s">
        <v>78</v>
      </c>
    </row>
    <row r="12" spans="1:4">
      <c r="A12" s="78"/>
      <c r="B12" s="79"/>
      <c r="C12" s="80"/>
      <c r="D12" s="10" t="s">
        <v>71</v>
      </c>
    </row>
    <row r="13" spans="1:4">
      <c r="A13" s="78"/>
      <c r="B13" s="79"/>
      <c r="C13" s="80"/>
      <c r="D13" s="10" t="s">
        <v>1377</v>
      </c>
    </row>
    <row r="14" spans="1:4">
      <c r="A14" s="78"/>
      <c r="B14" s="79"/>
      <c r="C14" s="80"/>
      <c r="D14" s="10" t="s">
        <v>1378</v>
      </c>
    </row>
    <row r="15" spans="1:4">
      <c r="A15" s="75" t="s">
        <v>905</v>
      </c>
      <c r="B15" s="9">
        <v>5</v>
      </c>
      <c r="C15" s="9" t="s">
        <v>72</v>
      </c>
      <c r="D15" s="10" t="s">
        <v>73</v>
      </c>
    </row>
    <row r="16" spans="1:4">
      <c r="A16" s="81"/>
      <c r="B16" s="9">
        <v>6</v>
      </c>
      <c r="C16" s="80"/>
      <c r="D16" s="9" t="s">
        <v>904</v>
      </c>
    </row>
    <row r="17" spans="1:4" ht="28.5">
      <c r="A17" s="82"/>
      <c r="B17" s="9">
        <v>7</v>
      </c>
      <c r="C17" s="80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14944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- אשראי ואג"ח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5"/>
      <c r="B1" s="3" t="s">
        <v>0</v>
      </c>
    </row>
    <row r="2" spans="1:31" ht="18.75">
      <c r="A2" s="125"/>
      <c r="B2" s="6" t="s">
        <v>821</v>
      </c>
      <c r="C2" s="25">
        <f>הנחיות!B21</f>
        <v>14944</v>
      </c>
      <c r="D2" s="76"/>
      <c r="E2" s="76"/>
    </row>
    <row r="3" spans="1:31" ht="18.75">
      <c r="A3" s="125"/>
      <c r="B3" s="7" t="s">
        <v>28</v>
      </c>
      <c r="C3" s="24" t="str">
        <f ca="1">הנחיות!B23</f>
        <v>מגדל גמל להשקעה - אשראי ואג"ח</v>
      </c>
      <c r="D3" s="24"/>
    </row>
    <row r="4" spans="1:31" ht="18.75">
      <c r="A4" s="125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5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4">
        <f>W5+1</f>
        <v>1</v>
      </c>
      <c r="Z5" s="4"/>
    </row>
    <row r="6" spans="1:31" s="20" customFormat="1" ht="47.45" customHeight="1">
      <c r="A6" s="127"/>
      <c r="B6" s="119" t="s">
        <v>26</v>
      </c>
      <c r="C6" s="120" t="s">
        <v>30</v>
      </c>
      <c r="D6" s="121" t="s">
        <v>31</v>
      </c>
      <c r="E6" s="122" t="s">
        <v>32</v>
      </c>
      <c r="F6" s="123" t="s">
        <v>33</v>
      </c>
      <c r="G6" s="120" t="s">
        <v>34</v>
      </c>
      <c r="H6" s="121" t="s">
        <v>35</v>
      </c>
      <c r="I6" s="122" t="s">
        <v>36</v>
      </c>
      <c r="J6" s="123" t="s">
        <v>37</v>
      </c>
      <c r="K6" s="120" t="s">
        <v>38</v>
      </c>
      <c r="L6" s="121" t="s">
        <v>39</v>
      </c>
      <c r="M6" s="122" t="s">
        <v>40</v>
      </c>
      <c r="N6" s="123" t="s">
        <v>41</v>
      </c>
      <c r="O6" s="120" t="s">
        <v>42</v>
      </c>
      <c r="P6" s="121" t="s">
        <v>43</v>
      </c>
      <c r="Q6" s="122" t="s">
        <v>44</v>
      </c>
      <c r="R6" s="123" t="s">
        <v>45</v>
      </c>
      <c r="S6" s="120" t="s">
        <v>46</v>
      </c>
      <c r="T6" s="121" t="s">
        <v>47</v>
      </c>
      <c r="U6" s="122" t="s">
        <v>48</v>
      </c>
      <c r="V6" s="123" t="s">
        <v>49</v>
      </c>
      <c r="W6" s="120" t="s">
        <v>50</v>
      </c>
      <c r="X6" s="121" t="s">
        <v>51</v>
      </c>
      <c r="Y6" s="122" t="s">
        <v>52</v>
      </c>
      <c r="Z6" s="124" t="s">
        <v>53</v>
      </c>
      <c r="AE6" s="21"/>
    </row>
    <row r="7" spans="1:31">
      <c r="A7" s="125"/>
      <c r="B7" s="89" t="s">
        <v>1</v>
      </c>
      <c r="C7" s="90">
        <v>-1.511872840863249E-6</v>
      </c>
      <c r="D7" s="91">
        <v>8.7459538682518712E-2</v>
      </c>
      <c r="E7" s="92">
        <v>2.818620959418407E-4</v>
      </c>
      <c r="F7" s="93">
        <v>8.8178579486411751E-2</v>
      </c>
      <c r="G7" s="90">
        <v>5.5633471794331517E-4</v>
      </c>
      <c r="H7" s="91">
        <v>8.4139295100331177E-2</v>
      </c>
      <c r="I7" s="92">
        <v>-4.8154648217561342E-4</v>
      </c>
      <c r="J7" s="93">
        <v>8.721865873668376E-2</v>
      </c>
      <c r="K7" s="90">
        <v>-7.063726760979936E-5</v>
      </c>
      <c r="L7" s="91">
        <v>8.1312199438321728E-2</v>
      </c>
      <c r="M7" s="92">
        <v>5.9203586303692955E-4</v>
      </c>
      <c r="N7" s="93">
        <v>6.543370404754581E-2</v>
      </c>
      <c r="O7" s="90">
        <v>4.2326925553756023E-4</v>
      </c>
      <c r="P7" s="91">
        <v>6.926371160630547E-2</v>
      </c>
      <c r="Q7" s="92">
        <v>-3.1233863150973524E-5</v>
      </c>
      <c r="R7" s="93">
        <v>8.4817082411853581E-2</v>
      </c>
      <c r="S7" s="90">
        <v>6.5440636286882316E-4</v>
      </c>
      <c r="T7" s="91">
        <v>8.320458426003946E-2</v>
      </c>
      <c r="U7" s="92" t="s">
        <v>1409</v>
      </c>
      <c r="V7" s="93" t="s">
        <v>1409</v>
      </c>
      <c r="W7" s="90" t="s">
        <v>1409</v>
      </c>
      <c r="X7" s="91" t="s">
        <v>1409</v>
      </c>
      <c r="Y7" s="92" t="s">
        <v>1409</v>
      </c>
      <c r="Z7" s="94" t="s">
        <v>1409</v>
      </c>
      <c r="AE7" s="2"/>
    </row>
    <row r="8" spans="1:31" ht="30">
      <c r="A8" s="125"/>
      <c r="B8" s="95" t="s">
        <v>908</v>
      </c>
      <c r="C8" s="90">
        <v>1.5007112382980096E-3</v>
      </c>
      <c r="D8" s="91">
        <v>0.25765605712265854</v>
      </c>
      <c r="E8" s="92">
        <v>5.7710923270852023E-4</v>
      </c>
      <c r="F8" s="93">
        <v>0.25773741280808088</v>
      </c>
      <c r="G8" s="90">
        <v>-3.2223390279131122E-3</v>
      </c>
      <c r="H8" s="91">
        <v>0.25971369268348332</v>
      </c>
      <c r="I8" s="92">
        <v>1.7095294515244498E-3</v>
      </c>
      <c r="J8" s="93">
        <v>0.25860030102290116</v>
      </c>
      <c r="K8" s="90">
        <v>4.3825261043542339E-3</v>
      </c>
      <c r="L8" s="91">
        <v>0.24866017785108144</v>
      </c>
      <c r="M8" s="92">
        <v>1.6067104436346012E-3</v>
      </c>
      <c r="N8" s="93">
        <v>0.24839161627798925</v>
      </c>
      <c r="O8" s="90">
        <v>-1.6176898747231206E-3</v>
      </c>
      <c r="P8" s="91">
        <v>0.24575713031638488</v>
      </c>
      <c r="Q8" s="92">
        <v>7.2441994904128091E-4</v>
      </c>
      <c r="R8" s="93">
        <v>0.24155548652273298</v>
      </c>
      <c r="S8" s="90">
        <v>-2.0170064261197328E-3</v>
      </c>
      <c r="T8" s="91">
        <v>0.23936189397244131</v>
      </c>
      <c r="U8" s="92" t="s">
        <v>1409</v>
      </c>
      <c r="V8" s="93" t="s">
        <v>1409</v>
      </c>
      <c r="W8" s="90" t="s">
        <v>1409</v>
      </c>
      <c r="X8" s="91" t="s">
        <v>1409</v>
      </c>
      <c r="Y8" s="92" t="s">
        <v>1409</v>
      </c>
      <c r="Z8" s="94" t="s">
        <v>1409</v>
      </c>
      <c r="AE8" s="2"/>
    </row>
    <row r="9" spans="1:31">
      <c r="A9" s="125"/>
      <c r="B9" s="96" t="s">
        <v>2</v>
      </c>
      <c r="C9" s="90">
        <v>0</v>
      </c>
      <c r="D9" s="91">
        <v>0</v>
      </c>
      <c r="E9" s="92">
        <v>0</v>
      </c>
      <c r="F9" s="93">
        <v>0</v>
      </c>
      <c r="G9" s="90">
        <v>0</v>
      </c>
      <c r="H9" s="91">
        <v>0</v>
      </c>
      <c r="I9" s="92">
        <v>0</v>
      </c>
      <c r="J9" s="93">
        <v>0</v>
      </c>
      <c r="K9" s="90">
        <v>0</v>
      </c>
      <c r="L9" s="91">
        <v>0</v>
      </c>
      <c r="M9" s="92">
        <v>0</v>
      </c>
      <c r="N9" s="93">
        <v>0</v>
      </c>
      <c r="O9" s="90">
        <v>0</v>
      </c>
      <c r="P9" s="91">
        <v>0</v>
      </c>
      <c r="Q9" s="92">
        <v>0</v>
      </c>
      <c r="R9" s="93">
        <v>0</v>
      </c>
      <c r="S9" s="90">
        <v>0</v>
      </c>
      <c r="T9" s="91">
        <v>0</v>
      </c>
      <c r="U9" s="92" t="s">
        <v>1409</v>
      </c>
      <c r="V9" s="93" t="s">
        <v>1409</v>
      </c>
      <c r="W9" s="90" t="s">
        <v>1409</v>
      </c>
      <c r="X9" s="91" t="s">
        <v>1409</v>
      </c>
      <c r="Y9" s="92" t="s">
        <v>1409</v>
      </c>
      <c r="Z9" s="94" t="s">
        <v>1409</v>
      </c>
      <c r="AE9" s="2"/>
    </row>
    <row r="10" spans="1:31">
      <c r="A10" s="125"/>
      <c r="B10" s="96" t="s">
        <v>3</v>
      </c>
      <c r="C10" s="90">
        <v>0</v>
      </c>
      <c r="D10" s="91">
        <v>0</v>
      </c>
      <c r="E10" s="92">
        <v>0</v>
      </c>
      <c r="F10" s="93">
        <v>0</v>
      </c>
      <c r="G10" s="90">
        <v>0</v>
      </c>
      <c r="H10" s="91">
        <v>0</v>
      </c>
      <c r="I10" s="92">
        <v>0</v>
      </c>
      <c r="J10" s="93">
        <v>0</v>
      </c>
      <c r="K10" s="90">
        <v>0</v>
      </c>
      <c r="L10" s="91">
        <v>0</v>
      </c>
      <c r="M10" s="92">
        <v>0</v>
      </c>
      <c r="N10" s="93">
        <v>0</v>
      </c>
      <c r="O10" s="90">
        <v>0</v>
      </c>
      <c r="P10" s="91">
        <v>0</v>
      </c>
      <c r="Q10" s="92">
        <v>0</v>
      </c>
      <c r="R10" s="93">
        <v>0</v>
      </c>
      <c r="S10" s="90">
        <v>0</v>
      </c>
      <c r="T10" s="91">
        <v>0</v>
      </c>
      <c r="U10" s="92" t="s">
        <v>1409</v>
      </c>
      <c r="V10" s="93" t="s">
        <v>1409</v>
      </c>
      <c r="W10" s="90" t="s">
        <v>1409</v>
      </c>
      <c r="X10" s="91" t="s">
        <v>1409</v>
      </c>
      <c r="Y10" s="92" t="s">
        <v>1409</v>
      </c>
      <c r="Z10" s="94" t="s">
        <v>1409</v>
      </c>
      <c r="AE10" s="2"/>
    </row>
    <row r="11" spans="1:31">
      <c r="A11" s="125"/>
      <c r="B11" s="96" t="s">
        <v>4</v>
      </c>
      <c r="C11" s="90">
        <v>3.2034314478461491E-4</v>
      </c>
      <c r="D11" s="91">
        <v>0.35783187624115603</v>
      </c>
      <c r="E11" s="92">
        <v>-5.8591108073153408E-5</v>
      </c>
      <c r="F11" s="93">
        <v>0.3621818915828719</v>
      </c>
      <c r="G11" s="90">
        <v>-1.4733150010082482E-3</v>
      </c>
      <c r="H11" s="91">
        <v>0.36199581992823576</v>
      </c>
      <c r="I11" s="92">
        <v>2.0005234519531157E-3</v>
      </c>
      <c r="J11" s="93">
        <v>0.36355739806791232</v>
      </c>
      <c r="K11" s="90">
        <v>3.1651695328751049E-3</v>
      </c>
      <c r="L11" s="91">
        <v>0.37657784020290108</v>
      </c>
      <c r="M11" s="92">
        <v>3.8796962039031901E-3</v>
      </c>
      <c r="N11" s="93">
        <v>0.35759309059561412</v>
      </c>
      <c r="O11" s="90">
        <v>8.8675032718386741E-4</v>
      </c>
      <c r="P11" s="91">
        <v>0.34985452772272857</v>
      </c>
      <c r="Q11" s="92">
        <v>1.2641831800427864E-4</v>
      </c>
      <c r="R11" s="93">
        <v>0.33826078701559043</v>
      </c>
      <c r="S11" s="90">
        <v>-5.7709474430096125E-4</v>
      </c>
      <c r="T11" s="91">
        <v>0.33932540848028775</v>
      </c>
      <c r="U11" s="92" t="s">
        <v>1409</v>
      </c>
      <c r="V11" s="93" t="s">
        <v>1409</v>
      </c>
      <c r="W11" s="90" t="s">
        <v>1409</v>
      </c>
      <c r="X11" s="91" t="s">
        <v>1409</v>
      </c>
      <c r="Y11" s="92" t="s">
        <v>1409</v>
      </c>
      <c r="Z11" s="94" t="s">
        <v>1409</v>
      </c>
      <c r="AE11" s="2"/>
    </row>
    <row r="12" spans="1:31">
      <c r="A12" s="125"/>
      <c r="B12" s="96" t="s">
        <v>5</v>
      </c>
      <c r="C12" s="90">
        <v>-2.8072765754251161E-5</v>
      </c>
      <c r="D12" s="91">
        <v>1.2455394511456302E-2</v>
      </c>
      <c r="E12" s="92">
        <v>-5.195940464647089E-6</v>
      </c>
      <c r="F12" s="93">
        <v>1.2204835718027445E-2</v>
      </c>
      <c r="G12" s="90">
        <v>-6.8301939206036642E-5</v>
      </c>
      <c r="H12" s="91">
        <v>1.2345190183802136E-2</v>
      </c>
      <c r="I12" s="92">
        <v>1.158810238186223E-4</v>
      </c>
      <c r="J12" s="93">
        <v>1.2050780359637929E-2</v>
      </c>
      <c r="K12" s="90">
        <v>1.9170128426321354E-4</v>
      </c>
      <c r="L12" s="91">
        <v>1.178060810036196E-2</v>
      </c>
      <c r="M12" s="92">
        <v>5.1241419199217459E-5</v>
      </c>
      <c r="N12" s="93">
        <v>1.1765222068270347E-2</v>
      </c>
      <c r="O12" s="90">
        <v>-1.1434775195873665E-5</v>
      </c>
      <c r="P12" s="91">
        <v>1.0815979405950213E-2</v>
      </c>
      <c r="Q12" s="92">
        <v>5.7553494277802487E-5</v>
      </c>
      <c r="R12" s="93">
        <v>1.11279924193573E-2</v>
      </c>
      <c r="S12" s="90">
        <v>-1.2167313703834182E-5</v>
      </c>
      <c r="T12" s="91">
        <v>1.1197945910790603E-2</v>
      </c>
      <c r="U12" s="92" t="s">
        <v>1409</v>
      </c>
      <c r="V12" s="93" t="s">
        <v>1409</v>
      </c>
      <c r="W12" s="90" t="s">
        <v>1409</v>
      </c>
      <c r="X12" s="91" t="s">
        <v>1409</v>
      </c>
      <c r="Y12" s="92" t="s">
        <v>1409</v>
      </c>
      <c r="Z12" s="94" t="s">
        <v>1409</v>
      </c>
      <c r="AE12" s="2"/>
    </row>
    <row r="13" spans="1:31">
      <c r="A13" s="125"/>
      <c r="B13" s="96" t="s">
        <v>6</v>
      </c>
      <c r="C13" s="90">
        <v>1.4036907503857342E-3</v>
      </c>
      <c r="D13" s="91">
        <v>1.7968310454582245E-2</v>
      </c>
      <c r="E13" s="92">
        <v>8.6320483951025494E-5</v>
      </c>
      <c r="F13" s="93">
        <v>1.7678610677049324E-2</v>
      </c>
      <c r="G13" s="90">
        <v>-3.5503957797014318E-4</v>
      </c>
      <c r="H13" s="91">
        <v>1.7744241052313744E-2</v>
      </c>
      <c r="I13" s="92">
        <v>1.4459220790282632E-3</v>
      </c>
      <c r="J13" s="93">
        <v>1.8626681048488618E-2</v>
      </c>
      <c r="K13" s="90">
        <v>7.263445347507944E-4</v>
      </c>
      <c r="L13" s="91">
        <v>1.9293824450116275E-2</v>
      </c>
      <c r="M13" s="92">
        <v>-9.9632448216348929E-4</v>
      </c>
      <c r="N13" s="93">
        <v>1.761325112358279E-2</v>
      </c>
      <c r="O13" s="90">
        <v>-2.4402007834851809E-4</v>
      </c>
      <c r="P13" s="91">
        <v>1.4450776279454578E-2</v>
      </c>
      <c r="Q13" s="92">
        <v>5.397647854587695E-5</v>
      </c>
      <c r="R13" s="93">
        <v>1.4717882995149255E-2</v>
      </c>
      <c r="S13" s="90">
        <v>2.9157017918771014E-4</v>
      </c>
      <c r="T13" s="91">
        <v>1.5142501174372023E-2</v>
      </c>
      <c r="U13" s="92" t="s">
        <v>1409</v>
      </c>
      <c r="V13" s="93" t="s">
        <v>1409</v>
      </c>
      <c r="W13" s="90" t="s">
        <v>1409</v>
      </c>
      <c r="X13" s="91" t="s">
        <v>1409</v>
      </c>
      <c r="Y13" s="92" t="s">
        <v>1409</v>
      </c>
      <c r="Z13" s="94" t="s">
        <v>1409</v>
      </c>
      <c r="AE13" s="2"/>
    </row>
    <row r="14" spans="1:31">
      <c r="A14" s="125"/>
      <c r="B14" s="96" t="s">
        <v>62</v>
      </c>
      <c r="C14" s="90">
        <v>1.4646329196033403E-4</v>
      </c>
      <c r="D14" s="91">
        <v>6.2984870491713821E-2</v>
      </c>
      <c r="E14" s="92">
        <v>-1.0777342820825768E-4</v>
      </c>
      <c r="F14" s="93">
        <v>6.0477149415243139E-2</v>
      </c>
      <c r="G14" s="90">
        <v>-6.0749444742727089E-4</v>
      </c>
      <c r="H14" s="91">
        <v>6.0044244097058865E-2</v>
      </c>
      <c r="I14" s="92">
        <v>2.669155477257949E-4</v>
      </c>
      <c r="J14" s="93">
        <v>5.6626167759177205E-2</v>
      </c>
      <c r="K14" s="90">
        <v>-1.5112596487532981E-4</v>
      </c>
      <c r="L14" s="91">
        <v>5.5014013297196726E-2</v>
      </c>
      <c r="M14" s="92">
        <v>8.8818170008395873E-4</v>
      </c>
      <c r="N14" s="93">
        <v>5.2082542908429515E-2</v>
      </c>
      <c r="O14" s="90">
        <v>3.3802791756976477E-4</v>
      </c>
      <c r="P14" s="91">
        <v>5.3106097353141986E-2</v>
      </c>
      <c r="Q14" s="92">
        <v>-1.4158523945445426E-5</v>
      </c>
      <c r="R14" s="93">
        <v>5.2934463795868102E-2</v>
      </c>
      <c r="S14" s="90">
        <v>-1.7971584864742948E-5</v>
      </c>
      <c r="T14" s="91">
        <v>5.2751664635353038E-2</v>
      </c>
      <c r="U14" s="92" t="s">
        <v>1409</v>
      </c>
      <c r="V14" s="93" t="s">
        <v>1409</v>
      </c>
      <c r="W14" s="90" t="s">
        <v>1409</v>
      </c>
      <c r="X14" s="91" t="s">
        <v>1409</v>
      </c>
      <c r="Y14" s="92" t="s">
        <v>1409</v>
      </c>
      <c r="Z14" s="94" t="s">
        <v>1409</v>
      </c>
      <c r="AE14" s="2"/>
    </row>
    <row r="15" spans="1:31">
      <c r="A15" s="125"/>
      <c r="B15" s="96" t="s">
        <v>7</v>
      </c>
      <c r="C15" s="90">
        <v>-9.9148652406636439E-5</v>
      </c>
      <c r="D15" s="91">
        <v>5.9913529857921035E-3</v>
      </c>
      <c r="E15" s="92">
        <v>7.4893445278368162E-5</v>
      </c>
      <c r="F15" s="93">
        <v>5.9031712366993672E-3</v>
      </c>
      <c r="G15" s="90">
        <v>-1.6928118864254842E-5</v>
      </c>
      <c r="H15" s="91">
        <v>5.7869541496353219E-3</v>
      </c>
      <c r="I15" s="92">
        <v>-3.1059829035638855E-4</v>
      </c>
      <c r="J15" s="93">
        <v>5.7000983134565903E-3</v>
      </c>
      <c r="K15" s="90">
        <v>-2.3551154152887997E-4</v>
      </c>
      <c r="L15" s="91">
        <v>5.5035506684608243E-3</v>
      </c>
      <c r="M15" s="92">
        <v>3.1079021042396165E-4</v>
      </c>
      <c r="N15" s="93">
        <v>5.3575538800128405E-3</v>
      </c>
      <c r="O15" s="90">
        <v>1.3909668070904985E-4</v>
      </c>
      <c r="P15" s="91">
        <v>5.3171007937092346E-3</v>
      </c>
      <c r="Q15" s="92">
        <v>-8.4933923929148136E-5</v>
      </c>
      <c r="R15" s="93">
        <v>5.3306855966451386E-3</v>
      </c>
      <c r="S15" s="90">
        <v>1.2252670145581826E-4</v>
      </c>
      <c r="T15" s="91">
        <v>5.4510770028688938E-3</v>
      </c>
      <c r="U15" s="92" t="s">
        <v>1409</v>
      </c>
      <c r="V15" s="93" t="s">
        <v>1409</v>
      </c>
      <c r="W15" s="90" t="s">
        <v>1409</v>
      </c>
      <c r="X15" s="91" t="s">
        <v>1409</v>
      </c>
      <c r="Y15" s="92" t="s">
        <v>1409</v>
      </c>
      <c r="Z15" s="94" t="s">
        <v>1409</v>
      </c>
      <c r="AE15" s="2"/>
    </row>
    <row r="16" spans="1:31">
      <c r="A16" s="125"/>
      <c r="B16" s="96" t="s">
        <v>8</v>
      </c>
      <c r="C16" s="90">
        <v>-9.4670770406463751E-4</v>
      </c>
      <c r="D16" s="91">
        <v>5.68627610365776E-2</v>
      </c>
      <c r="E16" s="92">
        <v>2.272532360143332E-4</v>
      </c>
      <c r="F16" s="93">
        <v>5.5890230120693107E-2</v>
      </c>
      <c r="G16" s="90">
        <v>6.1817553322531004E-4</v>
      </c>
      <c r="H16" s="91">
        <v>5.7083109294135521E-2</v>
      </c>
      <c r="I16" s="92">
        <v>-3.1250854671266326E-3</v>
      </c>
      <c r="J16" s="93">
        <v>5.6643043058646293E-2</v>
      </c>
      <c r="K16" s="90">
        <v>-2.4391903080730904E-3</v>
      </c>
      <c r="L16" s="91">
        <v>5.2097292652593212E-2</v>
      </c>
      <c r="M16" s="92">
        <v>2.2888756282604997E-3</v>
      </c>
      <c r="N16" s="93">
        <v>5.1895023646960796E-2</v>
      </c>
      <c r="O16" s="90">
        <v>1.8514557924089842E-3</v>
      </c>
      <c r="P16" s="91">
        <v>5.3644908354525497E-2</v>
      </c>
      <c r="Q16" s="92">
        <v>-4.5136257874840745E-4</v>
      </c>
      <c r="R16" s="93">
        <v>5.3867406782200422E-2</v>
      </c>
      <c r="S16" s="90">
        <v>7.8123910940284494E-4</v>
      </c>
      <c r="T16" s="91">
        <v>5.5050732120413087E-2</v>
      </c>
      <c r="U16" s="92" t="s">
        <v>1409</v>
      </c>
      <c r="V16" s="93" t="s">
        <v>1409</v>
      </c>
      <c r="W16" s="90" t="s">
        <v>1409</v>
      </c>
      <c r="X16" s="91" t="s">
        <v>1409</v>
      </c>
      <c r="Y16" s="92" t="s">
        <v>1409</v>
      </c>
      <c r="Z16" s="94" t="s">
        <v>1409</v>
      </c>
      <c r="AE16" s="2"/>
    </row>
    <row r="17" spans="1:31">
      <c r="A17" s="125"/>
      <c r="B17" s="96" t="s">
        <v>9</v>
      </c>
      <c r="C17" s="90">
        <v>1.4809471073329163E-6</v>
      </c>
      <c r="D17" s="91">
        <v>1.6952055802656071E-5</v>
      </c>
      <c r="E17" s="92">
        <v>1.5008979058064514E-6</v>
      </c>
      <c r="F17" s="93">
        <v>1.9621484533508704E-5</v>
      </c>
      <c r="G17" s="90">
        <v>1.5926222905287326E-4</v>
      </c>
      <c r="H17" s="91">
        <v>2.9935059899303298E-5</v>
      </c>
      <c r="I17" s="92">
        <v>4.8541965266598577E-6</v>
      </c>
      <c r="J17" s="93">
        <v>2.5936658375151617E-4</v>
      </c>
      <c r="K17" s="90">
        <v>6.4062040474784641E-6</v>
      </c>
      <c r="L17" s="91">
        <v>2.5437810301245001E-4</v>
      </c>
      <c r="M17" s="92">
        <v>-6.9901856476542336E-6</v>
      </c>
      <c r="N17" s="93">
        <v>2.4994981614648358E-4</v>
      </c>
      <c r="O17" s="90">
        <v>-1.1906530057538995E-6</v>
      </c>
      <c r="P17" s="91">
        <v>2.3623025502635857E-4</v>
      </c>
      <c r="Q17" s="92">
        <v>3.044579737442582E-6</v>
      </c>
      <c r="R17" s="93">
        <v>2.3677412710301326E-4</v>
      </c>
      <c r="S17" s="90">
        <v>-1.0888566229064742E-6</v>
      </c>
      <c r="T17" s="91">
        <v>2.421314884683845E-4</v>
      </c>
      <c r="U17" s="92" t="s">
        <v>1409</v>
      </c>
      <c r="V17" s="93" t="s">
        <v>1409</v>
      </c>
      <c r="W17" s="90" t="s">
        <v>1409</v>
      </c>
      <c r="X17" s="91" t="s">
        <v>1409</v>
      </c>
      <c r="Y17" s="92" t="s">
        <v>1409</v>
      </c>
      <c r="Z17" s="94" t="s">
        <v>1409</v>
      </c>
      <c r="AE17" s="2"/>
    </row>
    <row r="18" spans="1:31">
      <c r="A18" s="125"/>
      <c r="B18" s="96" t="s">
        <v>10</v>
      </c>
      <c r="C18" s="90">
        <v>2.9700898446210215E-3</v>
      </c>
      <c r="D18" s="91">
        <v>3.2620299932976833E-3</v>
      </c>
      <c r="E18" s="92">
        <v>4.2861894344110835E-4</v>
      </c>
      <c r="F18" s="93">
        <v>4.243611543032046E-3</v>
      </c>
      <c r="G18" s="90">
        <v>-2.5960735812819444E-3</v>
      </c>
      <c r="H18" s="91">
        <v>3.2598559478742898E-3</v>
      </c>
      <c r="I18" s="92">
        <v>7.1706607943029218E-3</v>
      </c>
      <c r="J18" s="93">
        <v>5.3252943670036466E-3</v>
      </c>
      <c r="K18" s="90">
        <v>5.2548230357004986E-3</v>
      </c>
      <c r="L18" s="91">
        <v>1.0139314824245281E-2</v>
      </c>
      <c r="M18" s="92">
        <v>-4.7707596890871791E-3</v>
      </c>
      <c r="N18" s="93">
        <v>8.8250230797502251E-3</v>
      </c>
      <c r="O18" s="90">
        <v>-4.4085065333713839E-3</v>
      </c>
      <c r="P18" s="91">
        <v>4.9413258323906225E-3</v>
      </c>
      <c r="Q18" s="92">
        <v>2.8240128425848113E-3</v>
      </c>
      <c r="R18" s="93">
        <v>5.6136129374250339E-3</v>
      </c>
      <c r="S18" s="90">
        <v>-3.5362758203461545E-3</v>
      </c>
      <c r="T18" s="91">
        <v>3.980474249338126E-3</v>
      </c>
      <c r="U18" s="92" t="s">
        <v>1409</v>
      </c>
      <c r="V18" s="93" t="s">
        <v>1409</v>
      </c>
      <c r="W18" s="90" t="s">
        <v>1409</v>
      </c>
      <c r="X18" s="91" t="s">
        <v>1409</v>
      </c>
      <c r="Y18" s="92" t="s">
        <v>1409</v>
      </c>
      <c r="Z18" s="94" t="s">
        <v>1409</v>
      </c>
      <c r="AE18" s="2"/>
    </row>
    <row r="19" spans="1:31">
      <c r="A19" s="125"/>
      <c r="B19" s="96" t="s">
        <v>11</v>
      </c>
      <c r="C19" s="90">
        <v>1.5894919643980557E-5</v>
      </c>
      <c r="D19" s="91">
        <v>1.3980256732492221E-5</v>
      </c>
      <c r="E19" s="92">
        <v>4.9683504115364052E-6</v>
      </c>
      <c r="F19" s="93">
        <v>1.891904082824523E-5</v>
      </c>
      <c r="G19" s="90">
        <v>-1.2044233964699552E-5</v>
      </c>
      <c r="H19" s="91">
        <v>1.044884595759988E-5</v>
      </c>
      <c r="I19" s="92">
        <v>6.3824971101983137E-7</v>
      </c>
      <c r="J19" s="93">
        <v>4.0129808848867326E-6</v>
      </c>
      <c r="K19" s="90">
        <v>-4.0468112214020297E-6</v>
      </c>
      <c r="L19" s="91">
        <v>1.9033977044121406E-6</v>
      </c>
      <c r="M19" s="92">
        <v>6.1473199960910981E-6</v>
      </c>
      <c r="N19" s="93">
        <v>-1.3803751340988932E-7</v>
      </c>
      <c r="O19" s="90">
        <v>2.051342962578961E-5</v>
      </c>
      <c r="P19" s="91">
        <v>3.1139228521275611E-7</v>
      </c>
      <c r="Q19" s="92">
        <v>-7.1596810772040063E-6</v>
      </c>
      <c r="R19" s="93">
        <v>5.9041511746885364E-6</v>
      </c>
      <c r="S19" s="90">
        <v>1.6598769347712056E-5</v>
      </c>
      <c r="T19" s="91">
        <v>1.0393511329541068E-5</v>
      </c>
      <c r="U19" s="92" t="s">
        <v>1409</v>
      </c>
      <c r="V19" s="93" t="s">
        <v>1409</v>
      </c>
      <c r="W19" s="90" t="s">
        <v>1409</v>
      </c>
      <c r="X19" s="91" t="s">
        <v>1409</v>
      </c>
      <c r="Y19" s="92" t="s">
        <v>1409</v>
      </c>
      <c r="Z19" s="94" t="s">
        <v>1409</v>
      </c>
    </row>
    <row r="20" spans="1:31">
      <c r="A20" s="125"/>
      <c r="B20" s="96" t="s">
        <v>12</v>
      </c>
      <c r="C20" s="90">
        <v>4.608618230501228E-6</v>
      </c>
      <c r="D20" s="91">
        <v>1.5092764904247134E-2</v>
      </c>
      <c r="E20" s="92">
        <v>3.5537291411395681E-5</v>
      </c>
      <c r="F20" s="93">
        <v>1.4381434126730111E-2</v>
      </c>
      <c r="G20" s="90">
        <v>-1.2748128006510255E-4</v>
      </c>
      <c r="H20" s="91">
        <v>1.7184928954649764E-2</v>
      </c>
      <c r="I20" s="92">
        <v>1.8381059548229289E-4</v>
      </c>
      <c r="J20" s="93">
        <v>1.7377194766926996E-2</v>
      </c>
      <c r="K20" s="90">
        <v>1.8519841512054265E-4</v>
      </c>
      <c r="L20" s="91">
        <v>1.6628809707716189E-2</v>
      </c>
      <c r="M20" s="92">
        <v>8.0071024363401121E-5</v>
      </c>
      <c r="N20" s="93">
        <v>1.667480508712919E-2</v>
      </c>
      <c r="O20" s="90">
        <v>9.7521137142963886E-5</v>
      </c>
      <c r="P20" s="91">
        <v>1.620305924196935E-2</v>
      </c>
      <c r="Q20" s="92">
        <v>6.9544218127859156E-5</v>
      </c>
      <c r="R20" s="93">
        <v>1.5587905489051215E-2</v>
      </c>
      <c r="S20" s="90">
        <v>9.854163052503857E-5</v>
      </c>
      <c r="T20" s="91">
        <v>1.4580656991149597E-2</v>
      </c>
      <c r="U20" s="92" t="s">
        <v>1409</v>
      </c>
      <c r="V20" s="93" t="s">
        <v>1409</v>
      </c>
      <c r="W20" s="90" t="s">
        <v>1409</v>
      </c>
      <c r="X20" s="91" t="s">
        <v>1409</v>
      </c>
      <c r="Y20" s="92" t="s">
        <v>1409</v>
      </c>
      <c r="Z20" s="94" t="s">
        <v>1409</v>
      </c>
    </row>
    <row r="21" spans="1:31">
      <c r="A21" s="125"/>
      <c r="B21" s="96" t="s">
        <v>13</v>
      </c>
      <c r="C21" s="90">
        <v>-9.3141227982059522E-5</v>
      </c>
      <c r="D21" s="91">
        <v>0.12245550766892806</v>
      </c>
      <c r="E21" s="92">
        <v>2.0888817042350637E-4</v>
      </c>
      <c r="F21" s="93">
        <v>0.12109519019715911</v>
      </c>
      <c r="G21" s="90">
        <v>-3.9470662291258749E-4</v>
      </c>
      <c r="H21" s="91">
        <v>0.12059740424239961</v>
      </c>
      <c r="I21" s="92">
        <v>1.1627754174048689E-3</v>
      </c>
      <c r="J21" s="93">
        <v>0.1180345039831278</v>
      </c>
      <c r="K21" s="90">
        <v>1.0082007807961433E-3</v>
      </c>
      <c r="L21" s="91">
        <v>0.12274202113617616</v>
      </c>
      <c r="M21" s="92">
        <v>1.386262943056511E-3</v>
      </c>
      <c r="N21" s="93">
        <v>0.16414365010594406</v>
      </c>
      <c r="O21" s="90">
        <v>-9.9850865533329769E-5</v>
      </c>
      <c r="P21" s="91">
        <v>0.17640884144612823</v>
      </c>
      <c r="Q21" s="92">
        <v>9.9400327424068054E-4</v>
      </c>
      <c r="R21" s="93">
        <v>0.17589725020668728</v>
      </c>
      <c r="S21" s="90">
        <v>-1.2161069700533248E-3</v>
      </c>
      <c r="T21" s="91">
        <v>0.17967243877387742</v>
      </c>
      <c r="U21" s="92" t="s">
        <v>1409</v>
      </c>
      <c r="V21" s="93" t="s">
        <v>1409</v>
      </c>
      <c r="W21" s="90" t="s">
        <v>1409</v>
      </c>
      <c r="X21" s="91" t="s">
        <v>1409</v>
      </c>
      <c r="Y21" s="92" t="s">
        <v>1409</v>
      </c>
      <c r="Z21" s="94" t="s">
        <v>1409</v>
      </c>
    </row>
    <row r="22" spans="1:31">
      <c r="A22" s="125"/>
      <c r="B22" s="96" t="s">
        <v>14</v>
      </c>
      <c r="C22" s="90">
        <v>0</v>
      </c>
      <c r="D22" s="91">
        <v>0</v>
      </c>
      <c r="E22" s="92">
        <v>0</v>
      </c>
      <c r="F22" s="93">
        <v>0</v>
      </c>
      <c r="G22" s="90">
        <v>0</v>
      </c>
      <c r="H22" s="91">
        <v>0</v>
      </c>
      <c r="I22" s="92">
        <v>0</v>
      </c>
      <c r="J22" s="93">
        <v>0</v>
      </c>
      <c r="K22" s="90">
        <v>0</v>
      </c>
      <c r="L22" s="91">
        <v>0</v>
      </c>
      <c r="M22" s="92">
        <v>0</v>
      </c>
      <c r="N22" s="93">
        <v>0</v>
      </c>
      <c r="O22" s="90">
        <v>0</v>
      </c>
      <c r="P22" s="91">
        <v>0</v>
      </c>
      <c r="Q22" s="92">
        <v>0</v>
      </c>
      <c r="R22" s="93">
        <v>0</v>
      </c>
      <c r="S22" s="90">
        <v>0</v>
      </c>
      <c r="T22" s="91">
        <v>0</v>
      </c>
      <c r="U22" s="92" t="s">
        <v>1409</v>
      </c>
      <c r="V22" s="93" t="s">
        <v>1409</v>
      </c>
      <c r="W22" s="90" t="s">
        <v>1409</v>
      </c>
      <c r="X22" s="91" t="s">
        <v>1409</v>
      </c>
      <c r="Y22" s="92" t="s">
        <v>1409</v>
      </c>
      <c r="Z22" s="94" t="s">
        <v>1409</v>
      </c>
    </row>
    <row r="23" spans="1:31">
      <c r="A23" s="125"/>
      <c r="B23" s="96" t="s">
        <v>15</v>
      </c>
      <c r="C23" s="90">
        <v>0</v>
      </c>
      <c r="D23" s="91">
        <v>0</v>
      </c>
      <c r="E23" s="92">
        <v>0</v>
      </c>
      <c r="F23" s="93">
        <v>0</v>
      </c>
      <c r="G23" s="90">
        <v>0</v>
      </c>
      <c r="H23" s="91">
        <v>0</v>
      </c>
      <c r="I23" s="92">
        <v>0</v>
      </c>
      <c r="J23" s="93">
        <v>0</v>
      </c>
      <c r="K23" s="90">
        <v>0</v>
      </c>
      <c r="L23" s="91">
        <v>0</v>
      </c>
      <c r="M23" s="92">
        <v>0</v>
      </c>
      <c r="N23" s="93">
        <v>0</v>
      </c>
      <c r="O23" s="90">
        <v>0</v>
      </c>
      <c r="P23" s="91">
        <v>0</v>
      </c>
      <c r="Q23" s="92">
        <v>0</v>
      </c>
      <c r="R23" s="93">
        <v>0</v>
      </c>
      <c r="S23" s="90">
        <v>0</v>
      </c>
      <c r="T23" s="91">
        <v>0</v>
      </c>
      <c r="U23" s="92" t="s">
        <v>1409</v>
      </c>
      <c r="V23" s="93" t="s">
        <v>1409</v>
      </c>
      <c r="W23" s="90" t="s">
        <v>1409</v>
      </c>
      <c r="X23" s="91" t="s">
        <v>1409</v>
      </c>
      <c r="Y23" s="92" t="s">
        <v>1409</v>
      </c>
      <c r="Z23" s="94" t="s">
        <v>1409</v>
      </c>
    </row>
    <row r="24" spans="1:31">
      <c r="A24" s="125"/>
      <c r="B24" s="96" t="s">
        <v>16</v>
      </c>
      <c r="C24" s="90">
        <v>0</v>
      </c>
      <c r="D24" s="91">
        <v>0</v>
      </c>
      <c r="E24" s="92">
        <v>0</v>
      </c>
      <c r="F24" s="93">
        <v>0</v>
      </c>
      <c r="G24" s="90">
        <v>0</v>
      </c>
      <c r="H24" s="91">
        <v>0</v>
      </c>
      <c r="I24" s="92">
        <v>0</v>
      </c>
      <c r="J24" s="93">
        <v>0</v>
      </c>
      <c r="K24" s="90">
        <v>0</v>
      </c>
      <c r="L24" s="91">
        <v>0</v>
      </c>
      <c r="M24" s="92">
        <v>0</v>
      </c>
      <c r="N24" s="93">
        <v>0</v>
      </c>
      <c r="O24" s="90">
        <v>0</v>
      </c>
      <c r="P24" s="91">
        <v>0</v>
      </c>
      <c r="Q24" s="92">
        <v>0</v>
      </c>
      <c r="R24" s="93">
        <v>0</v>
      </c>
      <c r="S24" s="90">
        <v>0</v>
      </c>
      <c r="T24" s="91">
        <v>0</v>
      </c>
      <c r="U24" s="92" t="s">
        <v>1409</v>
      </c>
      <c r="V24" s="93" t="s">
        <v>1409</v>
      </c>
      <c r="W24" s="90" t="s">
        <v>1409</v>
      </c>
      <c r="X24" s="91" t="s">
        <v>1409</v>
      </c>
      <c r="Y24" s="92" t="s">
        <v>1409</v>
      </c>
      <c r="Z24" s="94" t="s">
        <v>1409</v>
      </c>
    </row>
    <row r="25" spans="1:31">
      <c r="A25" s="125"/>
      <c r="B25" s="96" t="s">
        <v>17</v>
      </c>
      <c r="C25" s="90">
        <v>1.8755801691928986E-7</v>
      </c>
      <c r="D25" s="91">
        <v>-5.1396405463449119E-5</v>
      </c>
      <c r="E25" s="92">
        <v>-1.5350741383186743E-8</v>
      </c>
      <c r="F25" s="93">
        <v>-1.0657437360044521E-5</v>
      </c>
      <c r="G25" s="90">
        <v>1.4130391901660559E-8</v>
      </c>
      <c r="H25" s="91">
        <v>6.4880460223558728E-5</v>
      </c>
      <c r="I25" s="92">
        <v>3.5501218062586531E-7</v>
      </c>
      <c r="J25" s="93">
        <v>-2.3501048598735581E-5</v>
      </c>
      <c r="K25" s="90">
        <v>2.9895140049336128E-7</v>
      </c>
      <c r="L25" s="91">
        <v>-5.9338298877145743E-6</v>
      </c>
      <c r="M25" s="92">
        <v>-2.2105906003804816E-7</v>
      </c>
      <c r="N25" s="93">
        <v>-2.5294599862248218E-5</v>
      </c>
      <c r="O25" s="90">
        <v>0</v>
      </c>
      <c r="P25" s="91">
        <v>0</v>
      </c>
      <c r="Q25" s="92">
        <v>-1.5633708855047622E-8</v>
      </c>
      <c r="R25" s="93">
        <v>4.6765549161397356E-5</v>
      </c>
      <c r="S25" s="90">
        <v>3.2453223710725111E-8</v>
      </c>
      <c r="T25" s="91">
        <v>2.8097429270646809E-5</v>
      </c>
      <c r="U25" s="92" t="s">
        <v>1409</v>
      </c>
      <c r="V25" s="93" t="s">
        <v>1409</v>
      </c>
      <c r="W25" s="90" t="s">
        <v>1409</v>
      </c>
      <c r="X25" s="91" t="s">
        <v>1409</v>
      </c>
      <c r="Y25" s="92" t="s">
        <v>1409</v>
      </c>
      <c r="Z25" s="94" t="s">
        <v>1409</v>
      </c>
    </row>
    <row r="26" spans="1:31">
      <c r="A26" s="125"/>
      <c r="B26" s="97" t="s">
        <v>18</v>
      </c>
      <c r="C26" s="98">
        <v>5.1948880899999996E-3</v>
      </c>
      <c r="D26" s="99">
        <v>1.0000000000000002</v>
      </c>
      <c r="E26" s="100">
        <v>1.7553763199999999E-3</v>
      </c>
      <c r="F26" s="101">
        <v>1.0000000000000002</v>
      </c>
      <c r="G26" s="98">
        <v>-7.53993722E-3</v>
      </c>
      <c r="H26" s="99">
        <v>1</v>
      </c>
      <c r="I26" s="100">
        <v>1.014463558E-2</v>
      </c>
      <c r="J26" s="101">
        <v>1</v>
      </c>
      <c r="K26" s="98">
        <v>1.2020156950000001E-2</v>
      </c>
      <c r="L26" s="99">
        <v>1</v>
      </c>
      <c r="M26" s="100">
        <v>5.3157173399999997E-3</v>
      </c>
      <c r="N26" s="101">
        <v>0.99999999999999956</v>
      </c>
      <c r="O26" s="98">
        <v>-2.62605824E-3</v>
      </c>
      <c r="P26" s="99">
        <v>1.0000000000000002</v>
      </c>
      <c r="Q26" s="100">
        <v>4.2641089499999996E-3</v>
      </c>
      <c r="R26" s="101">
        <v>0.99999999999999956</v>
      </c>
      <c r="S26" s="98">
        <v>-5.4127965099999998E-3</v>
      </c>
      <c r="T26" s="99">
        <v>1</v>
      </c>
      <c r="U26" s="100" t="s">
        <v>1409</v>
      </c>
      <c r="V26" s="101" t="s">
        <v>1409</v>
      </c>
      <c r="W26" s="98" t="s">
        <v>1409</v>
      </c>
      <c r="X26" s="99" t="s">
        <v>1409</v>
      </c>
      <c r="Y26" s="100" t="s">
        <v>1409</v>
      </c>
      <c r="Z26" s="102" t="s">
        <v>1409</v>
      </c>
    </row>
    <row r="27" spans="1:31">
      <c r="A27" s="125"/>
      <c r="B27" s="103" t="s">
        <v>24</v>
      </c>
      <c r="C27" s="104">
        <v>147.97113000000004</v>
      </c>
      <c r="D27" s="128"/>
      <c r="E27" s="105">
        <v>48.029929999999965</v>
      </c>
      <c r="F27" s="128"/>
      <c r="G27" s="104">
        <v>-282.70603000000006</v>
      </c>
      <c r="H27" s="128"/>
      <c r="I27" s="105">
        <v>391.91733999999997</v>
      </c>
      <c r="J27" s="128"/>
      <c r="K27" s="104">
        <v>480.7167</v>
      </c>
      <c r="L27" s="128"/>
      <c r="M27" s="105">
        <v>222.57203999999999</v>
      </c>
      <c r="N27" s="128"/>
      <c r="O27" s="104">
        <v>-120.60249</v>
      </c>
      <c r="P27" s="128"/>
      <c r="Q27" s="105">
        <v>197.47834999999992</v>
      </c>
      <c r="R27" s="128"/>
      <c r="S27" s="104">
        <v>-267.19965000000002</v>
      </c>
      <c r="T27" s="128"/>
      <c r="U27" s="105" t="s">
        <v>1409</v>
      </c>
      <c r="V27" s="128"/>
      <c r="W27" s="104" t="s">
        <v>1409</v>
      </c>
      <c r="X27" s="128"/>
      <c r="Y27" s="105" t="s">
        <v>1409</v>
      </c>
      <c r="Z27" s="106"/>
    </row>
    <row r="28" spans="1:31">
      <c r="A28" s="125"/>
      <c r="B28" s="129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07"/>
    </row>
    <row r="29" spans="1:31">
      <c r="A29" s="125"/>
      <c r="B29" s="89" t="s">
        <v>19</v>
      </c>
      <c r="C29" s="108">
        <v>7.3939052593039525E-3</v>
      </c>
      <c r="D29" s="109">
        <v>0.84388077538643602</v>
      </c>
      <c r="E29" s="110">
        <v>-4.1496889552519587E-4</v>
      </c>
      <c r="F29" s="111">
        <v>0.8435007153715427</v>
      </c>
      <c r="G29" s="108">
        <v>-4.4352151842095471E-3</v>
      </c>
      <c r="H29" s="109">
        <v>0.84731373662046627</v>
      </c>
      <c r="I29" s="110">
        <v>1.563906553029052E-2</v>
      </c>
      <c r="J29" s="111">
        <v>0.85050102871458344</v>
      </c>
      <c r="K29" s="108">
        <v>1.6994652953699979E-2</v>
      </c>
      <c r="L29" s="109">
        <v>0.85716848425487635</v>
      </c>
      <c r="M29" s="110">
        <v>-1.97207393318557E-3</v>
      </c>
      <c r="N29" s="111">
        <v>0.85654695697778516</v>
      </c>
      <c r="O29" s="108">
        <v>-4.8108237363511013E-3</v>
      </c>
      <c r="P29" s="109">
        <v>0.85524267046064506</v>
      </c>
      <c r="Q29" s="110">
        <v>5.6560797212362396E-3</v>
      </c>
      <c r="R29" s="111">
        <v>0.85070003972429176</v>
      </c>
      <c r="S29" s="108">
        <v>-4.5134709298036008E-3</v>
      </c>
      <c r="T29" s="109">
        <v>0.84937864896466686</v>
      </c>
      <c r="U29" s="110" t="s">
        <v>1409</v>
      </c>
      <c r="V29" s="111" t="s">
        <v>1409</v>
      </c>
      <c r="W29" s="108" t="s">
        <v>1409</v>
      </c>
      <c r="X29" s="109" t="s">
        <v>1409</v>
      </c>
      <c r="Y29" s="110" t="s">
        <v>1409</v>
      </c>
      <c r="Z29" s="112" t="s">
        <v>1409</v>
      </c>
    </row>
    <row r="30" spans="1:31">
      <c r="A30" s="125"/>
      <c r="B30" s="96" t="s">
        <v>20</v>
      </c>
      <c r="C30" s="90">
        <v>-2.1990171693039547E-3</v>
      </c>
      <c r="D30" s="91">
        <v>0.15611922461356395</v>
      </c>
      <c r="E30" s="92">
        <v>2.1703452155251999E-3</v>
      </c>
      <c r="F30" s="93">
        <v>0.15649928462845725</v>
      </c>
      <c r="G30" s="90">
        <v>-3.1045855895334858E-3</v>
      </c>
      <c r="H30" s="91">
        <v>0.15268626337953367</v>
      </c>
      <c r="I30" s="92">
        <v>-5.4943185265390023E-3</v>
      </c>
      <c r="J30" s="93">
        <v>0.14949897128541653</v>
      </c>
      <c r="K30" s="90">
        <v>-4.9744752863167003E-3</v>
      </c>
      <c r="L30" s="91">
        <v>0.1428315157451237</v>
      </c>
      <c r="M30" s="92">
        <v>7.2878874648606325E-3</v>
      </c>
      <c r="N30" s="93">
        <v>0.14345304302221482</v>
      </c>
      <c r="O30" s="90">
        <v>2.1849036230681372E-3</v>
      </c>
      <c r="P30" s="91">
        <v>0.14475732953935483</v>
      </c>
      <c r="Q30" s="92">
        <v>-1.3919838057426044E-3</v>
      </c>
      <c r="R30" s="93">
        <v>0.14929996027570833</v>
      </c>
      <c r="S30" s="90">
        <v>-8.9933375688621016E-4</v>
      </c>
      <c r="T30" s="91">
        <v>0.15062135103533308</v>
      </c>
      <c r="U30" s="92" t="s">
        <v>1409</v>
      </c>
      <c r="V30" s="93" t="s">
        <v>1409</v>
      </c>
      <c r="W30" s="90" t="s">
        <v>1409</v>
      </c>
      <c r="X30" s="91" t="s">
        <v>1409</v>
      </c>
      <c r="Y30" s="92" t="s">
        <v>1409</v>
      </c>
      <c r="Z30" s="94" t="s">
        <v>1409</v>
      </c>
    </row>
    <row r="31" spans="1:31">
      <c r="A31" s="125"/>
      <c r="B31" s="97" t="s">
        <v>18</v>
      </c>
      <c r="C31" s="98">
        <v>5.1948880899999996E-3</v>
      </c>
      <c r="D31" s="99">
        <v>1.0000000000000002</v>
      </c>
      <c r="E31" s="100">
        <v>1.7553763199999999E-3</v>
      </c>
      <c r="F31" s="101">
        <v>1.0000000000000002</v>
      </c>
      <c r="G31" s="98">
        <v>-7.53993722E-3</v>
      </c>
      <c r="H31" s="99">
        <v>1</v>
      </c>
      <c r="I31" s="100">
        <v>1.014463558E-2</v>
      </c>
      <c r="J31" s="101">
        <v>1</v>
      </c>
      <c r="K31" s="98">
        <v>1.2020156950000001E-2</v>
      </c>
      <c r="L31" s="99">
        <v>1</v>
      </c>
      <c r="M31" s="100">
        <v>5.3157173399999997E-3</v>
      </c>
      <c r="N31" s="101">
        <v>0.99999999999999956</v>
      </c>
      <c r="O31" s="98">
        <v>-2.62605824E-3</v>
      </c>
      <c r="P31" s="99">
        <v>1.0000000000000002</v>
      </c>
      <c r="Q31" s="100">
        <v>4.2641089499999996E-3</v>
      </c>
      <c r="R31" s="101">
        <v>0.99999999999999956</v>
      </c>
      <c r="S31" s="98">
        <v>-5.4127965099999998E-3</v>
      </c>
      <c r="T31" s="99">
        <v>1</v>
      </c>
      <c r="U31" s="100" t="s">
        <v>1409</v>
      </c>
      <c r="V31" s="101" t="s">
        <v>1409</v>
      </c>
      <c r="W31" s="98" t="s">
        <v>1409</v>
      </c>
      <c r="X31" s="99" t="s">
        <v>1409</v>
      </c>
      <c r="Y31" s="100" t="s">
        <v>1409</v>
      </c>
      <c r="Z31" s="102" t="s">
        <v>1409</v>
      </c>
    </row>
    <row r="32" spans="1:31">
      <c r="A32" s="125"/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07"/>
    </row>
    <row r="33" spans="1:26">
      <c r="A33" s="125"/>
      <c r="B33" s="89" t="s">
        <v>21</v>
      </c>
      <c r="C33" s="108">
        <v>3.4191471875796445E-3</v>
      </c>
      <c r="D33" s="109">
        <v>0.78976612931931556</v>
      </c>
      <c r="E33" s="110">
        <v>1.3894807375972715E-3</v>
      </c>
      <c r="F33" s="111">
        <v>0.7922525887977917</v>
      </c>
      <c r="G33" s="108">
        <v>-6.4084166903495259E-3</v>
      </c>
      <c r="H33" s="109">
        <v>0.78890544595811385</v>
      </c>
      <c r="I33" s="110">
        <v>5.4330433667105736E-3</v>
      </c>
      <c r="J33" s="111">
        <v>0.79006550730886282</v>
      </c>
      <c r="K33" s="108">
        <v>8.1498171632630803E-3</v>
      </c>
      <c r="L33" s="109">
        <v>0.78643302464040987</v>
      </c>
      <c r="M33" s="110">
        <v>6.3589199809701508E-3</v>
      </c>
      <c r="N33" s="111">
        <v>0.74690861675232556</v>
      </c>
      <c r="O33" s="108">
        <v>-9.5606291936644488E-4</v>
      </c>
      <c r="P33" s="109">
        <v>0.7374456027333145</v>
      </c>
      <c r="Q33" s="110">
        <v>1.0768046115341577E-3</v>
      </c>
      <c r="R33" s="111">
        <v>0.73702653809521146</v>
      </c>
      <c r="S33" s="108">
        <v>-2.8475039198576158E-3</v>
      </c>
      <c r="T33" s="109">
        <v>0.73422644353849087</v>
      </c>
      <c r="U33" s="110" t="s">
        <v>1409</v>
      </c>
      <c r="V33" s="111" t="s">
        <v>1409</v>
      </c>
      <c r="W33" s="108" t="s">
        <v>1409</v>
      </c>
      <c r="X33" s="109" t="s">
        <v>1409</v>
      </c>
      <c r="Y33" s="110" t="s">
        <v>1409</v>
      </c>
      <c r="Z33" s="112" t="s">
        <v>1409</v>
      </c>
    </row>
    <row r="34" spans="1:26">
      <c r="A34" s="125"/>
      <c r="B34" s="96" t="s">
        <v>22</v>
      </c>
      <c r="C34" s="90">
        <v>1.775740902420354E-3</v>
      </c>
      <c r="D34" s="91">
        <v>0.2102338706806845</v>
      </c>
      <c r="E34" s="92">
        <v>3.6589558240272916E-4</v>
      </c>
      <c r="F34" s="93">
        <v>0.20774741120220819</v>
      </c>
      <c r="G34" s="90">
        <v>-1.1314018137248566E-3</v>
      </c>
      <c r="H34" s="91">
        <v>0.21109455404188626</v>
      </c>
      <c r="I34" s="92">
        <v>4.7118297470061573E-3</v>
      </c>
      <c r="J34" s="93">
        <v>0.20993449269113712</v>
      </c>
      <c r="K34" s="90">
        <v>3.8703397867369191E-3</v>
      </c>
      <c r="L34" s="91">
        <v>0.21356697535959013</v>
      </c>
      <c r="M34" s="92">
        <v>-1.0432026409701433E-3</v>
      </c>
      <c r="N34" s="93">
        <v>0.25309138324767455</v>
      </c>
      <c r="O34" s="90">
        <v>-1.6697693613050236E-3</v>
      </c>
      <c r="P34" s="91">
        <v>0.26255439726668561</v>
      </c>
      <c r="Q34" s="92">
        <v>3.187304338465841E-3</v>
      </c>
      <c r="R34" s="93">
        <v>0.26297346190478854</v>
      </c>
      <c r="S34" s="90">
        <v>-2.5652925901423901E-3</v>
      </c>
      <c r="T34" s="91">
        <v>0.26577355646150913</v>
      </c>
      <c r="U34" s="92" t="s">
        <v>1409</v>
      </c>
      <c r="V34" s="93" t="s">
        <v>1409</v>
      </c>
      <c r="W34" s="90" t="s">
        <v>1409</v>
      </c>
      <c r="X34" s="91" t="s">
        <v>1409</v>
      </c>
      <c r="Y34" s="92" t="s">
        <v>1409</v>
      </c>
      <c r="Z34" s="94" t="s">
        <v>1409</v>
      </c>
    </row>
    <row r="35" spans="1:26">
      <c r="A35" s="125"/>
      <c r="B35" s="113" t="s">
        <v>18</v>
      </c>
      <c r="C35" s="114">
        <v>5.1948880899999996E-3</v>
      </c>
      <c r="D35" s="115">
        <v>1.0000000000000002</v>
      </c>
      <c r="E35" s="116">
        <v>1.7553763199999999E-3</v>
      </c>
      <c r="F35" s="117">
        <v>1.0000000000000002</v>
      </c>
      <c r="G35" s="114">
        <v>-7.53993722E-3</v>
      </c>
      <c r="H35" s="115">
        <v>1</v>
      </c>
      <c r="I35" s="116">
        <v>1.014463558E-2</v>
      </c>
      <c r="J35" s="117">
        <v>1</v>
      </c>
      <c r="K35" s="114">
        <v>1.2020156950000001E-2</v>
      </c>
      <c r="L35" s="115">
        <v>1</v>
      </c>
      <c r="M35" s="116">
        <v>5.3157173399999997E-3</v>
      </c>
      <c r="N35" s="117">
        <v>0.99999999999999956</v>
      </c>
      <c r="O35" s="114">
        <v>-2.62605824E-3</v>
      </c>
      <c r="P35" s="115">
        <v>1.0000000000000002</v>
      </c>
      <c r="Q35" s="116">
        <v>4.2641089499999996E-3</v>
      </c>
      <c r="R35" s="117">
        <v>0.99999999999999956</v>
      </c>
      <c r="S35" s="114">
        <v>-5.4127965099999998E-3</v>
      </c>
      <c r="T35" s="115">
        <v>1</v>
      </c>
      <c r="U35" s="116" t="s">
        <v>1409</v>
      </c>
      <c r="V35" s="117" t="s">
        <v>1409</v>
      </c>
      <c r="W35" s="114" t="s">
        <v>1409</v>
      </c>
      <c r="X35" s="115" t="s">
        <v>1409</v>
      </c>
      <c r="Y35" s="116" t="s">
        <v>1409</v>
      </c>
      <c r="Z35" s="118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5"/>
      <c r="B37" s="83" t="s">
        <v>23</v>
      </c>
      <c r="C37" s="84" t="s">
        <v>54</v>
      </c>
      <c r="D37" s="85" t="s">
        <v>55</v>
      </c>
      <c r="E37" s="86" t="s">
        <v>56</v>
      </c>
      <c r="F37" s="87" t="s">
        <v>57</v>
      </c>
      <c r="G37" s="84" t="s">
        <v>58</v>
      </c>
      <c r="H37" s="85" t="s">
        <v>59</v>
      </c>
      <c r="I37" s="86" t="s">
        <v>60</v>
      </c>
      <c r="J37" s="88" t="s">
        <v>61</v>
      </c>
      <c r="K37" s="131" t="s">
        <v>1429</v>
      </c>
      <c r="L37" s="131" t="s">
        <v>1429</v>
      </c>
      <c r="M37" s="131" t="s">
        <v>1429</v>
      </c>
      <c r="N37" s="131" t="s">
        <v>1429</v>
      </c>
      <c r="O37" s="131" t="s">
        <v>1429</v>
      </c>
      <c r="P37" s="131" t="s">
        <v>1429</v>
      </c>
      <c r="Q37" s="131" t="s">
        <v>1429</v>
      </c>
      <c r="R37" s="131" t="s">
        <v>1429</v>
      </c>
      <c r="S37" s="131" t="s">
        <v>1429</v>
      </c>
      <c r="T37" s="131" t="s">
        <v>1429</v>
      </c>
      <c r="U37" s="131" t="s">
        <v>1429</v>
      </c>
      <c r="V37" s="131" t="s">
        <v>1429</v>
      </c>
      <c r="W37" s="131" t="s">
        <v>1429</v>
      </c>
      <c r="X37" s="131" t="s">
        <v>1429</v>
      </c>
      <c r="Y37" s="131" t="s">
        <v>1429</v>
      </c>
      <c r="Z37" s="33"/>
    </row>
    <row r="38" spans="1:26">
      <c r="A38" s="125"/>
      <c r="B38" s="89" t="s">
        <v>1</v>
      </c>
      <c r="C38" s="90">
        <v>8.3436929082447958E-4</v>
      </c>
      <c r="D38" s="91">
        <v>8.6592471089753875E-2</v>
      </c>
      <c r="E38" s="92">
        <v>8.9193603485374605E-4</v>
      </c>
      <c r="F38" s="93">
        <v>8.2290329248635483E-2</v>
      </c>
      <c r="G38" s="90">
        <v>1.9345594053564402E-3</v>
      </c>
      <c r="H38" s="91">
        <v>7.5679770581436087E-2</v>
      </c>
      <c r="I38" s="92" t="s">
        <v>1409</v>
      </c>
      <c r="J38" s="94" t="s">
        <v>1409</v>
      </c>
      <c r="K38" s="131" t="s">
        <v>1429</v>
      </c>
      <c r="L38" s="131" t="s">
        <v>1429</v>
      </c>
      <c r="M38" s="131" t="s">
        <v>1429</v>
      </c>
      <c r="N38" s="131" t="s">
        <v>1429</v>
      </c>
      <c r="O38" s="131" t="s">
        <v>1429</v>
      </c>
      <c r="P38" s="131" t="s">
        <v>1429</v>
      </c>
      <c r="Q38" s="131" t="s">
        <v>1429</v>
      </c>
      <c r="R38" s="131" t="s">
        <v>1429</v>
      </c>
      <c r="S38" s="131" t="s">
        <v>1429</v>
      </c>
      <c r="T38" s="131" t="s">
        <v>1429</v>
      </c>
      <c r="U38" s="131" t="s">
        <v>1429</v>
      </c>
      <c r="V38" s="131" t="s">
        <v>1429</v>
      </c>
      <c r="W38" s="131" t="s">
        <v>1429</v>
      </c>
      <c r="X38" s="131" t="s">
        <v>1429</v>
      </c>
      <c r="Y38" s="131" t="s">
        <v>1429</v>
      </c>
      <c r="Z38" s="33"/>
    </row>
    <row r="39" spans="1:26" ht="30">
      <c r="A39" s="125"/>
      <c r="B39" s="95" t="s">
        <v>908</v>
      </c>
      <c r="C39" s="90">
        <v>-1.157724100574832E-3</v>
      </c>
      <c r="D39" s="91">
        <v>0.25836905420474093</v>
      </c>
      <c r="E39" s="92">
        <v>6.6048963258472128E-3</v>
      </c>
      <c r="F39" s="93">
        <v>0.25512654296103243</v>
      </c>
      <c r="G39" s="90">
        <v>3.6620077673700283E-3</v>
      </c>
      <c r="H39" s="91">
        <v>0.24376653177238711</v>
      </c>
      <c r="I39" s="92" t="s">
        <v>1409</v>
      </c>
      <c r="J39" s="94" t="s">
        <v>1409</v>
      </c>
      <c r="K39" s="131" t="s">
        <v>1429</v>
      </c>
      <c r="L39" s="131" t="s">
        <v>1429</v>
      </c>
      <c r="M39" s="131" t="s">
        <v>1429</v>
      </c>
      <c r="N39" s="131" t="s">
        <v>1429</v>
      </c>
      <c r="O39" s="131" t="s">
        <v>1429</v>
      </c>
      <c r="P39" s="131" t="s">
        <v>1429</v>
      </c>
      <c r="Q39" s="131" t="s">
        <v>1429</v>
      </c>
      <c r="R39" s="131" t="s">
        <v>1429</v>
      </c>
      <c r="S39" s="131" t="s">
        <v>1429</v>
      </c>
      <c r="T39" s="131" t="s">
        <v>1429</v>
      </c>
      <c r="U39" s="131" t="s">
        <v>1429</v>
      </c>
      <c r="V39" s="131" t="s">
        <v>1429</v>
      </c>
      <c r="W39" s="131" t="s">
        <v>1429</v>
      </c>
      <c r="X39" s="131" t="s">
        <v>1429</v>
      </c>
      <c r="Y39" s="131" t="s">
        <v>1429</v>
      </c>
      <c r="Z39" s="33"/>
    </row>
    <row r="40" spans="1:26">
      <c r="A40" s="125"/>
      <c r="B40" s="96" t="s">
        <v>2</v>
      </c>
      <c r="C40" s="90">
        <v>0</v>
      </c>
      <c r="D40" s="91">
        <v>0</v>
      </c>
      <c r="E40" s="92">
        <v>0</v>
      </c>
      <c r="F40" s="93">
        <v>0</v>
      </c>
      <c r="G40" s="90">
        <v>0</v>
      </c>
      <c r="H40" s="91">
        <v>0</v>
      </c>
      <c r="I40" s="92" t="s">
        <v>1409</v>
      </c>
      <c r="J40" s="94" t="s">
        <v>1409</v>
      </c>
      <c r="K40" s="131" t="s">
        <v>1429</v>
      </c>
      <c r="L40" s="131" t="s">
        <v>1429</v>
      </c>
      <c r="M40" s="131" t="s">
        <v>1429</v>
      </c>
      <c r="N40" s="131" t="s">
        <v>1429</v>
      </c>
      <c r="O40" s="131" t="s">
        <v>1429</v>
      </c>
      <c r="P40" s="131" t="s">
        <v>1429</v>
      </c>
      <c r="Q40" s="131" t="s">
        <v>1429</v>
      </c>
      <c r="R40" s="131" t="s">
        <v>1429</v>
      </c>
      <c r="S40" s="131" t="s">
        <v>1429</v>
      </c>
      <c r="T40" s="131" t="s">
        <v>1429</v>
      </c>
      <c r="U40" s="131" t="s">
        <v>1429</v>
      </c>
      <c r="V40" s="131" t="s">
        <v>1429</v>
      </c>
      <c r="W40" s="131" t="s">
        <v>1429</v>
      </c>
      <c r="X40" s="131" t="s">
        <v>1429</v>
      </c>
      <c r="Y40" s="131" t="s">
        <v>1429</v>
      </c>
      <c r="Z40" s="33"/>
    </row>
    <row r="41" spans="1:26">
      <c r="A41" s="125"/>
      <c r="B41" s="96" t="s">
        <v>3</v>
      </c>
      <c r="C41" s="90">
        <v>0</v>
      </c>
      <c r="D41" s="91">
        <v>0</v>
      </c>
      <c r="E41" s="92">
        <v>0</v>
      </c>
      <c r="F41" s="93">
        <v>0</v>
      </c>
      <c r="G41" s="90">
        <v>0</v>
      </c>
      <c r="H41" s="91">
        <v>0</v>
      </c>
      <c r="I41" s="92" t="s">
        <v>1409</v>
      </c>
      <c r="J41" s="94" t="s">
        <v>1409</v>
      </c>
      <c r="K41" s="131" t="s">
        <v>1429</v>
      </c>
      <c r="L41" s="131" t="s">
        <v>1429</v>
      </c>
      <c r="M41" s="131" t="s">
        <v>1429</v>
      </c>
      <c r="N41" s="131" t="s">
        <v>1429</v>
      </c>
      <c r="O41" s="131" t="s">
        <v>1429</v>
      </c>
      <c r="P41" s="131" t="s">
        <v>1429</v>
      </c>
      <c r="Q41" s="131" t="s">
        <v>1429</v>
      </c>
      <c r="R41" s="131" t="s">
        <v>1429</v>
      </c>
      <c r="S41" s="131" t="s">
        <v>1429</v>
      </c>
      <c r="T41" s="131" t="s">
        <v>1429</v>
      </c>
      <c r="U41" s="131" t="s">
        <v>1429</v>
      </c>
      <c r="V41" s="131" t="s">
        <v>1429</v>
      </c>
      <c r="W41" s="131" t="s">
        <v>1429</v>
      </c>
      <c r="X41" s="131" t="s">
        <v>1429</v>
      </c>
      <c r="Y41" s="131" t="s">
        <v>1429</v>
      </c>
      <c r="Z41" s="33"/>
    </row>
    <row r="42" spans="1:26">
      <c r="A42" s="125"/>
      <c r="B42" s="96" t="s">
        <v>4</v>
      </c>
      <c r="C42" s="90">
        <v>-1.2222602142253187E-3</v>
      </c>
      <c r="D42" s="91">
        <v>0.3606698625840879</v>
      </c>
      <c r="E42" s="92">
        <v>7.917267514524446E-3</v>
      </c>
      <c r="F42" s="93">
        <v>0.36328965276978181</v>
      </c>
      <c r="G42" s="90">
        <v>8.3359964927392713E-3</v>
      </c>
      <c r="H42" s="91">
        <v>0.34625845345355521</v>
      </c>
      <c r="I42" s="92" t="s">
        <v>1409</v>
      </c>
      <c r="J42" s="94" t="s">
        <v>1409</v>
      </c>
      <c r="K42" s="131" t="s">
        <v>1429</v>
      </c>
      <c r="L42" s="131" t="s">
        <v>1429</v>
      </c>
      <c r="M42" s="131" t="s">
        <v>1429</v>
      </c>
      <c r="N42" s="131" t="s">
        <v>1429</v>
      </c>
      <c r="O42" s="131" t="s">
        <v>1429</v>
      </c>
      <c r="P42" s="131" t="s">
        <v>1429</v>
      </c>
      <c r="Q42" s="131" t="s">
        <v>1429</v>
      </c>
      <c r="R42" s="131" t="s">
        <v>1429</v>
      </c>
      <c r="S42" s="131" t="s">
        <v>1429</v>
      </c>
      <c r="T42" s="131" t="s">
        <v>1429</v>
      </c>
      <c r="U42" s="131" t="s">
        <v>1429</v>
      </c>
      <c r="V42" s="131" t="s">
        <v>1429</v>
      </c>
      <c r="W42" s="131" t="s">
        <v>1429</v>
      </c>
      <c r="X42" s="131" t="s">
        <v>1429</v>
      </c>
      <c r="Y42" s="131" t="s">
        <v>1429</v>
      </c>
      <c r="Z42" s="33"/>
    </row>
    <row r="43" spans="1:26">
      <c r="A43" s="125"/>
      <c r="B43" s="96" t="s">
        <v>5</v>
      </c>
      <c r="C43" s="90">
        <v>-1.0192024982804131E-4</v>
      </c>
      <c r="D43" s="91">
        <v>1.2335140137761963E-2</v>
      </c>
      <c r="E43" s="92">
        <v>2.5953668926758099E-4</v>
      </c>
      <c r="F43" s="93">
        <v>1.2100338490259354E-2</v>
      </c>
      <c r="G43" s="90">
        <v>2.927771632742815E-4</v>
      </c>
      <c r="H43" s="91">
        <v>1.1226784951092117E-2</v>
      </c>
      <c r="I43" s="92" t="s">
        <v>1409</v>
      </c>
      <c r="J43" s="94" t="s">
        <v>1409</v>
      </c>
      <c r="K43" s="131" t="s">
        <v>1429</v>
      </c>
      <c r="L43" s="131" t="s">
        <v>1429</v>
      </c>
      <c r="M43" s="131" t="s">
        <v>1429</v>
      </c>
      <c r="N43" s="131" t="s">
        <v>1429</v>
      </c>
      <c r="O43" s="131" t="s">
        <v>1429</v>
      </c>
      <c r="P43" s="131" t="s">
        <v>1429</v>
      </c>
      <c r="Q43" s="131" t="s">
        <v>1429</v>
      </c>
      <c r="R43" s="131" t="s">
        <v>1429</v>
      </c>
      <c r="S43" s="131" t="s">
        <v>1429</v>
      </c>
      <c r="T43" s="131" t="s">
        <v>1429</v>
      </c>
      <c r="U43" s="131" t="s">
        <v>1429</v>
      </c>
      <c r="V43" s="131" t="s">
        <v>1429</v>
      </c>
      <c r="W43" s="131" t="s">
        <v>1429</v>
      </c>
      <c r="X43" s="131" t="s">
        <v>1429</v>
      </c>
      <c r="Y43" s="131" t="s">
        <v>1429</v>
      </c>
      <c r="Z43" s="33"/>
    </row>
    <row r="44" spans="1:26">
      <c r="A44" s="125"/>
      <c r="B44" s="96" t="s">
        <v>6</v>
      </c>
      <c r="C44" s="90">
        <v>1.1340558719396257E-3</v>
      </c>
      <c r="D44" s="91">
        <v>1.7797054061315102E-2</v>
      </c>
      <c r="E44" s="92">
        <v>2.3141439033850992E-3</v>
      </c>
      <c r="F44" s="93">
        <v>1.8154153134355502E-2</v>
      </c>
      <c r="G44" s="90">
        <v>2.4145689868944544E-3</v>
      </c>
      <c r="H44" s="91">
        <v>1.5481102893139663E-2</v>
      </c>
      <c r="I44" s="92" t="s">
        <v>1409</v>
      </c>
      <c r="J44" s="94" t="s">
        <v>1409</v>
      </c>
      <c r="K44" s="131" t="s">
        <v>1429</v>
      </c>
      <c r="L44" s="131" t="s">
        <v>1429</v>
      </c>
      <c r="M44" s="131" t="s">
        <v>1429</v>
      </c>
      <c r="N44" s="131" t="s">
        <v>1429</v>
      </c>
      <c r="O44" s="131" t="s">
        <v>1429</v>
      </c>
      <c r="P44" s="131" t="s">
        <v>1429</v>
      </c>
      <c r="Q44" s="131" t="s">
        <v>1429</v>
      </c>
      <c r="R44" s="131" t="s">
        <v>1429</v>
      </c>
      <c r="S44" s="131" t="s">
        <v>1429</v>
      </c>
      <c r="T44" s="131" t="s">
        <v>1429</v>
      </c>
      <c r="U44" s="131" t="s">
        <v>1429</v>
      </c>
      <c r="V44" s="131" t="s">
        <v>1429</v>
      </c>
      <c r="W44" s="131" t="s">
        <v>1429</v>
      </c>
      <c r="X44" s="131" t="s">
        <v>1429</v>
      </c>
      <c r="Y44" s="131" t="s">
        <v>1429</v>
      </c>
      <c r="Z44" s="33"/>
    </row>
    <row r="45" spans="1:26">
      <c r="A45" s="125"/>
      <c r="B45" s="96" t="s">
        <v>62</v>
      </c>
      <c r="C45" s="90">
        <v>-5.7058950836623445E-4</v>
      </c>
      <c r="D45" s="91">
        <v>6.1168754668005275E-2</v>
      </c>
      <c r="E45" s="92">
        <v>4.4552153848222348E-4</v>
      </c>
      <c r="F45" s="93">
        <v>5.7871497994803206E-2</v>
      </c>
      <c r="G45" s="90">
        <v>7.4797004646318999E-4</v>
      </c>
      <c r="H45" s="91">
        <v>5.2718692173198162E-2</v>
      </c>
      <c r="I45" s="92" t="s">
        <v>1409</v>
      </c>
      <c r="J45" s="94" t="s">
        <v>1409</v>
      </c>
      <c r="K45" s="131" t="s">
        <v>1429</v>
      </c>
      <c r="L45" s="131" t="s">
        <v>1429</v>
      </c>
      <c r="M45" s="131" t="s">
        <v>1429</v>
      </c>
      <c r="N45" s="131" t="s">
        <v>1429</v>
      </c>
      <c r="O45" s="131" t="s">
        <v>1429</v>
      </c>
      <c r="P45" s="131" t="s">
        <v>1429</v>
      </c>
      <c r="Q45" s="131" t="s">
        <v>1429</v>
      </c>
      <c r="R45" s="131" t="s">
        <v>1429</v>
      </c>
      <c r="S45" s="131" t="s">
        <v>1429</v>
      </c>
      <c r="T45" s="131" t="s">
        <v>1429</v>
      </c>
      <c r="U45" s="131" t="s">
        <v>1429</v>
      </c>
      <c r="V45" s="131" t="s">
        <v>1429</v>
      </c>
      <c r="W45" s="131" t="s">
        <v>1429</v>
      </c>
      <c r="X45" s="131" t="s">
        <v>1429</v>
      </c>
      <c r="Y45" s="131" t="s">
        <v>1429</v>
      </c>
      <c r="Z45" s="33"/>
    </row>
    <row r="46" spans="1:26">
      <c r="A46" s="125"/>
      <c r="B46" s="96" t="s">
        <v>7</v>
      </c>
      <c r="C46" s="90">
        <v>-4.1358539986670856E-5</v>
      </c>
      <c r="D46" s="91">
        <v>5.8938261240422639E-3</v>
      </c>
      <c r="E46" s="92">
        <v>-2.7552161853938218E-4</v>
      </c>
      <c r="F46" s="93">
        <v>5.7071135390095078E-3</v>
      </c>
      <c r="G46" s="90">
        <v>-9.9215468659599984E-5</v>
      </c>
      <c r="H46" s="91">
        <v>5.3641043183090273E-3</v>
      </c>
      <c r="I46" s="92" t="s">
        <v>1409</v>
      </c>
      <c r="J46" s="94" t="s">
        <v>1409</v>
      </c>
      <c r="K46" s="131" t="s">
        <v>1429</v>
      </c>
      <c r="L46" s="131" t="s">
        <v>1429</v>
      </c>
      <c r="M46" s="131" t="s">
        <v>1429</v>
      </c>
      <c r="N46" s="131" t="s">
        <v>1429</v>
      </c>
      <c r="O46" s="131" t="s">
        <v>1429</v>
      </c>
      <c r="P46" s="131" t="s">
        <v>1429</v>
      </c>
      <c r="Q46" s="131" t="s">
        <v>1429</v>
      </c>
      <c r="R46" s="131" t="s">
        <v>1429</v>
      </c>
      <c r="S46" s="131" t="s">
        <v>1429</v>
      </c>
      <c r="T46" s="131" t="s">
        <v>1429</v>
      </c>
      <c r="U46" s="131" t="s">
        <v>1429</v>
      </c>
      <c r="V46" s="131" t="s">
        <v>1429</v>
      </c>
      <c r="W46" s="131" t="s">
        <v>1429</v>
      </c>
      <c r="X46" s="131" t="s">
        <v>1429</v>
      </c>
      <c r="Y46" s="131" t="s">
        <v>1429</v>
      </c>
      <c r="Z46" s="33"/>
    </row>
    <row r="47" spans="1:26">
      <c r="A47" s="125"/>
      <c r="B47" s="96" t="s">
        <v>8</v>
      </c>
      <c r="C47" s="90">
        <v>-1.0355456433593081E-4</v>
      </c>
      <c r="D47" s="91">
        <v>5.6612033483802081E-2</v>
      </c>
      <c r="E47" s="92">
        <v>-3.3717238939515318E-3</v>
      </c>
      <c r="F47" s="93">
        <v>5.5078576634934429E-2</v>
      </c>
      <c r="G47" s="90">
        <v>-1.2004333371186118E-3</v>
      </c>
      <c r="H47" s="91">
        <v>5.3614517726024949E-2</v>
      </c>
      <c r="I47" s="92" t="s">
        <v>1409</v>
      </c>
      <c r="J47" s="94" t="s">
        <v>1409</v>
      </c>
      <c r="K47" s="131" t="s">
        <v>1429</v>
      </c>
      <c r="L47" s="131" t="s">
        <v>1429</v>
      </c>
      <c r="M47" s="131" t="s">
        <v>1429</v>
      </c>
      <c r="N47" s="131" t="s">
        <v>1429</v>
      </c>
      <c r="O47" s="131" t="s">
        <v>1429</v>
      </c>
      <c r="P47" s="131" t="s">
        <v>1429</v>
      </c>
      <c r="Q47" s="131" t="s">
        <v>1429</v>
      </c>
      <c r="R47" s="131" t="s">
        <v>1429</v>
      </c>
      <c r="S47" s="131" t="s">
        <v>1429</v>
      </c>
      <c r="T47" s="131" t="s">
        <v>1429</v>
      </c>
      <c r="U47" s="131" t="s">
        <v>1429</v>
      </c>
      <c r="V47" s="131" t="s">
        <v>1429</v>
      </c>
      <c r="W47" s="131" t="s">
        <v>1429</v>
      </c>
      <c r="X47" s="131" t="s">
        <v>1429</v>
      </c>
      <c r="Y47" s="131" t="s">
        <v>1429</v>
      </c>
      <c r="Z47" s="33"/>
    </row>
    <row r="48" spans="1:26">
      <c r="A48" s="125"/>
      <c r="B48" s="96" t="s">
        <v>9</v>
      </c>
      <c r="C48" s="90">
        <v>1.6224391850604947E-4</v>
      </c>
      <c r="D48" s="91">
        <v>2.2169533411822688E-5</v>
      </c>
      <c r="E48" s="92">
        <v>1.6654147920153043E-4</v>
      </c>
      <c r="F48" s="93">
        <v>1.3836718385765298E-4</v>
      </c>
      <c r="G48" s="90">
        <v>1.6731415477459449E-4</v>
      </c>
      <c r="H48" s="91">
        <v>2.4127142168605997E-4</v>
      </c>
      <c r="I48" s="92" t="s">
        <v>1409</v>
      </c>
      <c r="J48" s="94" t="s">
        <v>1409</v>
      </c>
      <c r="K48" s="131" t="s">
        <v>1429</v>
      </c>
      <c r="L48" s="131" t="s">
        <v>1429</v>
      </c>
      <c r="M48" s="131" t="s">
        <v>1429</v>
      </c>
      <c r="N48" s="131" t="s">
        <v>1429</v>
      </c>
      <c r="O48" s="131" t="s">
        <v>1429</v>
      </c>
      <c r="P48" s="131" t="s">
        <v>1429</v>
      </c>
      <c r="Q48" s="131" t="s">
        <v>1429</v>
      </c>
      <c r="R48" s="131" t="s">
        <v>1429</v>
      </c>
      <c r="S48" s="131" t="s">
        <v>1429</v>
      </c>
      <c r="T48" s="131" t="s">
        <v>1429</v>
      </c>
      <c r="U48" s="131" t="s">
        <v>1429</v>
      </c>
      <c r="V48" s="131" t="s">
        <v>1429</v>
      </c>
      <c r="W48" s="131" t="s">
        <v>1429</v>
      </c>
      <c r="X48" s="131" t="s">
        <v>1429</v>
      </c>
      <c r="Y48" s="131" t="s">
        <v>1429</v>
      </c>
      <c r="Z48" s="33"/>
    </row>
    <row r="49" spans="1:26">
      <c r="A49" s="125"/>
      <c r="B49" s="96" t="s">
        <v>10</v>
      </c>
      <c r="C49" s="90">
        <v>7.9497923128743931E-4</v>
      </c>
      <c r="D49" s="91">
        <v>3.58849916140134E-3</v>
      </c>
      <c r="E49" s="92">
        <v>8.4351970986227386E-3</v>
      </c>
      <c r="F49" s="93">
        <v>5.8425216258671947E-3</v>
      </c>
      <c r="G49" s="90">
        <v>3.2640901291628643E-3</v>
      </c>
      <c r="H49" s="91">
        <v>5.8401090247260021E-3</v>
      </c>
      <c r="I49" s="92" t="s">
        <v>1409</v>
      </c>
      <c r="J49" s="94" t="s">
        <v>1409</v>
      </c>
      <c r="K49" s="131" t="s">
        <v>1429</v>
      </c>
      <c r="L49" s="131" t="s">
        <v>1429</v>
      </c>
      <c r="M49" s="131" t="s">
        <v>1429</v>
      </c>
      <c r="N49" s="131" t="s">
        <v>1429</v>
      </c>
      <c r="O49" s="131" t="s">
        <v>1429</v>
      </c>
      <c r="P49" s="131" t="s">
        <v>1429</v>
      </c>
      <c r="Q49" s="131" t="s">
        <v>1429</v>
      </c>
      <c r="R49" s="131" t="s">
        <v>1429</v>
      </c>
      <c r="S49" s="131" t="s">
        <v>1429</v>
      </c>
      <c r="T49" s="131" t="s">
        <v>1429</v>
      </c>
      <c r="U49" s="131" t="s">
        <v>1429</v>
      </c>
      <c r="V49" s="131" t="s">
        <v>1429</v>
      </c>
      <c r="W49" s="131" t="s">
        <v>1429</v>
      </c>
      <c r="X49" s="131" t="s">
        <v>1429</v>
      </c>
      <c r="Y49" s="131" t="s">
        <v>1429</v>
      </c>
      <c r="Z49" s="33"/>
    </row>
    <row r="50" spans="1:26">
      <c r="A50" s="125"/>
      <c r="B50" s="96" t="s">
        <v>11</v>
      </c>
      <c r="C50" s="90">
        <v>8.8184514200489E-6</v>
      </c>
      <c r="D50" s="91">
        <v>1.4449381172779113E-5</v>
      </c>
      <c r="E50" s="92">
        <v>1.1559165424235602E-5</v>
      </c>
      <c r="F50" s="93">
        <v>8.1877474323710543E-6</v>
      </c>
      <c r="G50" s="90">
        <v>4.1511134363759339E-5</v>
      </c>
      <c r="H50" s="91">
        <v>4.1177543190081177E-6</v>
      </c>
      <c r="I50" s="92" t="s">
        <v>1409</v>
      </c>
      <c r="J50" s="94" t="s">
        <v>1409</v>
      </c>
      <c r="K50" s="131" t="s">
        <v>1429</v>
      </c>
      <c r="L50" s="131" t="s">
        <v>1429</v>
      </c>
      <c r="M50" s="131" t="s">
        <v>1429</v>
      </c>
      <c r="N50" s="131" t="s">
        <v>1429</v>
      </c>
      <c r="O50" s="131" t="s">
        <v>1429</v>
      </c>
      <c r="P50" s="131" t="s">
        <v>1429</v>
      </c>
      <c r="Q50" s="131" t="s">
        <v>1429</v>
      </c>
      <c r="R50" s="131" t="s">
        <v>1429</v>
      </c>
      <c r="S50" s="131" t="s">
        <v>1429</v>
      </c>
      <c r="T50" s="131" t="s">
        <v>1429</v>
      </c>
      <c r="U50" s="131" t="s">
        <v>1429</v>
      </c>
      <c r="V50" s="131" t="s">
        <v>1429</v>
      </c>
      <c r="W50" s="131" t="s">
        <v>1429</v>
      </c>
      <c r="X50" s="131" t="s">
        <v>1429</v>
      </c>
      <c r="Y50" s="131" t="s">
        <v>1429</v>
      </c>
      <c r="Z50" s="33"/>
    </row>
    <row r="51" spans="1:26">
      <c r="A51" s="125"/>
      <c r="B51" s="96" t="s">
        <v>12</v>
      </c>
      <c r="C51" s="90">
        <v>-8.778418020695961E-5</v>
      </c>
      <c r="D51" s="91">
        <v>1.5553042661875668E-2</v>
      </c>
      <c r="E51" s="92">
        <v>3.6482049062004429E-4</v>
      </c>
      <c r="F51" s="93">
        <v>1.6223322924566564E-2</v>
      </c>
      <c r="G51" s="90">
        <v>6.2968223545012707E-4</v>
      </c>
      <c r="H51" s="91">
        <v>1.5761606702324838E-2</v>
      </c>
      <c r="I51" s="92" t="s">
        <v>1409</v>
      </c>
      <c r="J51" s="94" t="s">
        <v>1409</v>
      </c>
      <c r="K51" s="131" t="s">
        <v>1429</v>
      </c>
      <c r="L51" s="131" t="s">
        <v>1429</v>
      </c>
      <c r="M51" s="131" t="s">
        <v>1429</v>
      </c>
      <c r="N51" s="131" t="s">
        <v>1429</v>
      </c>
      <c r="O51" s="131" t="s">
        <v>1429</v>
      </c>
      <c r="P51" s="131" t="s">
        <v>1429</v>
      </c>
      <c r="Q51" s="131" t="s">
        <v>1429</v>
      </c>
      <c r="R51" s="131" t="s">
        <v>1429</v>
      </c>
      <c r="S51" s="131" t="s">
        <v>1429</v>
      </c>
      <c r="T51" s="131" t="s">
        <v>1429</v>
      </c>
      <c r="U51" s="131" t="s">
        <v>1429</v>
      </c>
      <c r="V51" s="131" t="s">
        <v>1429</v>
      </c>
      <c r="W51" s="131" t="s">
        <v>1429</v>
      </c>
      <c r="X51" s="131" t="s">
        <v>1429</v>
      </c>
      <c r="Y51" s="131" t="s">
        <v>1429</v>
      </c>
      <c r="Z51" s="33"/>
    </row>
    <row r="52" spans="1:26">
      <c r="A52" s="125"/>
      <c r="B52" s="96" t="s">
        <v>13</v>
      </c>
      <c r="C52" s="90">
        <v>-2.8248885757085196E-4</v>
      </c>
      <c r="D52" s="91">
        <v>0.12138270070282893</v>
      </c>
      <c r="E52" s="92">
        <v>3.3055523777553962E-3</v>
      </c>
      <c r="F52" s="93">
        <v>0.12817804622228915</v>
      </c>
      <c r="G52" s="90">
        <v>2.9814036257289948E-3</v>
      </c>
      <c r="H52" s="91">
        <v>0.17403054513315924</v>
      </c>
      <c r="I52" s="92" t="s">
        <v>1409</v>
      </c>
      <c r="J52" s="94" t="s">
        <v>1409</v>
      </c>
      <c r="K52" s="131" t="s">
        <v>1429</v>
      </c>
      <c r="L52" s="131" t="s">
        <v>1429</v>
      </c>
      <c r="M52" s="131" t="s">
        <v>1429</v>
      </c>
      <c r="N52" s="131" t="s">
        <v>1429</v>
      </c>
      <c r="O52" s="131" t="s">
        <v>1429</v>
      </c>
      <c r="P52" s="131" t="s">
        <v>1429</v>
      </c>
      <c r="Q52" s="131" t="s">
        <v>1429</v>
      </c>
      <c r="R52" s="131" t="s">
        <v>1429</v>
      </c>
      <c r="S52" s="131" t="s">
        <v>1429</v>
      </c>
      <c r="T52" s="131" t="s">
        <v>1429</v>
      </c>
      <c r="U52" s="131" t="s">
        <v>1429</v>
      </c>
      <c r="V52" s="131" t="s">
        <v>1429</v>
      </c>
      <c r="W52" s="131" t="s">
        <v>1429</v>
      </c>
      <c r="X52" s="131" t="s">
        <v>1429</v>
      </c>
      <c r="Y52" s="131" t="s">
        <v>1429</v>
      </c>
      <c r="Z52" s="33"/>
    </row>
    <row r="53" spans="1:26">
      <c r="A53" s="125"/>
      <c r="B53" s="96" t="s">
        <v>14</v>
      </c>
      <c r="C53" s="90">
        <v>0</v>
      </c>
      <c r="D53" s="91">
        <v>0</v>
      </c>
      <c r="E53" s="92">
        <v>0</v>
      </c>
      <c r="F53" s="93">
        <v>0</v>
      </c>
      <c r="G53" s="90">
        <v>0</v>
      </c>
      <c r="H53" s="91">
        <v>0</v>
      </c>
      <c r="I53" s="92" t="s">
        <v>1409</v>
      </c>
      <c r="J53" s="94" t="s">
        <v>1409</v>
      </c>
      <c r="K53" s="131" t="s">
        <v>1429</v>
      </c>
      <c r="L53" s="131" t="s">
        <v>1429</v>
      </c>
      <c r="M53" s="131" t="s">
        <v>1429</v>
      </c>
      <c r="N53" s="131" t="s">
        <v>1429</v>
      </c>
      <c r="O53" s="131" t="s">
        <v>1429</v>
      </c>
      <c r="P53" s="131" t="s">
        <v>1429</v>
      </c>
      <c r="Q53" s="131" t="s">
        <v>1429</v>
      </c>
      <c r="R53" s="131" t="s">
        <v>1429</v>
      </c>
      <c r="S53" s="131" t="s">
        <v>1429</v>
      </c>
      <c r="T53" s="131" t="s">
        <v>1429</v>
      </c>
      <c r="U53" s="131" t="s">
        <v>1429</v>
      </c>
      <c r="V53" s="131" t="s">
        <v>1429</v>
      </c>
      <c r="W53" s="131" t="s">
        <v>1429</v>
      </c>
      <c r="X53" s="131" t="s">
        <v>1429</v>
      </c>
      <c r="Y53" s="131" t="s">
        <v>1429</v>
      </c>
      <c r="Z53" s="33"/>
    </row>
    <row r="54" spans="1:26">
      <c r="A54" s="125"/>
      <c r="B54" s="96" t="s">
        <v>15</v>
      </c>
      <c r="C54" s="90">
        <v>0</v>
      </c>
      <c r="D54" s="91">
        <v>0</v>
      </c>
      <c r="E54" s="92">
        <v>0</v>
      </c>
      <c r="F54" s="93">
        <v>0</v>
      </c>
      <c r="G54" s="90">
        <v>0</v>
      </c>
      <c r="H54" s="91">
        <v>0</v>
      </c>
      <c r="I54" s="92" t="s">
        <v>1409</v>
      </c>
      <c r="J54" s="94" t="s">
        <v>1409</v>
      </c>
      <c r="K54" s="131" t="s">
        <v>1429</v>
      </c>
      <c r="L54" s="131" t="s">
        <v>1429</v>
      </c>
      <c r="M54" s="131" t="s">
        <v>1429</v>
      </c>
      <c r="N54" s="131" t="s">
        <v>1429</v>
      </c>
      <c r="O54" s="131" t="s">
        <v>1429</v>
      </c>
      <c r="P54" s="131" t="s">
        <v>1429</v>
      </c>
      <c r="Q54" s="131" t="s">
        <v>1429</v>
      </c>
      <c r="R54" s="131" t="s">
        <v>1429</v>
      </c>
      <c r="S54" s="131" t="s">
        <v>1429</v>
      </c>
      <c r="T54" s="131" t="s">
        <v>1429</v>
      </c>
      <c r="U54" s="131" t="s">
        <v>1429</v>
      </c>
      <c r="V54" s="131" t="s">
        <v>1429</v>
      </c>
      <c r="W54" s="131" t="s">
        <v>1429</v>
      </c>
      <c r="X54" s="131" t="s">
        <v>1429</v>
      </c>
      <c r="Y54" s="131" t="s">
        <v>1429</v>
      </c>
      <c r="Z54" s="33"/>
    </row>
    <row r="55" spans="1:26">
      <c r="A55" s="125"/>
      <c r="B55" s="96" t="s">
        <v>16</v>
      </c>
      <c r="C55" s="90">
        <v>0</v>
      </c>
      <c r="D55" s="91">
        <v>0</v>
      </c>
      <c r="E55" s="92">
        <v>0</v>
      </c>
      <c r="F55" s="93">
        <v>0</v>
      </c>
      <c r="G55" s="90">
        <v>0</v>
      </c>
      <c r="H55" s="91">
        <v>0</v>
      </c>
      <c r="I55" s="92" t="s">
        <v>1409</v>
      </c>
      <c r="J55" s="94" t="s">
        <v>1409</v>
      </c>
      <c r="K55" s="131" t="s">
        <v>1429</v>
      </c>
      <c r="L55" s="131" t="s">
        <v>1429</v>
      </c>
      <c r="M55" s="131" t="s">
        <v>1429</v>
      </c>
      <c r="N55" s="131" t="s">
        <v>1429</v>
      </c>
      <c r="O55" s="131" t="s">
        <v>1429</v>
      </c>
      <c r="P55" s="131" t="s">
        <v>1429</v>
      </c>
      <c r="Q55" s="131" t="s">
        <v>1429</v>
      </c>
      <c r="R55" s="131" t="s">
        <v>1429</v>
      </c>
      <c r="S55" s="131" t="s">
        <v>1429</v>
      </c>
      <c r="T55" s="131" t="s">
        <v>1429</v>
      </c>
      <c r="U55" s="131" t="s">
        <v>1429</v>
      </c>
      <c r="V55" s="131" t="s">
        <v>1429</v>
      </c>
      <c r="W55" s="131" t="s">
        <v>1429</v>
      </c>
      <c r="X55" s="131" t="s">
        <v>1429</v>
      </c>
      <c r="Y55" s="131" t="s">
        <v>1429</v>
      </c>
      <c r="Z55" s="33"/>
    </row>
    <row r="56" spans="1:26">
      <c r="A56" s="125"/>
      <c r="B56" s="96" t="s">
        <v>17</v>
      </c>
      <c r="C56" s="90">
        <v>1.8631077822581797E-7</v>
      </c>
      <c r="D56" s="91">
        <v>9.4220580002169667E-7</v>
      </c>
      <c r="E56" s="92">
        <v>6.1761251072968234E-7</v>
      </c>
      <c r="F56" s="93">
        <v>-8.6504768247722139E-6</v>
      </c>
      <c r="G56" s="90">
        <v>6.377850204616601E-7</v>
      </c>
      <c r="H56" s="91">
        <v>1.2392094642448988E-5</v>
      </c>
      <c r="I56" s="92" t="s">
        <v>1409</v>
      </c>
      <c r="J56" s="94" t="s">
        <v>1409</v>
      </c>
      <c r="K56" s="131" t="s">
        <v>1429</v>
      </c>
      <c r="L56" s="131" t="s">
        <v>1429</v>
      </c>
      <c r="M56" s="131" t="s">
        <v>1429</v>
      </c>
      <c r="N56" s="131" t="s">
        <v>1429</v>
      </c>
      <c r="O56" s="131" t="s">
        <v>1429</v>
      </c>
      <c r="P56" s="131" t="s">
        <v>1429</v>
      </c>
      <c r="Q56" s="131" t="s">
        <v>1429</v>
      </c>
      <c r="R56" s="131" t="s">
        <v>1429</v>
      </c>
      <c r="S56" s="131" t="s">
        <v>1429</v>
      </c>
      <c r="T56" s="131" t="s">
        <v>1429</v>
      </c>
      <c r="U56" s="131" t="s">
        <v>1429</v>
      </c>
      <c r="V56" s="131" t="s">
        <v>1429</v>
      </c>
      <c r="W56" s="131" t="s">
        <v>1429</v>
      </c>
      <c r="X56" s="131" t="s">
        <v>1429</v>
      </c>
      <c r="Y56" s="131" t="s">
        <v>1429</v>
      </c>
      <c r="Z56" s="33"/>
    </row>
    <row r="57" spans="1:26">
      <c r="A57" s="125"/>
      <c r="B57" s="97" t="s">
        <v>25</v>
      </c>
      <c r="C57" s="98">
        <v>-6.330271403389709E-4</v>
      </c>
      <c r="D57" s="99">
        <v>1</v>
      </c>
      <c r="E57" s="100">
        <v>2.7070344718004069E-2</v>
      </c>
      <c r="F57" s="101">
        <v>0.99999999999999989</v>
      </c>
      <c r="G57" s="98">
        <v>2.3172870120820255E-2</v>
      </c>
      <c r="H57" s="99">
        <v>0.99999999999999978</v>
      </c>
      <c r="I57" s="100" t="s">
        <v>1409</v>
      </c>
      <c r="J57" s="102" t="s">
        <v>1409</v>
      </c>
      <c r="K57" s="131" t="s">
        <v>1429</v>
      </c>
      <c r="L57" s="131" t="s">
        <v>1429</v>
      </c>
      <c r="M57" s="131" t="s">
        <v>1429</v>
      </c>
      <c r="N57" s="131" t="s">
        <v>1429</v>
      </c>
      <c r="O57" s="131" t="s">
        <v>1429</v>
      </c>
      <c r="P57" s="131" t="s">
        <v>1429</v>
      </c>
      <c r="Q57" s="131" t="s">
        <v>1429</v>
      </c>
      <c r="R57" s="131" t="s">
        <v>1429</v>
      </c>
      <c r="S57" s="131" t="s">
        <v>1429</v>
      </c>
      <c r="T57" s="131" t="s">
        <v>1429</v>
      </c>
      <c r="U57" s="131" t="s">
        <v>1429</v>
      </c>
      <c r="V57" s="131" t="s">
        <v>1429</v>
      </c>
      <c r="W57" s="131" t="s">
        <v>1429</v>
      </c>
      <c r="X57" s="131" t="s">
        <v>1429</v>
      </c>
      <c r="Y57" s="131" t="s">
        <v>1429</v>
      </c>
      <c r="Z57" s="33"/>
    </row>
    <row r="58" spans="1:26">
      <c r="A58" s="125"/>
      <c r="B58" s="103" t="s">
        <v>24</v>
      </c>
      <c r="C58" s="104">
        <v>-86.70497000000006</v>
      </c>
      <c r="D58" s="128"/>
      <c r="E58" s="105">
        <v>1008.5011099999999</v>
      </c>
      <c r="F58" s="128"/>
      <c r="G58" s="104">
        <v>818.17731999999978</v>
      </c>
      <c r="H58" s="128"/>
      <c r="I58" s="105" t="s">
        <v>1409</v>
      </c>
      <c r="J58" s="132"/>
      <c r="K58" s="131" t="s">
        <v>1429</v>
      </c>
      <c r="L58" s="131" t="s">
        <v>1429</v>
      </c>
      <c r="M58" s="131" t="s">
        <v>1429</v>
      </c>
      <c r="N58" s="131" t="s">
        <v>1429</v>
      </c>
      <c r="O58" s="131" t="s">
        <v>1429</v>
      </c>
      <c r="P58" s="131" t="s">
        <v>1429</v>
      </c>
      <c r="Q58" s="131" t="s">
        <v>1429</v>
      </c>
      <c r="R58" s="131" t="s">
        <v>1429</v>
      </c>
      <c r="S58" s="131" t="s">
        <v>1429</v>
      </c>
      <c r="T58" s="131" t="s">
        <v>1429</v>
      </c>
      <c r="U58" s="131" t="s">
        <v>1429</v>
      </c>
      <c r="V58" s="131" t="s">
        <v>1429</v>
      </c>
      <c r="W58" s="131" t="s">
        <v>1429</v>
      </c>
      <c r="X58" s="131" t="s">
        <v>1429</v>
      </c>
      <c r="Y58" s="131" t="s">
        <v>1429</v>
      </c>
      <c r="Z58" s="33"/>
    </row>
    <row r="59" spans="1:26">
      <c r="A59" s="125"/>
      <c r="B59" s="129"/>
      <c r="C59" s="130"/>
      <c r="D59" s="130"/>
      <c r="E59" s="130"/>
      <c r="F59" s="130"/>
      <c r="G59" s="130"/>
      <c r="H59" s="130"/>
      <c r="I59" s="130"/>
      <c r="J59" s="133"/>
      <c r="K59" s="131" t="s">
        <v>1429</v>
      </c>
      <c r="L59" s="131" t="s">
        <v>1429</v>
      </c>
      <c r="M59" s="131" t="s">
        <v>1429</v>
      </c>
      <c r="N59" s="131" t="s">
        <v>1429</v>
      </c>
      <c r="O59" s="131" t="s">
        <v>1429</v>
      </c>
      <c r="P59" s="131" t="s">
        <v>1429</v>
      </c>
      <c r="Q59" s="131" t="s">
        <v>1429</v>
      </c>
      <c r="R59" s="131" t="s">
        <v>1429</v>
      </c>
      <c r="S59" s="131" t="s">
        <v>1429</v>
      </c>
      <c r="T59" s="131" t="s">
        <v>1429</v>
      </c>
      <c r="U59" s="131" t="s">
        <v>1429</v>
      </c>
      <c r="V59" s="131" t="s">
        <v>1429</v>
      </c>
      <c r="W59" s="131" t="s">
        <v>1429</v>
      </c>
      <c r="X59" s="131" t="s">
        <v>1429</v>
      </c>
      <c r="Y59" s="131" t="s">
        <v>1429</v>
      </c>
      <c r="Z59" s="33"/>
    </row>
    <row r="60" spans="1:26">
      <c r="A60" s="125"/>
      <c r="B60" s="89" t="s">
        <v>19</v>
      </c>
      <c r="C60" s="108">
        <v>2.5056458979398808E-3</v>
      </c>
      <c r="D60" s="109">
        <v>0.84489840912614833</v>
      </c>
      <c r="E60" s="110">
        <v>3.3431097751837044E-2</v>
      </c>
      <c r="F60" s="111">
        <v>0.84981861622094845</v>
      </c>
      <c r="G60" s="108">
        <v>2.9637896441491205E-2</v>
      </c>
      <c r="H60" s="109">
        <v>0.8529670790318471</v>
      </c>
      <c r="I60" s="110" t="s">
        <v>1409</v>
      </c>
      <c r="J60" s="112" t="s">
        <v>1409</v>
      </c>
      <c r="K60" s="131" t="s">
        <v>1429</v>
      </c>
      <c r="L60" s="131" t="s">
        <v>1429</v>
      </c>
      <c r="M60" s="131" t="s">
        <v>1429</v>
      </c>
      <c r="N60" s="131" t="s">
        <v>1429</v>
      </c>
      <c r="O60" s="131" t="s">
        <v>1429</v>
      </c>
      <c r="P60" s="131" t="s">
        <v>1429</v>
      </c>
      <c r="Q60" s="131" t="s">
        <v>1429</v>
      </c>
      <c r="R60" s="131" t="s">
        <v>1429</v>
      </c>
      <c r="S60" s="131" t="s">
        <v>1429</v>
      </c>
      <c r="T60" s="131" t="s">
        <v>1429</v>
      </c>
      <c r="U60" s="131" t="s">
        <v>1429</v>
      </c>
      <c r="V60" s="131" t="s">
        <v>1429</v>
      </c>
      <c r="W60" s="131" t="s">
        <v>1429</v>
      </c>
      <c r="X60" s="131" t="s">
        <v>1429</v>
      </c>
      <c r="Y60" s="131" t="s">
        <v>1429</v>
      </c>
      <c r="Z60" s="33"/>
    </row>
    <row r="61" spans="1:26">
      <c r="A61" s="125"/>
      <c r="B61" s="96" t="s">
        <v>20</v>
      </c>
      <c r="C61" s="90">
        <v>-3.1386730382788517E-3</v>
      </c>
      <c r="D61" s="91">
        <v>0.15510159087385161</v>
      </c>
      <c r="E61" s="92">
        <v>-6.3607530338329775E-3</v>
      </c>
      <c r="F61" s="93">
        <v>0.15018138377905163</v>
      </c>
      <c r="G61" s="90">
        <v>-6.4650263206709486E-3</v>
      </c>
      <c r="H61" s="91">
        <v>0.14703292096815279</v>
      </c>
      <c r="I61" s="92" t="s">
        <v>1409</v>
      </c>
      <c r="J61" s="94" t="s">
        <v>1409</v>
      </c>
      <c r="K61" s="131" t="s">
        <v>1429</v>
      </c>
      <c r="L61" s="131" t="s">
        <v>1429</v>
      </c>
      <c r="M61" s="131" t="s">
        <v>1429</v>
      </c>
      <c r="N61" s="131" t="s">
        <v>1429</v>
      </c>
      <c r="O61" s="131" t="s">
        <v>1429</v>
      </c>
      <c r="P61" s="131" t="s">
        <v>1429</v>
      </c>
      <c r="Q61" s="131" t="s">
        <v>1429</v>
      </c>
      <c r="R61" s="131" t="s">
        <v>1429</v>
      </c>
      <c r="S61" s="131" t="s">
        <v>1429</v>
      </c>
      <c r="T61" s="131" t="s">
        <v>1429</v>
      </c>
      <c r="U61" s="131" t="s">
        <v>1429</v>
      </c>
      <c r="V61" s="131" t="s">
        <v>1429</v>
      </c>
      <c r="W61" s="131" t="s">
        <v>1429</v>
      </c>
      <c r="X61" s="131" t="s">
        <v>1429</v>
      </c>
      <c r="Y61" s="131" t="s">
        <v>1429</v>
      </c>
      <c r="Z61" s="33"/>
    </row>
    <row r="62" spans="1:26">
      <c r="A62" s="125"/>
      <c r="B62" s="97" t="s">
        <v>25</v>
      </c>
      <c r="C62" s="98">
        <v>-6.330271403389709E-4</v>
      </c>
      <c r="D62" s="99">
        <v>1</v>
      </c>
      <c r="E62" s="100">
        <v>2.7070344718004069E-2</v>
      </c>
      <c r="F62" s="101">
        <v>1</v>
      </c>
      <c r="G62" s="98">
        <v>2.3172870120820255E-2</v>
      </c>
      <c r="H62" s="99">
        <v>0.99999999999999989</v>
      </c>
      <c r="I62" s="100" t="s">
        <v>1409</v>
      </c>
      <c r="J62" s="102" t="s">
        <v>1409</v>
      </c>
      <c r="K62" s="131" t="s">
        <v>1429</v>
      </c>
      <c r="L62" s="131" t="s">
        <v>1429</v>
      </c>
      <c r="M62" s="131" t="s">
        <v>1429</v>
      </c>
      <c r="N62" s="131" t="s">
        <v>1429</v>
      </c>
      <c r="O62" s="131" t="s">
        <v>1429</v>
      </c>
      <c r="P62" s="131" t="s">
        <v>1429</v>
      </c>
      <c r="Q62" s="131" t="s">
        <v>1429</v>
      </c>
      <c r="R62" s="131" t="s">
        <v>1429</v>
      </c>
      <c r="S62" s="131" t="s">
        <v>1429</v>
      </c>
      <c r="T62" s="131" t="s">
        <v>1429</v>
      </c>
      <c r="U62" s="131" t="s">
        <v>1429</v>
      </c>
      <c r="V62" s="131" t="s">
        <v>1429</v>
      </c>
      <c r="W62" s="131" t="s">
        <v>1429</v>
      </c>
      <c r="X62" s="131" t="s">
        <v>1429</v>
      </c>
      <c r="Y62" s="131" t="s">
        <v>1429</v>
      </c>
      <c r="Z62" s="33"/>
    </row>
    <row r="63" spans="1:26">
      <c r="A63" s="125"/>
      <c r="B63" s="129"/>
      <c r="C63" s="130"/>
      <c r="D63" s="130"/>
      <c r="E63" s="130"/>
      <c r="F63" s="130"/>
      <c r="G63" s="130"/>
      <c r="H63" s="130"/>
      <c r="I63" s="130"/>
      <c r="J63" s="133"/>
      <c r="K63" s="131" t="s">
        <v>1429</v>
      </c>
      <c r="L63" s="131" t="s">
        <v>1429</v>
      </c>
      <c r="M63" s="131" t="s">
        <v>1429</v>
      </c>
      <c r="N63" s="131" t="s">
        <v>1429</v>
      </c>
      <c r="O63" s="131" t="s">
        <v>1429</v>
      </c>
      <c r="P63" s="131" t="s">
        <v>1429</v>
      </c>
      <c r="Q63" s="131" t="s">
        <v>1429</v>
      </c>
      <c r="R63" s="131" t="s">
        <v>1429</v>
      </c>
      <c r="S63" s="131" t="s">
        <v>1429</v>
      </c>
      <c r="T63" s="131" t="s">
        <v>1429</v>
      </c>
      <c r="U63" s="131" t="s">
        <v>1429</v>
      </c>
      <c r="V63" s="131" t="s">
        <v>1429</v>
      </c>
      <c r="W63" s="131" t="s">
        <v>1429</v>
      </c>
      <c r="X63" s="131" t="s">
        <v>1429</v>
      </c>
      <c r="Y63" s="131" t="s">
        <v>1429</v>
      </c>
      <c r="Z63" s="33"/>
    </row>
    <row r="64" spans="1:26">
      <c r="A64" s="125"/>
      <c r="B64" s="89" t="s">
        <v>21</v>
      </c>
      <c r="C64" s="108">
        <v>-1.6382157909179333E-3</v>
      </c>
      <c r="D64" s="109">
        <v>0.79030805469174037</v>
      </c>
      <c r="E64" s="110">
        <v>1.8486053528438177E-2</v>
      </c>
      <c r="F64" s="111">
        <v>0.78238855212946989</v>
      </c>
      <c r="G64" s="108">
        <v>1.566445872204722E-2</v>
      </c>
      <c r="H64" s="109">
        <v>0.73890180027983554</v>
      </c>
      <c r="I64" s="110" t="s">
        <v>1409</v>
      </c>
      <c r="J64" s="112" t="s">
        <v>1409</v>
      </c>
      <c r="K64" s="131" t="s">
        <v>1429</v>
      </c>
      <c r="L64" s="131" t="s">
        <v>1429</v>
      </c>
      <c r="M64" s="131" t="s">
        <v>1429</v>
      </c>
      <c r="N64" s="131" t="s">
        <v>1429</v>
      </c>
      <c r="O64" s="131" t="s">
        <v>1429</v>
      </c>
      <c r="P64" s="131" t="s">
        <v>1429</v>
      </c>
      <c r="Q64" s="131" t="s">
        <v>1429</v>
      </c>
      <c r="R64" s="131" t="s">
        <v>1429</v>
      </c>
      <c r="S64" s="131" t="s">
        <v>1429</v>
      </c>
      <c r="T64" s="131" t="s">
        <v>1429</v>
      </c>
      <c r="U64" s="131" t="s">
        <v>1429</v>
      </c>
      <c r="V64" s="131" t="s">
        <v>1429</v>
      </c>
      <c r="W64" s="131" t="s">
        <v>1429</v>
      </c>
      <c r="X64" s="131" t="s">
        <v>1429</v>
      </c>
      <c r="Y64" s="131" t="s">
        <v>1429</v>
      </c>
      <c r="Z64" s="33"/>
    </row>
    <row r="65" spans="1:26">
      <c r="A65" s="125"/>
      <c r="B65" s="96" t="s">
        <v>22</v>
      </c>
      <c r="C65" s="90">
        <v>1.0051886505789624E-3</v>
      </c>
      <c r="D65" s="91">
        <v>0.20969194530825966</v>
      </c>
      <c r="E65" s="92">
        <v>8.5842911895658916E-3</v>
      </c>
      <c r="F65" s="93">
        <v>0.21761144787053013</v>
      </c>
      <c r="G65" s="90">
        <v>7.5084113987730359E-3</v>
      </c>
      <c r="H65" s="91">
        <v>0.26109819972016446</v>
      </c>
      <c r="I65" s="92" t="s">
        <v>1409</v>
      </c>
      <c r="J65" s="94" t="s">
        <v>1409</v>
      </c>
      <c r="K65" s="131" t="s">
        <v>1429</v>
      </c>
      <c r="L65" s="131" t="s">
        <v>1429</v>
      </c>
      <c r="M65" s="131" t="s">
        <v>1429</v>
      </c>
      <c r="N65" s="131" t="s">
        <v>1429</v>
      </c>
      <c r="O65" s="131" t="s">
        <v>1429</v>
      </c>
      <c r="P65" s="131" t="s">
        <v>1429</v>
      </c>
      <c r="Q65" s="131" t="s">
        <v>1429</v>
      </c>
      <c r="R65" s="131" t="s">
        <v>1429</v>
      </c>
      <c r="S65" s="131" t="s">
        <v>1429</v>
      </c>
      <c r="T65" s="131" t="s">
        <v>1429</v>
      </c>
      <c r="U65" s="131" t="s">
        <v>1429</v>
      </c>
      <c r="V65" s="131" t="s">
        <v>1429</v>
      </c>
      <c r="W65" s="131" t="s">
        <v>1429</v>
      </c>
      <c r="X65" s="131" t="s">
        <v>1429</v>
      </c>
      <c r="Y65" s="131" t="s">
        <v>1429</v>
      </c>
      <c r="Z65" s="33"/>
    </row>
    <row r="66" spans="1:26">
      <c r="A66" s="125"/>
      <c r="B66" s="113" t="s">
        <v>25</v>
      </c>
      <c r="C66" s="114">
        <v>-6.330271403389709E-4</v>
      </c>
      <c r="D66" s="115">
        <v>1</v>
      </c>
      <c r="E66" s="116">
        <v>2.7070344718004069E-2</v>
      </c>
      <c r="F66" s="117">
        <v>1</v>
      </c>
      <c r="G66" s="114">
        <v>2.3172870120820255E-2</v>
      </c>
      <c r="H66" s="115">
        <v>1</v>
      </c>
      <c r="I66" s="116" t="s">
        <v>1409</v>
      </c>
      <c r="J66" s="118" t="s">
        <v>1409</v>
      </c>
      <c r="K66" s="131" t="s">
        <v>1429</v>
      </c>
      <c r="L66" s="131" t="s">
        <v>1429</v>
      </c>
      <c r="M66" s="131" t="s">
        <v>1429</v>
      </c>
      <c r="N66" s="131" t="s">
        <v>1429</v>
      </c>
      <c r="O66" s="131" t="s">
        <v>1429</v>
      </c>
      <c r="P66" s="131" t="s">
        <v>1429</v>
      </c>
      <c r="Q66" s="131" t="s">
        <v>1429</v>
      </c>
      <c r="R66" s="131" t="s">
        <v>1429</v>
      </c>
      <c r="S66" s="131" t="s">
        <v>1429</v>
      </c>
      <c r="T66" s="131" t="s">
        <v>1429</v>
      </c>
      <c r="U66" s="131" t="s">
        <v>1429</v>
      </c>
      <c r="V66" s="131" t="s">
        <v>1429</v>
      </c>
      <c r="W66" s="131" t="s">
        <v>1429</v>
      </c>
      <c r="X66" s="131" t="s">
        <v>1429</v>
      </c>
      <c r="Y66" s="131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>
      <c r="G708" s="70">
        <v>14944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>
      <c r="G709" s="70">
        <v>15455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>
      <c r="G710" s="70">
        <v>15456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idden="1">
      <c r="G711" s="70">
        <v>15457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2026-10-26T08:49:34Z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