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5" i="6"/>
  <c r="B23" i="6"/>
  <c r="B24" i="6"/>
  <c r="C3" i="5" l="1"/>
  <c r="C4" i="5"/>
  <c r="B26" i="6"/>
</calcChain>
</file>

<file path=xl/sharedStrings.xml><?xml version="1.0" encoding="utf-8"?>
<sst xmlns="http://schemas.openxmlformats.org/spreadsheetml/2006/main" count="5549" uniqueCount="1409">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</sst>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9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/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  <xf numFmtId="0" fontId="0" fillId="0" borderId="2" xfId="0" applyBorder="1" applyAlignment="1">
      <alignment horizontal="center" vertical="top" wrapText="1"/>
    </xf>
    <xf numFmtId="177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7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97" xfId="16"/>
    <cellStyle name="98" xfId="17"/>
    <cellStyle name="99" xfId="18"/>
    <cellStyle name="Comma [0] 2" xfId="19"/>
    <cellStyle name="Comma [0] 2 2" xfId="20"/>
    <cellStyle name="Comma [0] 2 2 2" xfId="21"/>
    <cellStyle name="Comma [0] 2 3" xfId="22"/>
    <cellStyle name="Comma [0] 2 4" xfId="23"/>
    <cellStyle name="Comma [0] 3" xfId="24"/>
    <cellStyle name="Comma 2" xfId="25"/>
    <cellStyle name="Comma 2 2" xfId="26"/>
    <cellStyle name="Comma 2 2 2" xfId="27"/>
    <cellStyle name="Comma 2 2 3" xfId="28"/>
    <cellStyle name="Comma 2 2 4" xfId="29"/>
    <cellStyle name="Comma 2 2 5" xfId="30"/>
    <cellStyle name="Comma 2 2 6" xfId="31"/>
    <cellStyle name="Comma 2 2 7" xfId="32"/>
    <cellStyle name="Comma 2 3" xfId="33"/>
    <cellStyle name="Comma 2 4" xfId="34"/>
    <cellStyle name="Comma 2 5" xfId="35"/>
    <cellStyle name="Comma 2 6" xfId="36"/>
    <cellStyle name="Comma 2 7" xfId="37"/>
    <cellStyle name="Comma 2 8" xfId="38"/>
    <cellStyle name="Comma 2 9" xfId="39"/>
    <cellStyle name="Comma 3" xfId="40"/>
    <cellStyle name="Comma 3 2" xfId="41"/>
    <cellStyle name="Comma 4" xfId="42"/>
    <cellStyle name="Comma 5" xfId="43"/>
    <cellStyle name="Comma 6" xfId="44"/>
    <cellStyle name="Comma 7" xfId="45"/>
    <cellStyle name="Currency [0] _1" xfId="46"/>
    <cellStyle name="Euro" xfId="47"/>
    <cellStyle name="Hyperlink 2" xfId="48"/>
    <cellStyle name="Hyperlink 2 2" xfId="49"/>
    <cellStyle name="Hyperlink 2 2 2" xfId="50"/>
    <cellStyle name="Hyperlink 2 2 2 2" xfId="51"/>
    <cellStyle name="Hyperlink 2 3" xfId="52"/>
    <cellStyle name="Hyperlink 2 4" xfId="53"/>
    <cellStyle name="Hyperlink 2 5" xfId="54"/>
    <cellStyle name="Hyperlink 2 6" xfId="55"/>
    <cellStyle name="Hyperlink 2 7" xfId="56"/>
    <cellStyle name="Hyperlink 2 8" xfId="57"/>
    <cellStyle name="Hyperlink 2_Data" xfId="58"/>
    <cellStyle name="Normal" xfId="0" builtinId="0"/>
    <cellStyle name="Normal 10" xfId="59"/>
    <cellStyle name="Normal 11" xfId="60"/>
    <cellStyle name="Normal 12" xfId="61"/>
    <cellStyle name="Normal 12 2" xfId="62"/>
    <cellStyle name="Normal 12 3" xfId="63"/>
    <cellStyle name="Normal 12 4" xfId="64"/>
    <cellStyle name="Normal 12 5" xfId="65"/>
    <cellStyle name="Normal 12 6" xfId="66"/>
    <cellStyle name="Normal 12 7" xfId="67"/>
    <cellStyle name="Normal 12 8" xfId="68"/>
    <cellStyle name="Normal 13" xfId="69"/>
    <cellStyle name="Normal 13 2" xfId="70"/>
    <cellStyle name="Normal 13 3" xfId="71"/>
    <cellStyle name="Normal 13 4" xfId="72"/>
    <cellStyle name="Normal 13 5" xfId="73"/>
    <cellStyle name="Normal 13 6" xfId="74"/>
    <cellStyle name="Normal 13 7" xfId="75"/>
    <cellStyle name="Normal 13 8" xfId="76"/>
    <cellStyle name="Normal 14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5" xfId="85"/>
    <cellStyle name="Normal 15 2" xfId="86"/>
    <cellStyle name="Normal 15 3" xfId="87"/>
    <cellStyle name="Normal 15 4" xfId="88"/>
    <cellStyle name="Normal 15 5" xfId="89"/>
    <cellStyle name="Normal 15 6" xfId="90"/>
    <cellStyle name="Normal 15 7" xfId="91"/>
    <cellStyle name="Normal 15 8" xfId="92"/>
    <cellStyle name="Normal 16" xfId="93"/>
    <cellStyle name="Normal 16 2" xfId="94"/>
    <cellStyle name="Normal 16 3" xfId="95"/>
    <cellStyle name="Normal 16 4" xfId="96"/>
    <cellStyle name="Normal 16 5" xfId="97"/>
    <cellStyle name="Normal 16 6" xfId="98"/>
    <cellStyle name="Normal 16 7" xfId="99"/>
    <cellStyle name="Normal 16 8" xfId="100"/>
    <cellStyle name="Normal 17" xfId="101"/>
    <cellStyle name="Normal 17 2" xfId="102"/>
    <cellStyle name="Normal 17 3" xfId="103"/>
    <cellStyle name="Normal 18" xfId="104"/>
    <cellStyle name="Normal 18 2" xfId="105"/>
    <cellStyle name="Normal 18 3" xfId="106"/>
    <cellStyle name="Normal 19" xfId="107"/>
    <cellStyle name="Normal 2" xfId="108"/>
    <cellStyle name="Normal 2 10" xfId="109"/>
    <cellStyle name="Normal 2 11" xfId="110"/>
    <cellStyle name="Normal 2 12" xfId="111"/>
    <cellStyle name="Normal 2 13" xfId="112"/>
    <cellStyle name="Normal 2 2" xfId="113"/>
    <cellStyle name="Normal 2 2 2" xfId="114"/>
    <cellStyle name="Normal 2 2 2 2" xfId="115"/>
    <cellStyle name="Normal 2 2 2 2 2" xfId="116"/>
    <cellStyle name="Normal 2 2 2 2 2 2" xfId="117"/>
    <cellStyle name="Normal 2 2 2 2_ירידות ערך שנזקפו" xfId="118"/>
    <cellStyle name="Normal 2 2 2 3" xfId="119"/>
    <cellStyle name="Normal 2 2 2 4" xfId="120"/>
    <cellStyle name="Normal 2 2 2 5" xfId="121"/>
    <cellStyle name="Normal 2 2 2 6" xfId="122"/>
    <cellStyle name="Normal 2 2 2 7" xfId="123"/>
    <cellStyle name="Normal 2 2 2 8" xfId="124"/>
    <cellStyle name="Normal 2 2 2_ירידות ערך שנזקפו" xfId="125"/>
    <cellStyle name="Normal 2 2 3" xfId="126"/>
    <cellStyle name="Normal 2 2 3 2" xfId="127"/>
    <cellStyle name="Normal 2 2 3 2 2" xfId="128"/>
    <cellStyle name="Normal 2 2 4" xfId="129"/>
    <cellStyle name="Normal 2 2 5" xfId="130"/>
    <cellStyle name="Normal 2 2 6" xfId="131"/>
    <cellStyle name="Normal 2 2 7" xfId="132"/>
    <cellStyle name="Normal 2 2 8" xfId="133"/>
    <cellStyle name="Normal 2 2 9" xfId="134"/>
    <cellStyle name="Normal 2 2_ירידות ערך שנזקפו" xfId="135"/>
    <cellStyle name="Normal 2 3" xfId="136"/>
    <cellStyle name="Normal 2 3 2" xfId="137"/>
    <cellStyle name="Normal 2 3 2 2" xfId="138"/>
    <cellStyle name="Normal 2 3 3" xfId="139"/>
    <cellStyle name="Normal 2 3 4" xfId="140"/>
    <cellStyle name="Normal 2 3 5" xfId="141"/>
    <cellStyle name="Normal 2 3 6" xfId="142"/>
    <cellStyle name="Normal 2 3 7" xfId="143"/>
    <cellStyle name="Normal 2 3 8" xfId="144"/>
    <cellStyle name="Normal 2 3 9" xfId="145"/>
    <cellStyle name="Normal 2 3_ירידות ערך שנזקפו" xfId="146"/>
    <cellStyle name="Normal 2 4" xfId="147"/>
    <cellStyle name="Normal 2 4 2" xfId="148"/>
    <cellStyle name="Normal 2 5" xfId="149"/>
    <cellStyle name="Normal 2 6" xfId="150"/>
    <cellStyle name="Normal 2 6 2" xfId="151"/>
    <cellStyle name="Normal 2 6 2 2" xfId="152"/>
    <cellStyle name="Normal 2 7" xfId="153"/>
    <cellStyle name="Normal 2 7 2" xfId="154"/>
    <cellStyle name="Normal 2 8" xfId="155"/>
    <cellStyle name="Normal 2 9" xfId="156"/>
    <cellStyle name="Normal 2_אלמנטרי" xfId="157"/>
    <cellStyle name="Normal 20" xfId="158"/>
    <cellStyle name="Normal 21" xfId="159"/>
    <cellStyle name="Normal 21 2" xfId="160"/>
    <cellStyle name="Normal 21 3" xfId="161"/>
    <cellStyle name="Normal 22" xfId="162"/>
    <cellStyle name="Normal 22 2" xfId="163"/>
    <cellStyle name="Normal 22 3" xfId="164"/>
    <cellStyle name="Normal 23" xfId="165"/>
    <cellStyle name="Normal 23 2" xfId="166"/>
    <cellStyle name="Normal 23 3" xfId="167"/>
    <cellStyle name="Normal 24" xfId="168"/>
    <cellStyle name="Normal 24 2" xfId="169"/>
    <cellStyle name="Normal 24 3" xfId="170"/>
    <cellStyle name="Normal 25" xfId="171"/>
    <cellStyle name="Normal 25 2" xfId="172"/>
    <cellStyle name="Normal 25 3" xfId="173"/>
    <cellStyle name="Normal 26" xfId="174"/>
    <cellStyle name="Normal 26 2" xfId="175"/>
    <cellStyle name="Normal 26 3" xfId="176"/>
    <cellStyle name="Normal 27" xfId="177"/>
    <cellStyle name="Normal 27 2" xfId="178"/>
    <cellStyle name="Normal 27 3" xfId="179"/>
    <cellStyle name="Normal 27 4" xfId="180"/>
    <cellStyle name="Normal 27 5" xfId="181"/>
    <cellStyle name="Normal 27 6" xfId="182"/>
    <cellStyle name="Normal 27 7" xfId="183"/>
    <cellStyle name="Normal 28" xfId="184"/>
    <cellStyle name="Normal 29" xfId="185"/>
    <cellStyle name="Normal 3" xfId="186"/>
    <cellStyle name="Normal 3 2" xfId="187"/>
    <cellStyle name="Normal 3 2 2" xfId="188"/>
    <cellStyle name="Normal 3 2 3" xfId="189"/>
    <cellStyle name="Normal 3 2 4" xfId="190"/>
    <cellStyle name="Normal 3 2 5" xfId="191"/>
    <cellStyle name="Normal 3 2 6" xfId="192"/>
    <cellStyle name="Normal 3 2 7" xfId="193"/>
    <cellStyle name="Normal 3 2 8" xfId="194"/>
    <cellStyle name="Normal 3 3" xfId="195"/>
    <cellStyle name="Normal 3 4" xfId="196"/>
    <cellStyle name="Normal 3 5" xfId="197"/>
    <cellStyle name="Normal 3 6" xfId="198"/>
    <cellStyle name="Normal 3 7" xfId="199"/>
    <cellStyle name="Normal 3 8" xfId="200"/>
    <cellStyle name="Normal 3 9" xfId="201"/>
    <cellStyle name="Normal 3_אלמנטרי" xfId="202"/>
    <cellStyle name="Normal 30" xfId="203"/>
    <cellStyle name="Normal 30 2" xfId="204"/>
    <cellStyle name="Normal 30 3" xfId="205"/>
    <cellStyle name="Normal 30 4" xfId="206"/>
    <cellStyle name="Normal 30 5" xfId="207"/>
    <cellStyle name="Normal 30 6" xfId="208"/>
    <cellStyle name="Normal 30 7" xfId="209"/>
    <cellStyle name="Normal 31" xfId="210"/>
    <cellStyle name="Normal 32" xfId="211"/>
    <cellStyle name="Normal 32 2" xfId="212"/>
    <cellStyle name="Normal 32 3" xfId="213"/>
    <cellStyle name="Normal 32 4" xfId="214"/>
    <cellStyle name="Normal 32 5" xfId="215"/>
    <cellStyle name="Normal 32 6" xfId="216"/>
    <cellStyle name="Normal 32 7" xfId="217"/>
    <cellStyle name="Normal 33" xfId="218"/>
    <cellStyle name="Normal 33 2" xfId="219"/>
    <cellStyle name="Normal 33 3" xfId="220"/>
    <cellStyle name="Normal 33 4" xfId="221"/>
    <cellStyle name="Normal 33 5" xfId="222"/>
    <cellStyle name="Normal 33 6" xfId="223"/>
    <cellStyle name="Normal 33 7" xfId="224"/>
    <cellStyle name="Normal 34" xfId="225"/>
    <cellStyle name="Normal 34 2" xfId="226"/>
    <cellStyle name="Normal 35" xfId="227"/>
    <cellStyle name="Normal 36" xfId="228"/>
    <cellStyle name="Normal 36 2" xfId="229"/>
    <cellStyle name="Normal 36 3" xfId="230"/>
    <cellStyle name="Normal 36 4" xfId="231"/>
    <cellStyle name="Normal 36 5" xfId="232"/>
    <cellStyle name="Normal 36 6" xfId="233"/>
    <cellStyle name="Normal 36 7" xfId="234"/>
    <cellStyle name="Normal 37" xfId="235"/>
    <cellStyle name="Normal 38" xfId="236"/>
    <cellStyle name="Normal 39" xfId="237"/>
    <cellStyle name="Normal 4" xfId="238"/>
    <cellStyle name="Normal 4 2" xfId="239"/>
    <cellStyle name="Normal 4 3" xfId="240"/>
    <cellStyle name="Normal 4 4" xfId="241"/>
    <cellStyle name="Normal 4 5" xfId="242"/>
    <cellStyle name="Normal 4 6" xfId="243"/>
    <cellStyle name="Normal 4 7" xfId="244"/>
    <cellStyle name="Normal 4 8" xfId="245"/>
    <cellStyle name="Normal 4_ירידות ערך שנזקפו" xfId="246"/>
    <cellStyle name="Normal 40" xfId="247"/>
    <cellStyle name="Normal 41" xfId="248"/>
    <cellStyle name="Normal 41 2" xfId="249"/>
    <cellStyle name="Normal 41 3" xfId="250"/>
    <cellStyle name="Normal 41 4" xfId="251"/>
    <cellStyle name="Normal 41 5" xfId="252"/>
    <cellStyle name="Normal 41 6" xfId="253"/>
    <cellStyle name="Normal 41 7" xfId="254"/>
    <cellStyle name="Normal 42" xfId="255"/>
    <cellStyle name="Normal 42 2" xfId="256"/>
    <cellStyle name="Normal 42 2 2" xfId="257"/>
    <cellStyle name="Normal 42 3" xfId="258"/>
    <cellStyle name="Normal 42 3 2" xfId="259"/>
    <cellStyle name="Normal 42 4" xfId="260"/>
    <cellStyle name="Normal 42 4 2" xfId="261"/>
    <cellStyle name="Normal 42 5" xfId="262"/>
    <cellStyle name="Normal 43" xfId="263"/>
    <cellStyle name="Normal 44" xfId="264"/>
    <cellStyle name="Normal 45" xfId="265"/>
    <cellStyle name="Normal 45 2" xfId="266"/>
    <cellStyle name="Normal 45 2 2" xfId="267"/>
    <cellStyle name="Normal 45 3" xfId="268"/>
    <cellStyle name="Normal 45 3 2" xfId="269"/>
    <cellStyle name="Normal 45 4" xfId="270"/>
    <cellStyle name="Normal 45 4 2" xfId="271"/>
    <cellStyle name="Normal 45 5" xfId="272"/>
    <cellStyle name="Normal 46" xfId="273"/>
    <cellStyle name="Normal 46 2" xfId="274"/>
    <cellStyle name="Normal 46 2 2" xfId="275"/>
    <cellStyle name="Normal 46 3" xfId="276"/>
    <cellStyle name="Normal 46 3 2" xfId="277"/>
    <cellStyle name="Normal 46 4" xfId="278"/>
    <cellStyle name="Normal 46 4 2" xfId="279"/>
    <cellStyle name="Normal 46 5" xfId="280"/>
    <cellStyle name="Normal 47" xfId="281"/>
    <cellStyle name="Normal 47 2" xfId="282"/>
    <cellStyle name="Normal 47 2 2" xfId="283"/>
    <cellStyle name="Normal 47 3" xfId="284"/>
    <cellStyle name="Normal 47 3 2" xfId="285"/>
    <cellStyle name="Normal 47 4" xfId="286"/>
    <cellStyle name="Normal 47 4 2" xfId="287"/>
    <cellStyle name="Normal 47 5" xfId="288"/>
    <cellStyle name="Normal 48" xfId="289"/>
    <cellStyle name="Normal 49" xfId="290"/>
    <cellStyle name="Normal 5" xfId="291"/>
    <cellStyle name="Normal 5 2" xfId="292"/>
    <cellStyle name="Normal 5 3" xfId="293"/>
    <cellStyle name="Normal 5 4" xfId="294"/>
    <cellStyle name="Normal 5 5" xfId="295"/>
    <cellStyle name="Normal 5 6" xfId="296"/>
    <cellStyle name="Normal 5 7" xfId="297"/>
    <cellStyle name="Normal 5 8" xfId="298"/>
    <cellStyle name="Normal 50" xfId="299"/>
    <cellStyle name="Normal 6" xfId="300"/>
    <cellStyle name="Normal 6 10" xfId="301"/>
    <cellStyle name="Normal 6 11" xfId="302"/>
    <cellStyle name="Normal 6 12" xfId="303"/>
    <cellStyle name="Normal 6 13" xfId="304"/>
    <cellStyle name="Normal 6 14" xfId="305"/>
    <cellStyle name="Normal 6 2" xfId="306"/>
    <cellStyle name="Normal 6 2 2" xfId="307"/>
    <cellStyle name="Normal 6 2 3" xfId="308"/>
    <cellStyle name="Normal 6 2 4" xfId="309"/>
    <cellStyle name="Normal 6 2 5" xfId="310"/>
    <cellStyle name="Normal 6 2 6" xfId="311"/>
    <cellStyle name="Normal 6 2 7" xfId="312"/>
    <cellStyle name="Normal 6 3" xfId="313"/>
    <cellStyle name="Normal 6 4" xfId="314"/>
    <cellStyle name="Normal 6 5" xfId="315"/>
    <cellStyle name="Normal 6 6" xfId="316"/>
    <cellStyle name="Normal 6 7" xfId="317"/>
    <cellStyle name="Normal 6 8" xfId="318"/>
    <cellStyle name="Normal 6 9" xfId="319"/>
    <cellStyle name="Normal 6_Data" xfId="320"/>
    <cellStyle name="Normal 60" xfId="321"/>
    <cellStyle name="Normal 64" xfId="322"/>
    <cellStyle name="Normal 64 2" xfId="323"/>
    <cellStyle name="Normal 64 2 2" xfId="324"/>
    <cellStyle name="Normal 64 3" xfId="325"/>
    <cellStyle name="Normal 64 3 2" xfId="326"/>
    <cellStyle name="Normal 64 4" xfId="327"/>
    <cellStyle name="Normal 64 4 2" xfId="328"/>
    <cellStyle name="Normal 64 5" xfId="329"/>
    <cellStyle name="Normal 65" xfId="330"/>
    <cellStyle name="Normal 65 2" xfId="331"/>
    <cellStyle name="Normal 65 2 2" xfId="332"/>
    <cellStyle name="Normal 65 3" xfId="333"/>
    <cellStyle name="Normal 65 3 2" xfId="334"/>
    <cellStyle name="Normal 65 4" xfId="335"/>
    <cellStyle name="Normal 65 4 2" xfId="336"/>
    <cellStyle name="Normal 65 5" xfId="337"/>
    <cellStyle name="Normal 7" xfId="338"/>
    <cellStyle name="Normal 7 10" xfId="339"/>
    <cellStyle name="Normal 7 11" xfId="340"/>
    <cellStyle name="Normal 7 12" xfId="341"/>
    <cellStyle name="Normal 7 13" xfId="342"/>
    <cellStyle name="Normal 7 14" xfId="343"/>
    <cellStyle name="Normal 7 2" xfId="344"/>
    <cellStyle name="Normal 7 2 2" xfId="345"/>
    <cellStyle name="Normal 7 2 3" xfId="346"/>
    <cellStyle name="Normal 7 2 4" xfId="347"/>
    <cellStyle name="Normal 7 2 5" xfId="348"/>
    <cellStyle name="Normal 7 2 6" xfId="349"/>
    <cellStyle name="Normal 7 2 7" xfId="350"/>
    <cellStyle name="Normal 7 3" xfId="351"/>
    <cellStyle name="Normal 7 4" xfId="352"/>
    <cellStyle name="Normal 7 5" xfId="353"/>
    <cellStyle name="Normal 7 6" xfId="354"/>
    <cellStyle name="Normal 7 7" xfId="355"/>
    <cellStyle name="Normal 7 8" xfId="356"/>
    <cellStyle name="Normal 7 9" xfId="357"/>
    <cellStyle name="Normal 7_Data" xfId="358"/>
    <cellStyle name="Normal 71" xfId="359"/>
    <cellStyle name="Normal 71 2" xfId="360"/>
    <cellStyle name="Normal 71 2 2" xfId="361"/>
    <cellStyle name="Normal 71 3" xfId="362"/>
    <cellStyle name="Normal 71 3 2" xfId="363"/>
    <cellStyle name="Normal 71 4" xfId="364"/>
    <cellStyle name="Normal 71 4 2" xfId="365"/>
    <cellStyle name="Normal 71 5" xfId="366"/>
    <cellStyle name="Normal 72" xfId="367"/>
    <cellStyle name="Normal 72 2" xfId="368"/>
    <cellStyle name="Normal 72 2 2" xfId="369"/>
    <cellStyle name="Normal 72 3" xfId="370"/>
    <cellStyle name="Normal 72 3 2" xfId="371"/>
    <cellStyle name="Normal 72 4" xfId="372"/>
    <cellStyle name="Normal 72 4 2" xfId="373"/>
    <cellStyle name="Normal 72 5" xfId="374"/>
    <cellStyle name="Normal 73" xfId="375"/>
    <cellStyle name="Normal 74" xfId="376"/>
    <cellStyle name="Normal 76" xfId="377"/>
    <cellStyle name="Normal 77" xfId="378"/>
    <cellStyle name="Normal 79" xfId="379"/>
    <cellStyle name="Normal 8" xfId="380"/>
    <cellStyle name="Normal 8 2" xfId="381"/>
    <cellStyle name="Normal 8 3" xfId="382"/>
    <cellStyle name="Normal 8 4" xfId="383"/>
    <cellStyle name="Normal 8 5" xfId="384"/>
    <cellStyle name="Normal 8 6" xfId="385"/>
    <cellStyle name="Normal 8 7" xfId="386"/>
    <cellStyle name="Normal 8 8" xfId="387"/>
    <cellStyle name="Normal 8_ירידות ערך שנזקפו" xfId="388"/>
    <cellStyle name="Normal 80" xfId="389"/>
    <cellStyle name="Normal 80 2" xfId="390"/>
    <cellStyle name="Normal 80 2 2" xfId="391"/>
    <cellStyle name="Normal 80 3" xfId="392"/>
    <cellStyle name="Normal 80 3 2" xfId="393"/>
    <cellStyle name="Normal 80 4" xfId="394"/>
    <cellStyle name="Normal 80 4 2" xfId="395"/>
    <cellStyle name="Normal 80 5" xfId="396"/>
    <cellStyle name="Normal 81" xfId="397"/>
    <cellStyle name="Normal 81 2" xfId="398"/>
    <cellStyle name="Normal 81 2 2" xfId="399"/>
    <cellStyle name="Normal 81 3" xfId="400"/>
    <cellStyle name="Normal 81 3 2" xfId="401"/>
    <cellStyle name="Normal 81 4" xfId="402"/>
    <cellStyle name="Normal 81 4 2" xfId="403"/>
    <cellStyle name="Normal 81 5" xfId="404"/>
    <cellStyle name="Normal 82" xfId="405"/>
    <cellStyle name="Normal 82 2" xfId="406"/>
    <cellStyle name="Normal 82 2 2" xfId="407"/>
    <cellStyle name="Normal 82 3" xfId="408"/>
    <cellStyle name="Normal 82 3 2" xfId="409"/>
    <cellStyle name="Normal 82 4" xfId="410"/>
    <cellStyle name="Normal 82 4 2" xfId="411"/>
    <cellStyle name="Normal 82 5" xfId="412"/>
    <cellStyle name="Normal 9" xfId="413"/>
    <cellStyle name="Normal 9 2" xfId="414"/>
    <cellStyle name="Normal 9 3" xfId="415"/>
    <cellStyle name="Normal 9 4" xfId="416"/>
    <cellStyle name="Normal 9 5" xfId="417"/>
    <cellStyle name="Normal 9 6" xfId="418"/>
    <cellStyle name="Normal 9 7" xfId="419"/>
    <cellStyle name="Normal 9 8" xfId="420"/>
    <cellStyle name="Normal 9_ירידות ערך שנזקפו" xfId="421"/>
    <cellStyle name="Percent" xfId="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68" t="s">
        <v>1408</v>
      </c>
      <c r="D1" s="8" t="s">
        <v>74</v>
      </c>
    </row>
    <row r="2" spans="1:4">
      <c r="A2" s="121" t="s">
        <v>64</v>
      </c>
      <c r="B2" s="9">
        <v>1</v>
      </c>
      <c r="C2" s="9" t="s">
        <v>65</v>
      </c>
      <c r="D2" s="10" t="s">
        <v>79</v>
      </c>
    </row>
    <row r="3" spans="1:4">
      <c r="A3" s="122"/>
      <c r="B3" s="9">
        <v>2</v>
      </c>
      <c r="C3" s="9" t="s">
        <v>66</v>
      </c>
      <c r="D3" s="10" t="s">
        <v>67</v>
      </c>
    </row>
    <row r="4" spans="1:4">
      <c r="A4" s="122"/>
      <c r="B4" s="9">
        <v>3</v>
      </c>
      <c r="C4" s="9" t="s">
        <v>68</v>
      </c>
      <c r="D4" s="10" t="s">
        <v>69</v>
      </c>
    </row>
    <row r="5" spans="1:4">
      <c r="A5" s="122"/>
      <c r="B5" s="123">
        <v>4</v>
      </c>
      <c r="C5" s="9" t="s">
        <v>70</v>
      </c>
      <c r="D5" s="10" t="s">
        <v>75</v>
      </c>
    </row>
    <row r="6" spans="1:4">
      <c r="A6" s="122"/>
      <c r="B6" s="124"/>
      <c r="C6" s="69"/>
      <c r="D6" s="58" t="s">
        <v>909</v>
      </c>
    </row>
    <row r="7" spans="1:4">
      <c r="A7" s="122"/>
      <c r="B7" s="124"/>
      <c r="C7" s="69"/>
      <c r="D7" s="57" t="s">
        <v>1384</v>
      </c>
    </row>
    <row r="8" spans="1:4">
      <c r="A8" s="122"/>
      <c r="B8" s="124"/>
      <c r="C8" s="69"/>
      <c r="D8" s="59" t="s">
        <v>1385</v>
      </c>
    </row>
    <row r="9" spans="1:4">
      <c r="A9" s="122"/>
      <c r="B9" s="124"/>
      <c r="C9" s="69"/>
      <c r="D9" s="10" t="s">
        <v>76</v>
      </c>
    </row>
    <row r="10" spans="1:4">
      <c r="A10" s="122"/>
      <c r="B10" s="124"/>
      <c r="C10" s="69"/>
      <c r="D10" s="58" t="s">
        <v>77</v>
      </c>
    </row>
    <row r="11" spans="1:4">
      <c r="A11" s="122"/>
      <c r="B11" s="124"/>
      <c r="C11" s="69"/>
      <c r="D11" s="57" t="s">
        <v>78</v>
      </c>
    </row>
    <row r="12" spans="1:4">
      <c r="A12" s="122"/>
      <c r="B12" s="124"/>
      <c r="C12" s="69"/>
      <c r="D12" s="10" t="s">
        <v>71</v>
      </c>
    </row>
    <row r="13" spans="1:4">
      <c r="A13" s="122"/>
      <c r="B13" s="124"/>
      <c r="C13" s="69"/>
      <c r="D13" s="10" t="s">
        <v>1377</v>
      </c>
    </row>
    <row r="14" spans="1:4">
      <c r="A14" s="122"/>
      <c r="B14" s="124"/>
      <c r="C14" s="69"/>
      <c r="D14" s="10" t="s">
        <v>1378</v>
      </c>
    </row>
    <row r="15" spans="1:4">
      <c r="A15" s="125" t="s">
        <v>905</v>
      </c>
      <c r="B15" s="9">
        <v>5</v>
      </c>
      <c r="C15" s="9" t="s">
        <v>72</v>
      </c>
      <c r="D15" s="10" t="s">
        <v>73</v>
      </c>
    </row>
    <row r="16" spans="1:4">
      <c r="A16" s="126"/>
      <c r="B16" s="9">
        <v>6</v>
      </c>
      <c r="C16" s="69"/>
      <c r="D16" s="9" t="s">
        <v>904</v>
      </c>
    </row>
    <row r="17" spans="1:4" ht="28.5">
      <c r="A17" s="127"/>
      <c r="B17" s="9">
        <v>7</v>
      </c>
      <c r="C17" s="69"/>
      <c r="D17" s="60" t="s">
        <v>1403</v>
      </c>
    </row>
    <row r="19" spans="1:4" ht="16.899999999999999" customHeight="1">
      <c r="A19" s="12" t="s">
        <v>885</v>
      </c>
      <c r="B19" s="30">
        <v>2024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9898</v>
      </c>
      <c r="C21" s="27"/>
    </row>
    <row r="22" spans="1:4" ht="15">
      <c r="A22" s="13" t="s">
        <v>886</v>
      </c>
      <c r="B22" s="30" t="s">
        <v>1407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 חסכון לילד - חוסכים המעדיפים סיכון מוגבר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512237744_g9898_Yield424.xlsx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2"/>
      <c r="B1" s="4" t="s">
        <v>0</v>
      </c>
    </row>
    <row r="2" spans="1:31" ht="18.75">
      <c r="A2" s="112"/>
      <c r="B2" s="6" t="s">
        <v>821</v>
      </c>
      <c r="C2" s="25">
        <f>הנחיות!B21</f>
        <v>9898</v>
      </c>
      <c r="D2" s="128"/>
      <c r="E2" s="128"/>
    </row>
    <row r="3" spans="1:31" ht="18.75">
      <c r="A3" s="112"/>
      <c r="B3" s="7" t="s">
        <v>28</v>
      </c>
      <c r="C3" s="24" t="str">
        <f ca="1">הנחיות!B23</f>
        <v>מגדל  חסכון לילד - חוסכים המעדיפים סיכון מוגבר</v>
      </c>
      <c r="D3" s="24"/>
    </row>
    <row r="4" spans="1:31" ht="18.75">
      <c r="A4" s="11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2"/>
      <c r="B5" s="7" t="s">
        <v>29</v>
      </c>
      <c r="C5" s="25">
        <f>הנחיות!B19</f>
        <v>2024</v>
      </c>
      <c r="D5" s="7" t="s">
        <v>903</v>
      </c>
      <c r="E5" s="25" t="str">
        <f>הנחיות!B22</f>
        <v>31.12.24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5">
        <f>W5+1</f>
        <v>1</v>
      </c>
      <c r="Z5" s="5"/>
    </row>
    <row r="6" spans="1:31" s="20" customFormat="1" ht="47.45" customHeight="1">
      <c r="A6" s="114"/>
      <c r="B6" s="106" t="s">
        <v>26</v>
      </c>
      <c r="C6" s="107" t="s">
        <v>30</v>
      </c>
      <c r="D6" s="108" t="s">
        <v>31</v>
      </c>
      <c r="E6" s="109" t="s">
        <v>32</v>
      </c>
      <c r="F6" s="110" t="s">
        <v>33</v>
      </c>
      <c r="G6" s="107" t="s">
        <v>34</v>
      </c>
      <c r="H6" s="108" t="s">
        <v>35</v>
      </c>
      <c r="I6" s="109" t="s">
        <v>36</v>
      </c>
      <c r="J6" s="110" t="s">
        <v>37</v>
      </c>
      <c r="K6" s="107" t="s">
        <v>38</v>
      </c>
      <c r="L6" s="108" t="s">
        <v>39</v>
      </c>
      <c r="M6" s="109" t="s">
        <v>40</v>
      </c>
      <c r="N6" s="110" t="s">
        <v>41</v>
      </c>
      <c r="O6" s="107" t="s">
        <v>42</v>
      </c>
      <c r="P6" s="108" t="s">
        <v>43</v>
      </c>
      <c r="Q6" s="109" t="s">
        <v>44</v>
      </c>
      <c r="R6" s="110" t="s">
        <v>45</v>
      </c>
      <c r="S6" s="107" t="s">
        <v>46</v>
      </c>
      <c r="T6" s="108" t="s">
        <v>47</v>
      </c>
      <c r="U6" s="109" t="s">
        <v>48</v>
      </c>
      <c r="V6" s="110" t="s">
        <v>49</v>
      </c>
      <c r="W6" s="107" t="s">
        <v>50</v>
      </c>
      <c r="X6" s="108" t="s">
        <v>51</v>
      </c>
      <c r="Y6" s="109" t="s">
        <v>52</v>
      </c>
      <c r="Z6" s="111" t="s">
        <v>53</v>
      </c>
      <c r="AE6" s="21"/>
    </row>
    <row r="7" spans="1:31">
      <c r="A7" s="112"/>
      <c r="B7" s="76" t="s">
        <v>1</v>
      </c>
      <c r="C7" s="77">
        <v>5.9521789842413868E-4</v>
      </c>
      <c r="D7" s="78">
        <v>0.25104815147845855</v>
      </c>
      <c r="E7" s="79">
        <v>-3.8228724959644554E-4</v>
      </c>
      <c r="F7" s="80">
        <v>0.25485574692286006</v>
      </c>
      <c r="G7" s="77">
        <v>4.1763166662905776E-3</v>
      </c>
      <c r="H7" s="78">
        <v>0.25889402568108544</v>
      </c>
      <c r="I7" s="79">
        <v>2.1363474456894951E-3</v>
      </c>
      <c r="J7" s="80">
        <v>0.25380289974405695</v>
      </c>
      <c r="K7" s="77">
        <v>-8.8407245996257092E-5</v>
      </c>
      <c r="L7" s="78">
        <v>0.24555997104328425</v>
      </c>
      <c r="M7" s="79">
        <v>2.6434252395980094E-3</v>
      </c>
      <c r="N7" s="80">
        <v>0.25554964878605174</v>
      </c>
      <c r="O7" s="77">
        <v>1.2810800125262988E-3</v>
      </c>
      <c r="P7" s="78">
        <v>0.25426982127536374</v>
      </c>
      <c r="Q7" s="79">
        <v>-2.6446859545522301E-3</v>
      </c>
      <c r="R7" s="80">
        <v>0.25418244065232692</v>
      </c>
      <c r="S7" s="77">
        <v>3.1452943955708936E-3</v>
      </c>
      <c r="T7" s="78">
        <v>0.25741697374452854</v>
      </c>
      <c r="U7" s="79">
        <v>8.2255929461605448E-4</v>
      </c>
      <c r="V7" s="80">
        <v>0.25480815117843847</v>
      </c>
      <c r="W7" s="77">
        <v>-1.4398328522575777E-3</v>
      </c>
      <c r="X7" s="78">
        <v>0.25161680577813128</v>
      </c>
      <c r="Y7" s="79">
        <v>1.4708169178489251E-3</v>
      </c>
      <c r="Z7" s="81">
        <v>0.25094396712175077</v>
      </c>
      <c r="AE7" s="3"/>
    </row>
    <row r="8" spans="1:31" ht="30">
      <c r="A8" s="112"/>
      <c r="B8" s="82" t="s">
        <v>908</v>
      </c>
      <c r="C8" s="77">
        <v>2.1205752112324696E-4</v>
      </c>
      <c r="D8" s="78">
        <v>5.0206306886402124E-2</v>
      </c>
      <c r="E8" s="79">
        <v>2.2104302421559996E-4</v>
      </c>
      <c r="F8" s="80">
        <v>4.9233388705184671E-2</v>
      </c>
      <c r="G8" s="77">
        <v>1.3070098582390019E-4</v>
      </c>
      <c r="H8" s="78">
        <v>4.9730772254641772E-2</v>
      </c>
      <c r="I8" s="79">
        <v>2.483923666003099E-4</v>
      </c>
      <c r="J8" s="80">
        <v>7.8900609439032057E-2</v>
      </c>
      <c r="K8" s="77">
        <v>3.5369287748175551E-4</v>
      </c>
      <c r="L8" s="78">
        <v>8.9221294696514089E-2</v>
      </c>
      <c r="M8" s="79">
        <v>3.0685236159341714E-4</v>
      </c>
      <c r="N8" s="80">
        <v>8.9423530024105954E-2</v>
      </c>
      <c r="O8" s="77">
        <v>3.4202162772432008E-4</v>
      </c>
      <c r="P8" s="78">
        <v>8.9416636091274426E-2</v>
      </c>
      <c r="Q8" s="79">
        <v>3.0309018278296861E-4</v>
      </c>
      <c r="R8" s="80">
        <v>8.8827138600330216E-2</v>
      </c>
      <c r="S8" s="77">
        <v>1.9743871080917723E-4</v>
      </c>
      <c r="T8" s="78">
        <v>8.9731107661768381E-2</v>
      </c>
      <c r="U8" s="79">
        <v>3.242491018289451E-4</v>
      </c>
      <c r="V8" s="80">
        <v>8.9412350320991568E-2</v>
      </c>
      <c r="W8" s="77">
        <v>4.2013398260759045E-4</v>
      </c>
      <c r="X8" s="78">
        <v>8.9555206168087112E-2</v>
      </c>
      <c r="Y8" s="79">
        <v>4.028022963331046E-4</v>
      </c>
      <c r="Z8" s="81">
        <v>8.9596252860686329E-2</v>
      </c>
      <c r="AE8" s="3"/>
    </row>
    <row r="9" spans="1:31">
      <c r="A9" s="112"/>
      <c r="B9" s="83" t="s">
        <v>2</v>
      </c>
      <c r="C9" s="77">
        <v>0</v>
      </c>
      <c r="D9" s="78">
        <v>0</v>
      </c>
      <c r="E9" s="79">
        <v>0</v>
      </c>
      <c r="F9" s="80">
        <v>0</v>
      </c>
      <c r="G9" s="77">
        <v>0</v>
      </c>
      <c r="H9" s="78">
        <v>0</v>
      </c>
      <c r="I9" s="79">
        <v>0</v>
      </c>
      <c r="J9" s="80">
        <v>0</v>
      </c>
      <c r="K9" s="77">
        <v>0</v>
      </c>
      <c r="L9" s="78">
        <v>0</v>
      </c>
      <c r="M9" s="79">
        <v>0</v>
      </c>
      <c r="N9" s="80">
        <v>0</v>
      </c>
      <c r="O9" s="77">
        <v>0</v>
      </c>
      <c r="P9" s="78">
        <v>0</v>
      </c>
      <c r="Q9" s="79">
        <v>0</v>
      </c>
      <c r="R9" s="80">
        <v>0</v>
      </c>
      <c r="S9" s="77">
        <v>0</v>
      </c>
      <c r="T9" s="78">
        <v>0</v>
      </c>
      <c r="U9" s="79">
        <v>0</v>
      </c>
      <c r="V9" s="80">
        <v>0</v>
      </c>
      <c r="W9" s="77">
        <v>0</v>
      </c>
      <c r="X9" s="78">
        <v>0</v>
      </c>
      <c r="Y9" s="79">
        <v>0</v>
      </c>
      <c r="Z9" s="81">
        <v>0</v>
      </c>
      <c r="AE9" s="3"/>
    </row>
    <row r="10" spans="1:31">
      <c r="A10" s="112"/>
      <c r="B10" s="83" t="s">
        <v>3</v>
      </c>
      <c r="C10" s="77">
        <v>2.9296222359209842E-8</v>
      </c>
      <c r="D10" s="78">
        <v>3.5626929451154162E-6</v>
      </c>
      <c r="E10" s="79">
        <v>-2.5637322183810964E-8</v>
      </c>
      <c r="F10" s="80">
        <v>3.4125674629339153E-6</v>
      </c>
      <c r="G10" s="77">
        <v>-8.9539356183974376E-11</v>
      </c>
      <c r="H10" s="78">
        <v>3.2450224819744051E-6</v>
      </c>
      <c r="I10" s="79">
        <v>7.4032143516014708E-8</v>
      </c>
      <c r="J10" s="80">
        <v>3.3778096126807941E-6</v>
      </c>
      <c r="K10" s="77">
        <v>2.0503859899178808E-8</v>
      </c>
      <c r="L10" s="78">
        <v>3.2762559003388212E-6</v>
      </c>
      <c r="M10" s="79">
        <v>-1.0446127936299562E-7</v>
      </c>
      <c r="N10" s="80">
        <v>3.1504877714549989E-6</v>
      </c>
      <c r="O10" s="77">
        <v>2.3990662652894065E-7</v>
      </c>
      <c r="P10" s="78">
        <v>2.9806884866460537E-6</v>
      </c>
      <c r="Q10" s="79">
        <v>1.5344640002465333E-8</v>
      </c>
      <c r="R10" s="80">
        <v>2.9802863730383864E-6</v>
      </c>
      <c r="S10" s="77">
        <v>-3.0064184127161803E-8</v>
      </c>
      <c r="T10" s="78">
        <v>2.8861420180727757E-6</v>
      </c>
      <c r="U10" s="79">
        <v>1.899364110373583E-8</v>
      </c>
      <c r="V10" s="80">
        <v>2.8366342536108346E-6</v>
      </c>
      <c r="W10" s="77">
        <v>1.7606412819852962E-8</v>
      </c>
      <c r="X10" s="78">
        <v>2.7439462506206464E-6</v>
      </c>
      <c r="Y10" s="79">
        <v>-3.7191647758101194E-8</v>
      </c>
      <c r="Z10" s="81">
        <v>2.5691103016339052E-6</v>
      </c>
      <c r="AE10" s="3"/>
    </row>
    <row r="11" spans="1:31">
      <c r="A11" s="112"/>
      <c r="B11" s="83" t="s">
        <v>4</v>
      </c>
      <c r="C11" s="77">
        <v>0</v>
      </c>
      <c r="D11" s="78">
        <v>0</v>
      </c>
      <c r="E11" s="79">
        <v>0</v>
      </c>
      <c r="F11" s="80">
        <v>0</v>
      </c>
      <c r="G11" s="77">
        <v>0</v>
      </c>
      <c r="H11" s="78">
        <v>0</v>
      </c>
      <c r="I11" s="79">
        <v>0</v>
      </c>
      <c r="J11" s="80">
        <v>0</v>
      </c>
      <c r="K11" s="77">
        <v>0</v>
      </c>
      <c r="L11" s="78">
        <v>0</v>
      </c>
      <c r="M11" s="79">
        <v>-4.7318421459713452E-6</v>
      </c>
      <c r="N11" s="80">
        <v>1.7374233410904192E-4</v>
      </c>
      <c r="O11" s="77">
        <v>2.6033760132531534E-5</v>
      </c>
      <c r="P11" s="78">
        <v>2.840774999068616E-4</v>
      </c>
      <c r="Q11" s="79">
        <v>-1.9154690496390944E-5</v>
      </c>
      <c r="R11" s="80">
        <v>3.7981644508544869E-4</v>
      </c>
      <c r="S11" s="77">
        <v>-3.1418318526452687E-5</v>
      </c>
      <c r="T11" s="78">
        <v>3.4756238059595378E-4</v>
      </c>
      <c r="U11" s="79">
        <v>-3.4126773805552171E-5</v>
      </c>
      <c r="V11" s="80">
        <v>3.2183453811298734E-4</v>
      </c>
      <c r="W11" s="77">
        <v>-3.7342973273230871E-5</v>
      </c>
      <c r="X11" s="78">
        <v>2.5063729883034936E-4</v>
      </c>
      <c r="Y11" s="79">
        <v>-5.166627860229704E-6</v>
      </c>
      <c r="Z11" s="81">
        <v>2.4296129074999852E-4</v>
      </c>
      <c r="AE11" s="3"/>
    </row>
    <row r="12" spans="1:31">
      <c r="A12" s="112"/>
      <c r="B12" s="83" t="s">
        <v>5</v>
      </c>
      <c r="C12" s="77">
        <v>-2.7195070423383717E-9</v>
      </c>
      <c r="D12" s="78">
        <v>2.996045038248703E-5</v>
      </c>
      <c r="E12" s="79">
        <v>2.1548378193425815E-7</v>
      </c>
      <c r="F12" s="80">
        <v>3.2031441957236018E-5</v>
      </c>
      <c r="G12" s="77">
        <v>6.7139716641094474E-7</v>
      </c>
      <c r="H12" s="78">
        <v>1.1074616541662568E-4</v>
      </c>
      <c r="I12" s="79">
        <v>-3.7443348174588379E-7</v>
      </c>
      <c r="J12" s="80">
        <v>1.4140164211080928E-4</v>
      </c>
      <c r="K12" s="77">
        <v>3.2543326549575262E-7</v>
      </c>
      <c r="L12" s="78">
        <v>1.3987840049645503E-4</v>
      </c>
      <c r="M12" s="79">
        <v>-4.2529961321484271E-7</v>
      </c>
      <c r="N12" s="80">
        <v>1.3431570237727074E-4</v>
      </c>
      <c r="O12" s="77">
        <v>1.2446438575421092E-6</v>
      </c>
      <c r="P12" s="78">
        <v>1.3050707101545369E-4</v>
      </c>
      <c r="Q12" s="79">
        <v>1.9878664466594051E-6</v>
      </c>
      <c r="R12" s="80">
        <v>1.3135550637322687E-4</v>
      </c>
      <c r="S12" s="77">
        <v>-2.073148792428474E-7</v>
      </c>
      <c r="T12" s="78">
        <v>1.258993211343719E-4</v>
      </c>
      <c r="U12" s="79">
        <v>1.0907807665070495E-6</v>
      </c>
      <c r="V12" s="80">
        <v>1.2328502624738409E-4</v>
      </c>
      <c r="W12" s="77">
        <v>1.2362505926912482E-6</v>
      </c>
      <c r="X12" s="78">
        <v>1.1925948279458395E-4</v>
      </c>
      <c r="Y12" s="79">
        <v>8.7007777209694471E-7</v>
      </c>
      <c r="Z12" s="81">
        <v>1.1782612774255503E-4</v>
      </c>
      <c r="AE12" s="3"/>
    </row>
    <row r="13" spans="1:31">
      <c r="A13" s="112"/>
      <c r="B13" s="83" t="s">
        <v>6</v>
      </c>
      <c r="C13" s="77">
        <v>-2.3799875261002602E-3</v>
      </c>
      <c r="D13" s="78">
        <v>0.35300913573762471</v>
      </c>
      <c r="E13" s="79">
        <v>1.9728327832281189E-2</v>
      </c>
      <c r="F13" s="80">
        <v>0.35938658495215769</v>
      </c>
      <c r="G13" s="77">
        <v>1.2893362397247284E-2</v>
      </c>
      <c r="H13" s="78">
        <v>0.3717303492792946</v>
      </c>
      <c r="I13" s="79">
        <v>-1.1873186056186355E-2</v>
      </c>
      <c r="J13" s="80">
        <v>0.35611603862548236</v>
      </c>
      <c r="K13" s="77">
        <v>5.5197785973903971E-3</v>
      </c>
      <c r="L13" s="78">
        <v>0.34923702909890736</v>
      </c>
      <c r="M13" s="79">
        <v>-3.2642256153821068E-3</v>
      </c>
      <c r="N13" s="80">
        <v>0.33390241570494594</v>
      </c>
      <c r="O13" s="77">
        <v>7.2035681688240689E-3</v>
      </c>
      <c r="P13" s="78">
        <v>0.32917241276382181</v>
      </c>
      <c r="Q13" s="79">
        <v>1.1091055966977226E-2</v>
      </c>
      <c r="R13" s="80">
        <v>0.33444996222158435</v>
      </c>
      <c r="S13" s="77">
        <v>6.7174770963242978E-3</v>
      </c>
      <c r="T13" s="78">
        <v>0.32964551870379316</v>
      </c>
      <c r="U13" s="79">
        <v>1.2604897712336381E-2</v>
      </c>
      <c r="V13" s="80">
        <v>0.32853276818013616</v>
      </c>
      <c r="W13" s="77">
        <v>1.622735374828399E-2</v>
      </c>
      <c r="X13" s="78">
        <v>0.33924640197208861</v>
      </c>
      <c r="Y13" s="79">
        <v>1.8820721890777933E-2</v>
      </c>
      <c r="Z13" s="81">
        <v>0.34925880786248847</v>
      </c>
      <c r="AE13" s="3"/>
    </row>
    <row r="14" spans="1:31">
      <c r="A14" s="112"/>
      <c r="B14" s="83" t="s">
        <v>62</v>
      </c>
      <c r="C14" s="77">
        <v>-1.319261692173048E-3</v>
      </c>
      <c r="D14" s="78">
        <v>0.28349971858656364</v>
      </c>
      <c r="E14" s="79">
        <v>6.4633649583367659E-3</v>
      </c>
      <c r="F14" s="80">
        <v>0.26527740258181243</v>
      </c>
      <c r="G14" s="77">
        <v>1.3203282318700799E-2</v>
      </c>
      <c r="H14" s="78">
        <v>0.26030555348413742</v>
      </c>
      <c r="I14" s="79">
        <v>-4.4475851076633708E-3</v>
      </c>
      <c r="J14" s="80">
        <v>0.26815291586518375</v>
      </c>
      <c r="K14" s="77">
        <v>4.4830499461394569E-3</v>
      </c>
      <c r="L14" s="78">
        <v>0.26762482950946287</v>
      </c>
      <c r="M14" s="79">
        <v>2.9314365216432602E-3</v>
      </c>
      <c r="N14" s="80">
        <v>0.27258179661810672</v>
      </c>
      <c r="O14" s="77">
        <v>7.4889154817126278E-3</v>
      </c>
      <c r="P14" s="78">
        <v>0.27711153529484334</v>
      </c>
      <c r="Q14" s="79">
        <v>9.7805501053388781E-4</v>
      </c>
      <c r="R14" s="80">
        <v>0.28528713651832588</v>
      </c>
      <c r="S14" s="77">
        <v>1.0084376732693313E-2</v>
      </c>
      <c r="T14" s="78">
        <v>0.28222520858306888</v>
      </c>
      <c r="U14" s="79">
        <v>-5.0407246905546602E-3</v>
      </c>
      <c r="V14" s="80">
        <v>0.27920438281566878</v>
      </c>
      <c r="W14" s="77">
        <v>1.9305357178420455E-3</v>
      </c>
      <c r="X14" s="78">
        <v>0.26619130463475793</v>
      </c>
      <c r="Y14" s="79">
        <v>-2.9574992895855623E-3</v>
      </c>
      <c r="Z14" s="81">
        <v>0.25781532808095409</v>
      </c>
      <c r="AE14" s="3"/>
    </row>
    <row r="15" spans="1:31">
      <c r="A15" s="112"/>
      <c r="B15" s="83" t="s">
        <v>7</v>
      </c>
      <c r="C15" s="77">
        <v>-1.4397176435196812E-4</v>
      </c>
      <c r="D15" s="78">
        <v>1.1364677554884526E-2</v>
      </c>
      <c r="E15" s="79">
        <v>5.3451274806332638E-5</v>
      </c>
      <c r="F15" s="80">
        <v>5.6115747559362713E-3</v>
      </c>
      <c r="G15" s="77">
        <v>1.4271455875902589E-4</v>
      </c>
      <c r="H15" s="78">
        <v>5.3286501881637293E-3</v>
      </c>
      <c r="I15" s="79">
        <v>2.3937715916422071E-4</v>
      </c>
      <c r="J15" s="80">
        <v>6.2227851755686115E-3</v>
      </c>
      <c r="K15" s="77">
        <v>9.4779523281786549E-5</v>
      </c>
      <c r="L15" s="78">
        <v>6.7111246411879714E-3</v>
      </c>
      <c r="M15" s="79">
        <v>5.095232651275691E-4</v>
      </c>
      <c r="N15" s="80">
        <v>6.9121484123454762E-3</v>
      </c>
      <c r="O15" s="77">
        <v>1.8218675384357324E-4</v>
      </c>
      <c r="P15" s="78">
        <v>6.976635495264694E-3</v>
      </c>
      <c r="Q15" s="79">
        <v>-1.0014272720633076E-4</v>
      </c>
      <c r="R15" s="80">
        <v>6.8233257758635165E-3</v>
      </c>
      <c r="S15" s="77">
        <v>3.1784883179559082E-4</v>
      </c>
      <c r="T15" s="78">
        <v>7.2485193102189323E-3</v>
      </c>
      <c r="U15" s="79">
        <v>-3.7799899292237691E-4</v>
      </c>
      <c r="V15" s="80">
        <v>8.1181224113521262E-3</v>
      </c>
      <c r="W15" s="77">
        <v>-6.5392501666518195E-5</v>
      </c>
      <c r="X15" s="78">
        <v>7.834339328975903E-3</v>
      </c>
      <c r="Y15" s="79">
        <v>-8.7571273128236603E-6</v>
      </c>
      <c r="Z15" s="81">
        <v>7.5521918908596003E-3</v>
      </c>
      <c r="AE15" s="3"/>
    </row>
    <row r="16" spans="1:31">
      <c r="A16" s="112"/>
      <c r="B16" s="83" t="s">
        <v>8</v>
      </c>
      <c r="C16" s="77">
        <v>8.9579003156674131E-5</v>
      </c>
      <c r="D16" s="78">
        <v>2.4862314661098756E-2</v>
      </c>
      <c r="E16" s="79">
        <v>1.5633322996560996E-4</v>
      </c>
      <c r="F16" s="80">
        <v>3.105069191337954E-2</v>
      </c>
      <c r="G16" s="77">
        <v>1.0164164693188186E-3</v>
      </c>
      <c r="H16" s="78">
        <v>2.9548731176612188E-2</v>
      </c>
      <c r="I16" s="79">
        <v>4.1148922854099718E-4</v>
      </c>
      <c r="J16" s="80">
        <v>3.0300602082991231E-2</v>
      </c>
      <c r="K16" s="77">
        <v>3.5582154896695434E-4</v>
      </c>
      <c r="L16" s="78">
        <v>2.9025020740949488E-2</v>
      </c>
      <c r="M16" s="79">
        <v>3.2129840176867478E-4</v>
      </c>
      <c r="N16" s="80">
        <v>2.9176221029049942E-2</v>
      </c>
      <c r="O16" s="77">
        <v>2.4974581461785478E-4</v>
      </c>
      <c r="P16" s="78">
        <v>2.8174197199515427E-2</v>
      </c>
      <c r="Q16" s="79">
        <v>-3.446402117343499E-4</v>
      </c>
      <c r="R16" s="80">
        <v>2.8562321592345147E-2</v>
      </c>
      <c r="S16" s="77">
        <v>4.6502079787676944E-4</v>
      </c>
      <c r="T16" s="78">
        <v>2.7888602069184466E-2</v>
      </c>
      <c r="U16" s="79">
        <v>-3.7298792629624392E-5</v>
      </c>
      <c r="V16" s="80">
        <v>2.7044828473868743E-2</v>
      </c>
      <c r="W16" s="77">
        <v>-3.8142512949482482E-4</v>
      </c>
      <c r="X16" s="78">
        <v>2.5938989286894643E-2</v>
      </c>
      <c r="Y16" s="79">
        <v>1.200918938788783E-4</v>
      </c>
      <c r="Z16" s="81">
        <v>2.5056588530044464E-2</v>
      </c>
      <c r="AE16" s="3"/>
    </row>
    <row r="17" spans="1:31">
      <c r="A17" s="112"/>
      <c r="B17" s="83" t="s">
        <v>9</v>
      </c>
      <c r="C17" s="77">
        <v>1.8641074612096501E-6</v>
      </c>
      <c r="D17" s="78">
        <v>4.0807317656252042E-5</v>
      </c>
      <c r="E17" s="79">
        <v>2.952159160377544E-7</v>
      </c>
      <c r="F17" s="80">
        <v>4.1933012387581751E-5</v>
      </c>
      <c r="G17" s="77">
        <v>1.0422996076951636E-5</v>
      </c>
      <c r="H17" s="78">
        <v>6.6781105993911791E-5</v>
      </c>
      <c r="I17" s="79">
        <v>-4.7449416027737587E-6</v>
      </c>
      <c r="J17" s="80">
        <v>6.9815671602118897E-5</v>
      </c>
      <c r="K17" s="77">
        <v>-3.1088232238836884E-7</v>
      </c>
      <c r="L17" s="78">
        <v>6.4473886849012349E-5</v>
      </c>
      <c r="M17" s="79">
        <v>5.5748060977958094E-6</v>
      </c>
      <c r="N17" s="80">
        <v>6.7194600681527258E-5</v>
      </c>
      <c r="O17" s="77">
        <v>1.2384542828006115E-5</v>
      </c>
      <c r="P17" s="78">
        <v>8.5708801365839586E-5</v>
      </c>
      <c r="Q17" s="79">
        <v>1.1098849722152178E-5</v>
      </c>
      <c r="R17" s="80">
        <v>1.0315647762662758E-4</v>
      </c>
      <c r="S17" s="77">
        <v>-3.4552234755851508E-6</v>
      </c>
      <c r="T17" s="78">
        <v>1.0840190593981235E-4</v>
      </c>
      <c r="U17" s="79">
        <v>1.3357376952566571E-5</v>
      </c>
      <c r="V17" s="80">
        <v>1.2536767164914129E-4</v>
      </c>
      <c r="W17" s="77">
        <v>3.6150001375577919E-5</v>
      </c>
      <c r="X17" s="78">
        <v>1.8239113800608855E-4</v>
      </c>
      <c r="Y17" s="79">
        <v>9.8478596910020098E-5</v>
      </c>
      <c r="Z17" s="81">
        <v>2.9251317324155863E-4</v>
      </c>
      <c r="AE17" s="3"/>
    </row>
    <row r="18" spans="1:31">
      <c r="A18" s="112"/>
      <c r="B18" s="83" t="s">
        <v>10</v>
      </c>
      <c r="C18" s="77">
        <v>3.7651668804724193E-3</v>
      </c>
      <c r="D18" s="78">
        <v>1.9384212571973522E-2</v>
      </c>
      <c r="E18" s="79">
        <v>1.6450120286208403E-2</v>
      </c>
      <c r="F18" s="80">
        <v>2.8180351462769478E-2</v>
      </c>
      <c r="G18" s="77">
        <v>4.9500958356640231E-3</v>
      </c>
      <c r="H18" s="78">
        <v>1.7176576123714836E-2</v>
      </c>
      <c r="I18" s="79">
        <v>-1.6264017161459959E-2</v>
      </c>
      <c r="J18" s="80">
        <v>-9.8297328687666267E-4</v>
      </c>
      <c r="K18" s="77">
        <v>1.0467115255618838E-2</v>
      </c>
      <c r="L18" s="78">
        <v>5.9157660378633325E-3</v>
      </c>
      <c r="M18" s="79">
        <v>1.099866097750953E-2</v>
      </c>
      <c r="N18" s="80">
        <v>5.6320511321344986E-3</v>
      </c>
      <c r="O18" s="77">
        <v>2.1856029693449457E-4</v>
      </c>
      <c r="P18" s="78">
        <v>8.0181562450606005E-3</v>
      </c>
      <c r="Q18" s="79">
        <v>4.4162554285006456E-3</v>
      </c>
      <c r="R18" s="80">
        <v>-4.7467102041609316E-3</v>
      </c>
      <c r="S18" s="77">
        <v>5.9253163197552543E-3</v>
      </c>
      <c r="T18" s="78">
        <v>-7.8500857864877919E-4</v>
      </c>
      <c r="U18" s="79">
        <v>-3.2278960001434491E-3</v>
      </c>
      <c r="V18" s="80">
        <v>6.0777493891352704E-3</v>
      </c>
      <c r="W18" s="77">
        <v>1.5601500793093427E-2</v>
      </c>
      <c r="X18" s="78">
        <v>1.3099568486034578E-2</v>
      </c>
      <c r="Y18" s="79">
        <v>-5.1303192481830552E-3</v>
      </c>
      <c r="Z18" s="81">
        <v>1.3750907928398785E-2</v>
      </c>
      <c r="AE18" s="3"/>
    </row>
    <row r="19" spans="1:31">
      <c r="A19" s="112"/>
      <c r="B19" s="83" t="s">
        <v>11</v>
      </c>
      <c r="C19" s="77">
        <v>-5.8784312130493095E-4</v>
      </c>
      <c r="D19" s="78">
        <v>4.2209789135129851E-4</v>
      </c>
      <c r="E19" s="79">
        <v>3.006090338262084E-4</v>
      </c>
      <c r="F19" s="80">
        <v>4.6434544058029595E-4</v>
      </c>
      <c r="G19" s="77">
        <v>7.9279607202284744E-6</v>
      </c>
      <c r="H19" s="78">
        <v>7.3816672808370309E-4</v>
      </c>
      <c r="I19" s="79">
        <v>1.2359965654144746E-4</v>
      </c>
      <c r="J19" s="80">
        <v>8.1153201340165881E-4</v>
      </c>
      <c r="K19" s="77">
        <v>1.5843760998370541E-5</v>
      </c>
      <c r="L19" s="78">
        <v>3.0759949714292148E-4</v>
      </c>
      <c r="M19" s="79">
        <v>-2.2067512075370061E-4</v>
      </c>
      <c r="N19" s="80">
        <v>4.9212398998965353E-4</v>
      </c>
      <c r="O19" s="77">
        <v>5.967341910433848E-4</v>
      </c>
      <c r="P19" s="78">
        <v>6.6323868886599248E-4</v>
      </c>
      <c r="Q19" s="79">
        <v>4.0181195741621442E-4</v>
      </c>
      <c r="R19" s="80">
        <v>3.0807928677254115E-4</v>
      </c>
      <c r="S19" s="77">
        <v>2.3604568197869186E-4</v>
      </c>
      <c r="T19" s="78">
        <v>5.3182084482425072E-4</v>
      </c>
      <c r="U19" s="79">
        <v>1.3916083662377993E-4</v>
      </c>
      <c r="V19" s="80">
        <v>1.0011493020700294E-3</v>
      </c>
      <c r="W19" s="77">
        <v>3.1429380644412003E-4</v>
      </c>
      <c r="X19" s="78">
        <v>9.3044240635528673E-4</v>
      </c>
      <c r="Y19" s="79">
        <v>3.1232670192422407E-4</v>
      </c>
      <c r="Z19" s="81">
        <v>5.6845721116110929E-4</v>
      </c>
    </row>
    <row r="20" spans="1:31">
      <c r="A20" s="112"/>
      <c r="B20" s="83" t="s">
        <v>12</v>
      </c>
      <c r="C20" s="77">
        <v>0</v>
      </c>
      <c r="D20" s="78">
        <v>0</v>
      </c>
      <c r="E20" s="79">
        <v>0</v>
      </c>
      <c r="F20" s="80">
        <v>0</v>
      </c>
      <c r="G20" s="77">
        <v>0</v>
      </c>
      <c r="H20" s="78">
        <v>0</v>
      </c>
      <c r="I20" s="79">
        <v>0</v>
      </c>
      <c r="J20" s="80">
        <v>0</v>
      </c>
      <c r="K20" s="77">
        <v>0</v>
      </c>
      <c r="L20" s="78">
        <v>0</v>
      </c>
      <c r="M20" s="79">
        <v>0</v>
      </c>
      <c r="N20" s="80">
        <v>0</v>
      </c>
      <c r="O20" s="77">
        <v>6.0932216670437563E-7</v>
      </c>
      <c r="P20" s="78">
        <v>2.6663700368357888E-5</v>
      </c>
      <c r="Q20" s="79">
        <v>-1.4130670529556341E-8</v>
      </c>
      <c r="R20" s="80">
        <v>2.6718257441957584E-5</v>
      </c>
      <c r="S20" s="77">
        <v>7.3360672179420454E-7</v>
      </c>
      <c r="T20" s="78">
        <v>2.6155571289666618E-5</v>
      </c>
      <c r="U20" s="79">
        <v>-7.7597248130203202E-7</v>
      </c>
      <c r="V20" s="80">
        <v>2.471849633424717E-5</v>
      </c>
      <c r="W20" s="77">
        <v>-1.4040932193220602E-6</v>
      </c>
      <c r="X20" s="78">
        <v>3.0370073084116716E-5</v>
      </c>
      <c r="Y20" s="79">
        <v>8.1873611619028079E-7</v>
      </c>
      <c r="Z20" s="81">
        <v>3.1363674143569254E-5</v>
      </c>
    </row>
    <row r="21" spans="1:31">
      <c r="A21" s="112"/>
      <c r="B21" s="83" t="s">
        <v>13</v>
      </c>
      <c r="C21" s="77">
        <v>2.7857759276770759E-6</v>
      </c>
      <c r="D21" s="78">
        <v>2.5913040416611689E-3</v>
      </c>
      <c r="E21" s="79">
        <v>-1.3759408936121949E-5</v>
      </c>
      <c r="F21" s="80">
        <v>2.4649229019024234E-3</v>
      </c>
      <c r="G21" s="77">
        <v>7.9778745085312967E-5</v>
      </c>
      <c r="H21" s="78">
        <v>2.8938502115207453E-3</v>
      </c>
      <c r="I21" s="79">
        <v>4.1981443227522559E-5</v>
      </c>
      <c r="J21" s="80">
        <v>3.091150732626325E-3</v>
      </c>
      <c r="K21" s="77">
        <v>1.5115249007856439E-5</v>
      </c>
      <c r="L21" s="78">
        <v>2.9829882994622742E-3</v>
      </c>
      <c r="M21" s="79">
        <v>2.2198904554104539E-5</v>
      </c>
      <c r="N21" s="80">
        <v>2.918863947484477E-3</v>
      </c>
      <c r="O21" s="77">
        <v>2.0877537783298071E-5</v>
      </c>
      <c r="P21" s="78">
        <v>2.7483743152264006E-3</v>
      </c>
      <c r="Q21" s="79">
        <v>-4.3013227494747993E-6</v>
      </c>
      <c r="R21" s="80">
        <v>2.7684897081812396E-3</v>
      </c>
      <c r="S21" s="77">
        <v>4.7714210938750724E-5</v>
      </c>
      <c r="T21" s="78">
        <v>2.6935235200338668E-3</v>
      </c>
      <c r="U21" s="79">
        <v>-6.4938509400296022E-6</v>
      </c>
      <c r="V21" s="80">
        <v>2.5407676682332051E-3</v>
      </c>
      <c r="W21" s="77">
        <v>-2.8931423748213193E-5</v>
      </c>
      <c r="X21" s="78">
        <v>2.4357258123350357E-3</v>
      </c>
      <c r="Y21" s="79">
        <v>6.5761328710343819E-6</v>
      </c>
      <c r="Z21" s="81">
        <v>2.2998743580846287E-3</v>
      </c>
    </row>
    <row r="22" spans="1:31">
      <c r="A22" s="112"/>
      <c r="B22" s="83" t="s">
        <v>14</v>
      </c>
      <c r="C22" s="77">
        <v>0</v>
      </c>
      <c r="D22" s="78">
        <v>0</v>
      </c>
      <c r="E22" s="79">
        <v>0</v>
      </c>
      <c r="F22" s="80">
        <v>0</v>
      </c>
      <c r="G22" s="77">
        <v>0</v>
      </c>
      <c r="H22" s="78">
        <v>0</v>
      </c>
      <c r="I22" s="79">
        <v>0</v>
      </c>
      <c r="J22" s="80">
        <v>0</v>
      </c>
      <c r="K22" s="77">
        <v>0</v>
      </c>
      <c r="L22" s="78">
        <v>0</v>
      </c>
      <c r="M22" s="79">
        <v>0</v>
      </c>
      <c r="N22" s="80">
        <v>0</v>
      </c>
      <c r="O22" s="77">
        <v>0</v>
      </c>
      <c r="P22" s="78">
        <v>0</v>
      </c>
      <c r="Q22" s="79">
        <v>0</v>
      </c>
      <c r="R22" s="80">
        <v>0</v>
      </c>
      <c r="S22" s="77">
        <v>0</v>
      </c>
      <c r="T22" s="78">
        <v>0</v>
      </c>
      <c r="U22" s="79">
        <v>0</v>
      </c>
      <c r="V22" s="80">
        <v>0</v>
      </c>
      <c r="W22" s="77">
        <v>0</v>
      </c>
      <c r="X22" s="78">
        <v>0</v>
      </c>
      <c r="Y22" s="79">
        <v>0</v>
      </c>
      <c r="Z22" s="81">
        <v>0</v>
      </c>
    </row>
    <row r="23" spans="1:31">
      <c r="A23" s="112"/>
      <c r="B23" s="83" t="s">
        <v>15</v>
      </c>
      <c r="C23" s="77">
        <v>0</v>
      </c>
      <c r="D23" s="78">
        <v>0</v>
      </c>
      <c r="E23" s="79">
        <v>0</v>
      </c>
      <c r="F23" s="80">
        <v>0</v>
      </c>
      <c r="G23" s="77">
        <v>0</v>
      </c>
      <c r="H23" s="78">
        <v>0</v>
      </c>
      <c r="I23" s="79">
        <v>0</v>
      </c>
      <c r="J23" s="80">
        <v>0</v>
      </c>
      <c r="K23" s="77">
        <v>0</v>
      </c>
      <c r="L23" s="78">
        <v>0</v>
      </c>
      <c r="M23" s="79">
        <v>0</v>
      </c>
      <c r="N23" s="80">
        <v>0</v>
      </c>
      <c r="O23" s="77">
        <v>0</v>
      </c>
      <c r="P23" s="78">
        <v>0</v>
      </c>
      <c r="Q23" s="79">
        <v>0</v>
      </c>
      <c r="R23" s="80">
        <v>0</v>
      </c>
      <c r="S23" s="77">
        <v>0</v>
      </c>
      <c r="T23" s="78">
        <v>0</v>
      </c>
      <c r="U23" s="79">
        <v>0</v>
      </c>
      <c r="V23" s="80">
        <v>0</v>
      </c>
      <c r="W23" s="77">
        <v>0</v>
      </c>
      <c r="X23" s="78">
        <v>0</v>
      </c>
      <c r="Y23" s="79">
        <v>0</v>
      </c>
      <c r="Z23" s="81">
        <v>0</v>
      </c>
    </row>
    <row r="24" spans="1:31">
      <c r="A24" s="112"/>
      <c r="B24" s="83" t="s">
        <v>16</v>
      </c>
      <c r="C24" s="77">
        <v>4.3762548252446628E-6</v>
      </c>
      <c r="D24" s="78">
        <v>3.5528811255876938E-3</v>
      </c>
      <c r="E24" s="79">
        <v>6.1139565166725057E-6</v>
      </c>
      <c r="F24" s="80">
        <v>3.3976133416094927E-3</v>
      </c>
      <c r="G24" s="77">
        <v>1.2967343389729495E-6</v>
      </c>
      <c r="H24" s="78">
        <v>3.2310903726490777E-3</v>
      </c>
      <c r="I24" s="79">
        <v>3.4346950329295205E-6</v>
      </c>
      <c r="J24" s="80">
        <v>3.1797387664681022E-3</v>
      </c>
      <c r="K24" s="77">
        <v>3.9015165617056963E-6</v>
      </c>
      <c r="L24" s="78">
        <v>3.0833754039557401E-3</v>
      </c>
      <c r="M24" s="79">
        <v>5.0649590406132962E-5</v>
      </c>
      <c r="N24" s="80">
        <v>2.9621969032472208E-3</v>
      </c>
      <c r="O24" s="77">
        <v>5.6637223785112709E-6</v>
      </c>
      <c r="P24" s="78">
        <v>2.8976598814606227E-3</v>
      </c>
      <c r="Q24" s="79">
        <v>9.6362547020749664E-7</v>
      </c>
      <c r="R24" s="80">
        <v>2.8681198639198785E-3</v>
      </c>
      <c r="S24" s="77">
        <v>7.3063859401666405E-6</v>
      </c>
      <c r="T24" s="78">
        <v>2.7667250101257915E-3</v>
      </c>
      <c r="U24" s="79">
        <v>9.9254408942254414E-6</v>
      </c>
      <c r="V24" s="80">
        <v>2.6339012593751647E-3</v>
      </c>
      <c r="W24" s="77">
        <v>3.9470951769959432E-6</v>
      </c>
      <c r="X24" s="78">
        <v>2.5383917525962619E-3</v>
      </c>
      <c r="Y24" s="79">
        <v>1.8273725390585167E-5</v>
      </c>
      <c r="Z24" s="81">
        <v>2.4425802174229908E-3</v>
      </c>
    </row>
    <row r="25" spans="1:31">
      <c r="A25" s="112"/>
      <c r="B25" s="83" t="s">
        <v>17</v>
      </c>
      <c r="C25" s="77">
        <v>-9.9141757201811457E-9</v>
      </c>
      <c r="D25" s="78">
        <v>-1.5130996590036822E-5</v>
      </c>
      <c r="E25" s="79">
        <v>0</v>
      </c>
      <c r="F25" s="80">
        <v>0</v>
      </c>
      <c r="G25" s="77">
        <v>7.0130243470510769E-6</v>
      </c>
      <c r="H25" s="78">
        <v>2.4146220620410448E-4</v>
      </c>
      <c r="I25" s="79">
        <v>5.2116734537623108E-6</v>
      </c>
      <c r="J25" s="80">
        <v>1.9010571874012578E-4</v>
      </c>
      <c r="K25" s="77">
        <v>-7.2608425387076858E-7</v>
      </c>
      <c r="L25" s="78">
        <v>1.2337248802397769E-4</v>
      </c>
      <c r="M25" s="79">
        <v>5.4227087586259304E-7</v>
      </c>
      <c r="N25" s="80">
        <v>7.0600327599330186E-5</v>
      </c>
      <c r="O25" s="77">
        <v>1.3421700025625401E-7</v>
      </c>
      <c r="P25" s="78">
        <v>2.1394988159637702E-5</v>
      </c>
      <c r="Q25" s="79">
        <v>-1.3951950806577941E-6</v>
      </c>
      <c r="R25" s="80">
        <v>2.5669011611080415E-5</v>
      </c>
      <c r="S25" s="77">
        <v>5.3815066071222294E-7</v>
      </c>
      <c r="T25" s="78">
        <v>2.6103810124709589E-5</v>
      </c>
      <c r="U25" s="79">
        <v>5.5535817430947434E-8</v>
      </c>
      <c r="V25" s="80">
        <v>2.7786634133046903E-5</v>
      </c>
      <c r="W25" s="77">
        <v>-8.4002816957330992E-7</v>
      </c>
      <c r="X25" s="78">
        <v>2.7422434777514304E-5</v>
      </c>
      <c r="Y25" s="79">
        <v>2.5147664420963253E-9</v>
      </c>
      <c r="Z25" s="81">
        <v>2.7810561969394562E-5</v>
      </c>
    </row>
    <row r="26" spans="1:31">
      <c r="A26" s="112"/>
      <c r="B26" s="84" t="s">
        <v>18</v>
      </c>
      <c r="C26" s="85">
        <v>2.4000000000000001E-4</v>
      </c>
      <c r="D26" s="86">
        <v>0.99999999999999989</v>
      </c>
      <c r="E26" s="87">
        <v>4.2983802000000002E-2</v>
      </c>
      <c r="F26" s="88">
        <v>1</v>
      </c>
      <c r="G26" s="85">
        <v>3.662E-2</v>
      </c>
      <c r="H26" s="86">
        <v>1.0000000000000002</v>
      </c>
      <c r="I26" s="87">
        <v>-2.9380000000000003E-2</v>
      </c>
      <c r="J26" s="88">
        <v>1.0000000000000002</v>
      </c>
      <c r="K26" s="85">
        <v>2.1219999999999999E-2</v>
      </c>
      <c r="L26" s="86">
        <v>1.0000000000000002</v>
      </c>
      <c r="M26" s="87">
        <v>1.43E-2</v>
      </c>
      <c r="N26" s="88">
        <v>1.0000000000000002</v>
      </c>
      <c r="O26" s="85">
        <v>1.763E-2</v>
      </c>
      <c r="P26" s="86">
        <v>1</v>
      </c>
      <c r="Q26" s="87">
        <v>1.409E-2</v>
      </c>
      <c r="R26" s="88">
        <v>1.0000000000000002</v>
      </c>
      <c r="S26" s="85">
        <v>2.7109999999999999E-2</v>
      </c>
      <c r="T26" s="86">
        <v>1.0000000000000002</v>
      </c>
      <c r="U26" s="87">
        <v>5.1900000000000002E-3</v>
      </c>
      <c r="V26" s="88">
        <v>0.99999999999999989</v>
      </c>
      <c r="W26" s="85">
        <v>3.2579999999999998E-2</v>
      </c>
      <c r="X26" s="86">
        <v>1</v>
      </c>
      <c r="Y26" s="87">
        <v>1.315E-2</v>
      </c>
      <c r="Z26" s="89">
        <v>1</v>
      </c>
    </row>
    <row r="27" spans="1:31">
      <c r="A27" s="112"/>
      <c r="B27" s="90" t="s">
        <v>24</v>
      </c>
      <c r="C27" s="91">
        <v>19.18</v>
      </c>
      <c r="D27" s="115"/>
      <c r="E27" s="92">
        <v>4001.25</v>
      </c>
      <c r="F27" s="115"/>
      <c r="G27" s="91">
        <v>3623.77</v>
      </c>
      <c r="H27" s="115"/>
      <c r="I27" s="92">
        <v>-3033.79</v>
      </c>
      <c r="J27" s="115"/>
      <c r="K27" s="91">
        <v>2157.62</v>
      </c>
      <c r="L27" s="115"/>
      <c r="M27" s="92">
        <v>1534.81</v>
      </c>
      <c r="N27" s="115"/>
      <c r="O27" s="91">
        <v>1948.104</v>
      </c>
      <c r="P27" s="115"/>
      <c r="Q27" s="92">
        <v>1623.65</v>
      </c>
      <c r="R27" s="115"/>
      <c r="S27" s="91">
        <v>3230.9009999999998</v>
      </c>
      <c r="T27" s="115"/>
      <c r="U27" s="92">
        <v>638.89</v>
      </c>
      <c r="V27" s="115"/>
      <c r="W27" s="91">
        <v>4075.24</v>
      </c>
      <c r="X27" s="115"/>
      <c r="Y27" s="92">
        <v>1716.81</v>
      </c>
      <c r="Z27" s="93"/>
    </row>
    <row r="28" spans="1:31">
      <c r="A28" s="112"/>
      <c r="B28" s="116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94"/>
    </row>
    <row r="29" spans="1:31">
      <c r="A29" s="112"/>
      <c r="B29" s="76" t="s">
        <v>19</v>
      </c>
      <c r="C29" s="95">
        <v>-3.0074439326504749E-3</v>
      </c>
      <c r="D29" s="96">
        <v>0.63602782586858775</v>
      </c>
      <c r="E29" s="97">
        <v>2.2240245043179237E-2</v>
      </c>
      <c r="F29" s="98">
        <v>0.63450565991005614</v>
      </c>
      <c r="G29" s="95">
        <v>9.740683173979971E-3</v>
      </c>
      <c r="H29" s="96">
        <v>0.64432124684479108</v>
      </c>
      <c r="I29" s="97">
        <v>-1.0104044645596524E-2</v>
      </c>
      <c r="J29" s="98">
        <v>0.63988033578468684</v>
      </c>
      <c r="K29" s="95">
        <v>-2.665873335358452E-3</v>
      </c>
      <c r="L29" s="96">
        <v>0.62884536361027299</v>
      </c>
      <c r="M29" s="97">
        <v>-6.2423534937555685E-3</v>
      </c>
      <c r="N29" s="98">
        <v>0.62229554691111655</v>
      </c>
      <c r="O29" s="95">
        <v>1.0947429112415457E-2</v>
      </c>
      <c r="P29" s="96">
        <v>0.62348132846016047</v>
      </c>
      <c r="Q29" s="97">
        <v>1.4386261714014661E-2</v>
      </c>
      <c r="R29" s="98">
        <v>0.62045118738136085</v>
      </c>
      <c r="S29" s="95">
        <v>8.5323393484045638E-3</v>
      </c>
      <c r="T29" s="96">
        <v>0.62626339193581626</v>
      </c>
      <c r="U29" s="97">
        <v>1.8729208266783249E-2</v>
      </c>
      <c r="V29" s="98">
        <v>0.62827073269125133</v>
      </c>
      <c r="W29" s="95">
        <v>2.2164692120987484E-2</v>
      </c>
      <c r="X29" s="96">
        <v>0.64696470151516594</v>
      </c>
      <c r="Y29" s="97">
        <v>1.9079410143235418E-2</v>
      </c>
      <c r="Z29" s="99">
        <v>0.66051854213016481</v>
      </c>
    </row>
    <row r="30" spans="1:31">
      <c r="A30" s="112"/>
      <c r="B30" s="83" t="s">
        <v>20</v>
      </c>
      <c r="C30" s="77">
        <v>3.2474439326504504E-3</v>
      </c>
      <c r="D30" s="78">
        <v>0.36397217413141231</v>
      </c>
      <c r="E30" s="79">
        <v>2.0743556956820779E-2</v>
      </c>
      <c r="F30" s="80">
        <v>0.36549434008994386</v>
      </c>
      <c r="G30" s="77">
        <v>2.687931682602003E-2</v>
      </c>
      <c r="H30" s="78">
        <v>0.35567875315520903</v>
      </c>
      <c r="I30" s="79">
        <v>-1.9275955354403466E-2</v>
      </c>
      <c r="J30" s="80">
        <v>0.36011966421531316</v>
      </c>
      <c r="K30" s="77">
        <v>2.3885873335358441E-2</v>
      </c>
      <c r="L30" s="78">
        <v>0.37115463638972701</v>
      </c>
      <c r="M30" s="79">
        <v>2.054462251635181E-2</v>
      </c>
      <c r="N30" s="80">
        <v>0.37770445308888345</v>
      </c>
      <c r="O30" s="77">
        <v>6.6828723162500716E-3</v>
      </c>
      <c r="P30" s="78">
        <v>0.37651867153983953</v>
      </c>
      <c r="Q30" s="79">
        <v>-2.962617140146602E-4</v>
      </c>
      <c r="R30" s="80">
        <v>0.37954881261863926</v>
      </c>
      <c r="S30" s="77">
        <v>1.857766065159544E-2</v>
      </c>
      <c r="T30" s="78">
        <v>0.37373660806418374</v>
      </c>
      <c r="U30" s="79">
        <v>-1.353920826678324E-2</v>
      </c>
      <c r="V30" s="80">
        <v>0.37172926730874867</v>
      </c>
      <c r="W30" s="77">
        <v>1.0415307879012504E-2</v>
      </c>
      <c r="X30" s="78">
        <v>0.35303529848483395</v>
      </c>
      <c r="Y30" s="79">
        <v>-5.9294101432354231E-3</v>
      </c>
      <c r="Z30" s="81">
        <v>0.33948145786983513</v>
      </c>
    </row>
    <row r="31" spans="1:31">
      <c r="A31" s="112"/>
      <c r="B31" s="84" t="s">
        <v>18</v>
      </c>
      <c r="C31" s="85">
        <v>2.4000000000000001E-4</v>
      </c>
      <c r="D31" s="86">
        <v>1</v>
      </c>
      <c r="E31" s="87">
        <v>4.2983802000000002E-2</v>
      </c>
      <c r="F31" s="88">
        <v>1</v>
      </c>
      <c r="G31" s="85">
        <v>3.662E-2</v>
      </c>
      <c r="H31" s="86">
        <v>1</v>
      </c>
      <c r="I31" s="87">
        <v>-2.9380000000000003E-2</v>
      </c>
      <c r="J31" s="88">
        <v>1</v>
      </c>
      <c r="K31" s="85">
        <v>2.1219999999999999E-2</v>
      </c>
      <c r="L31" s="86">
        <v>1</v>
      </c>
      <c r="M31" s="87">
        <v>1.43E-2</v>
      </c>
      <c r="N31" s="88">
        <v>1</v>
      </c>
      <c r="O31" s="85">
        <v>1.763E-2</v>
      </c>
      <c r="P31" s="86">
        <v>1</v>
      </c>
      <c r="Q31" s="87">
        <v>1.409E-2</v>
      </c>
      <c r="R31" s="88">
        <v>1</v>
      </c>
      <c r="S31" s="85">
        <v>2.7109999999999999E-2</v>
      </c>
      <c r="T31" s="86">
        <v>1</v>
      </c>
      <c r="U31" s="87">
        <v>5.1900000000000002E-3</v>
      </c>
      <c r="V31" s="88">
        <v>1</v>
      </c>
      <c r="W31" s="85">
        <v>3.2579999999999998E-2</v>
      </c>
      <c r="X31" s="86">
        <v>0.99999999999999989</v>
      </c>
      <c r="Y31" s="87">
        <v>1.315E-2</v>
      </c>
      <c r="Z31" s="89">
        <v>1</v>
      </c>
    </row>
    <row r="32" spans="1:31">
      <c r="A32" s="112"/>
      <c r="B32" s="116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94"/>
    </row>
    <row r="33" spans="1:26">
      <c r="A33" s="112"/>
      <c r="B33" s="76" t="s">
        <v>21</v>
      </c>
      <c r="C33" s="95">
        <v>-1.4353171803678309E-3</v>
      </c>
      <c r="D33" s="96">
        <v>0.95198504194549483</v>
      </c>
      <c r="E33" s="97">
        <v>3.7377784305241718E-2</v>
      </c>
      <c r="F33" s="98">
        <v>0.94588629527257961</v>
      </c>
      <c r="G33" s="95">
        <v>3.69622698419447E-2</v>
      </c>
      <c r="H33" s="96">
        <v>0.95009946920315158</v>
      </c>
      <c r="I33" s="97">
        <v>-2.5029666739821377E-2</v>
      </c>
      <c r="J33" s="98">
        <v>0.95531141875552061</v>
      </c>
      <c r="K33" s="95">
        <v>1.9288846038261354E-2</v>
      </c>
      <c r="L33" s="96">
        <v>0.95551983245320893</v>
      </c>
      <c r="M33" s="97">
        <v>1.2725985262281737E-2</v>
      </c>
      <c r="N33" s="98">
        <v>0.95871399726006812</v>
      </c>
      <c r="O33" s="95">
        <v>1.7331209477703634E-2</v>
      </c>
      <c r="P33" s="96">
        <v>0.95699554954301369</v>
      </c>
      <c r="Q33" s="97">
        <v>1.1681642800182758E-2</v>
      </c>
      <c r="R33" s="98">
        <v>0.9633121976323562</v>
      </c>
      <c r="S33" s="95">
        <v>2.7919612090355952E-2</v>
      </c>
      <c r="T33" s="96">
        <v>0.95860752307586228</v>
      </c>
      <c r="U33" s="97">
        <v>4.5247574648383691E-3</v>
      </c>
      <c r="V33" s="98">
        <v>0.9592488319844884</v>
      </c>
      <c r="W33" s="95">
        <v>2.6945633314580945E-2</v>
      </c>
      <c r="X33" s="96">
        <v>0.96182062897601128</v>
      </c>
      <c r="Y33" s="97">
        <v>1.3027126440048133E-2</v>
      </c>
      <c r="Z33" s="99">
        <v>0.9580582793949417</v>
      </c>
    </row>
    <row r="34" spans="1:26">
      <c r="A34" s="112"/>
      <c r="B34" s="83" t="s">
        <v>22</v>
      </c>
      <c r="C34" s="77">
        <v>1.6753171803678196E-3</v>
      </c>
      <c r="D34" s="78">
        <v>4.801495805450514E-2</v>
      </c>
      <c r="E34" s="79">
        <v>5.6060176947582774E-3</v>
      </c>
      <c r="F34" s="80">
        <v>5.4113704727420373E-2</v>
      </c>
      <c r="G34" s="77">
        <v>-3.4226984194470235E-4</v>
      </c>
      <c r="H34" s="78">
        <v>4.9900530796848461E-2</v>
      </c>
      <c r="I34" s="79">
        <v>-4.3503332601786205E-3</v>
      </c>
      <c r="J34" s="80">
        <v>4.4688581244479303E-2</v>
      </c>
      <c r="K34" s="77">
        <v>1.9311539617386589E-3</v>
      </c>
      <c r="L34" s="78">
        <v>4.4480167546791058E-2</v>
      </c>
      <c r="M34" s="79">
        <v>1.5762837603145227E-3</v>
      </c>
      <c r="N34" s="80">
        <v>4.1286002739931993E-2</v>
      </c>
      <c r="O34" s="77">
        <v>2.9909195096188571E-4</v>
      </c>
      <c r="P34" s="78">
        <v>4.3004450456986261E-2</v>
      </c>
      <c r="Q34" s="79">
        <v>2.4083571998172425E-3</v>
      </c>
      <c r="R34" s="80">
        <v>3.6687802367643851E-2</v>
      </c>
      <c r="S34" s="77">
        <v>-8.0961209035595094E-4</v>
      </c>
      <c r="T34" s="78">
        <v>4.1392476924137722E-2</v>
      </c>
      <c r="U34" s="79">
        <v>6.65242535161634E-4</v>
      </c>
      <c r="V34" s="80">
        <v>4.0751168015511596E-2</v>
      </c>
      <c r="W34" s="77">
        <v>5.6343666854190531E-3</v>
      </c>
      <c r="X34" s="78">
        <v>3.817937102398871E-2</v>
      </c>
      <c r="Y34" s="79">
        <v>1.2287355995186297E-4</v>
      </c>
      <c r="Z34" s="81">
        <v>4.1941720605058151E-2</v>
      </c>
    </row>
    <row r="35" spans="1:26">
      <c r="A35" s="112"/>
      <c r="B35" s="100" t="s">
        <v>18</v>
      </c>
      <c r="C35" s="101">
        <v>2.4000000000000001E-4</v>
      </c>
      <c r="D35" s="102">
        <v>1</v>
      </c>
      <c r="E35" s="103">
        <v>4.2983802000000002E-2</v>
      </c>
      <c r="F35" s="104">
        <v>1</v>
      </c>
      <c r="G35" s="101">
        <v>3.662E-2</v>
      </c>
      <c r="H35" s="102">
        <v>1</v>
      </c>
      <c r="I35" s="103">
        <v>-2.9380000000000003E-2</v>
      </c>
      <c r="J35" s="104">
        <v>0.99999999999999989</v>
      </c>
      <c r="K35" s="101">
        <v>2.1219999999999999E-2</v>
      </c>
      <c r="L35" s="102">
        <v>1</v>
      </c>
      <c r="M35" s="103">
        <v>1.43E-2</v>
      </c>
      <c r="N35" s="104">
        <v>1</v>
      </c>
      <c r="O35" s="101">
        <v>1.763E-2</v>
      </c>
      <c r="P35" s="102">
        <v>1</v>
      </c>
      <c r="Q35" s="103">
        <v>1.409E-2</v>
      </c>
      <c r="R35" s="104">
        <v>1</v>
      </c>
      <c r="S35" s="101">
        <v>2.7109999999999999E-2</v>
      </c>
      <c r="T35" s="102">
        <v>1</v>
      </c>
      <c r="U35" s="103">
        <v>5.1900000000000002E-3</v>
      </c>
      <c r="V35" s="104">
        <v>1</v>
      </c>
      <c r="W35" s="101">
        <v>3.2579999999999998E-2</v>
      </c>
      <c r="X35" s="102">
        <v>1</v>
      </c>
      <c r="Y35" s="103">
        <v>1.315E-2</v>
      </c>
      <c r="Z35" s="105">
        <v>0.99999999999999989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2"/>
      <c r="B37" s="70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5" t="s">
        <v>61</v>
      </c>
      <c r="K37" s="118" t="s">
        <v>1408</v>
      </c>
      <c r="L37" s="118" t="s">
        <v>1408</v>
      </c>
      <c r="M37" s="118" t="s">
        <v>1408</v>
      </c>
      <c r="N37" s="118" t="s">
        <v>1408</v>
      </c>
      <c r="O37" s="118" t="s">
        <v>1408</v>
      </c>
      <c r="P37" s="118" t="s">
        <v>1408</v>
      </c>
      <c r="Q37" s="118" t="s">
        <v>1408</v>
      </c>
      <c r="R37" s="118" t="s">
        <v>1408</v>
      </c>
      <c r="S37" s="118" t="s">
        <v>1408</v>
      </c>
      <c r="T37" s="118" t="s">
        <v>1408</v>
      </c>
      <c r="U37" s="118" t="s">
        <v>1408</v>
      </c>
      <c r="V37" s="118" t="s">
        <v>1408</v>
      </c>
      <c r="W37" s="118" t="s">
        <v>1408</v>
      </c>
      <c r="X37" s="118" t="s">
        <v>1408</v>
      </c>
      <c r="Y37" s="118" t="s">
        <v>1408</v>
      </c>
      <c r="Z37" s="33"/>
    </row>
    <row r="38" spans="1:26">
      <c r="A38" s="112"/>
      <c r="B38" s="76" t="s">
        <v>1</v>
      </c>
      <c r="C38" s="77">
        <v>4.4552848777709162E-3</v>
      </c>
      <c r="D38" s="78">
        <v>0.25889402568108544</v>
      </c>
      <c r="E38" s="79">
        <v>9.2416710983164018E-3</v>
      </c>
      <c r="F38" s="80">
        <v>0.25554964878605174</v>
      </c>
      <c r="G38" s="77">
        <v>1.1347164883712433E-2</v>
      </c>
      <c r="H38" s="78">
        <v>0.25741697374452854</v>
      </c>
      <c r="I38" s="79">
        <v>1.2441721653300389E-2</v>
      </c>
      <c r="J38" s="81">
        <v>0.25094396712175077</v>
      </c>
      <c r="K38" s="118" t="s">
        <v>1408</v>
      </c>
      <c r="L38" s="118" t="s">
        <v>1408</v>
      </c>
      <c r="M38" s="118" t="s">
        <v>1408</v>
      </c>
      <c r="N38" s="118" t="s">
        <v>1408</v>
      </c>
      <c r="O38" s="118" t="s">
        <v>1408</v>
      </c>
      <c r="P38" s="118" t="s">
        <v>1408</v>
      </c>
      <c r="Q38" s="118" t="s">
        <v>1408</v>
      </c>
      <c r="R38" s="118" t="s">
        <v>1408</v>
      </c>
      <c r="S38" s="118" t="s">
        <v>1408</v>
      </c>
      <c r="T38" s="118" t="s">
        <v>1408</v>
      </c>
      <c r="U38" s="118" t="s">
        <v>1408</v>
      </c>
      <c r="V38" s="118" t="s">
        <v>1408</v>
      </c>
      <c r="W38" s="118" t="s">
        <v>1408</v>
      </c>
      <c r="X38" s="118" t="s">
        <v>1408</v>
      </c>
      <c r="Y38" s="118" t="s">
        <v>1408</v>
      </c>
      <c r="Z38" s="33"/>
    </row>
    <row r="39" spans="1:26" ht="30">
      <c r="A39" s="112"/>
      <c r="B39" s="82" t="s">
        <v>908</v>
      </c>
      <c r="C39" s="77">
        <v>5.7230298421077669E-4</v>
      </c>
      <c r="D39" s="78">
        <v>4.9730772254641772E-2</v>
      </c>
      <c r="E39" s="79">
        <v>1.4954005163752078E-3</v>
      </c>
      <c r="F39" s="80">
        <v>8.9423530024105954E-2</v>
      </c>
      <c r="G39" s="77">
        <v>2.4133354812362769E-3</v>
      </c>
      <c r="H39" s="78">
        <v>8.9731107661768381E-2</v>
      </c>
      <c r="I39" s="79">
        <v>3.6695912797187077E-3</v>
      </c>
      <c r="J39" s="81">
        <v>8.9596252860686329E-2</v>
      </c>
      <c r="K39" s="118" t="s">
        <v>1408</v>
      </c>
      <c r="L39" s="118" t="s">
        <v>1408</v>
      </c>
      <c r="M39" s="118" t="s">
        <v>1408</v>
      </c>
      <c r="N39" s="118" t="s">
        <v>1408</v>
      </c>
      <c r="O39" s="118" t="s">
        <v>1408</v>
      </c>
      <c r="P39" s="118" t="s">
        <v>1408</v>
      </c>
      <c r="Q39" s="118" t="s">
        <v>1408</v>
      </c>
      <c r="R39" s="118" t="s">
        <v>1408</v>
      </c>
      <c r="S39" s="118" t="s">
        <v>1408</v>
      </c>
      <c r="T39" s="118" t="s">
        <v>1408</v>
      </c>
      <c r="U39" s="118" t="s">
        <v>1408</v>
      </c>
      <c r="V39" s="118" t="s">
        <v>1408</v>
      </c>
      <c r="W39" s="118" t="s">
        <v>1408</v>
      </c>
      <c r="X39" s="118" t="s">
        <v>1408</v>
      </c>
      <c r="Y39" s="118" t="s">
        <v>1408</v>
      </c>
      <c r="Z39" s="33"/>
    </row>
    <row r="40" spans="1:26">
      <c r="A40" s="112"/>
      <c r="B40" s="83" t="s">
        <v>2</v>
      </c>
      <c r="C40" s="77">
        <v>0</v>
      </c>
      <c r="D40" s="78">
        <v>0</v>
      </c>
      <c r="E40" s="79">
        <v>0</v>
      </c>
      <c r="F40" s="80">
        <v>0</v>
      </c>
      <c r="G40" s="77">
        <v>0</v>
      </c>
      <c r="H40" s="78">
        <v>0</v>
      </c>
      <c r="I40" s="79">
        <v>0</v>
      </c>
      <c r="J40" s="81">
        <v>0</v>
      </c>
      <c r="K40" s="118" t="s">
        <v>1408</v>
      </c>
      <c r="L40" s="118" t="s">
        <v>1408</v>
      </c>
      <c r="M40" s="118" t="s">
        <v>1408</v>
      </c>
      <c r="N40" s="118" t="s">
        <v>1408</v>
      </c>
      <c r="O40" s="118" t="s">
        <v>1408</v>
      </c>
      <c r="P40" s="118" t="s">
        <v>1408</v>
      </c>
      <c r="Q40" s="118" t="s">
        <v>1408</v>
      </c>
      <c r="R40" s="118" t="s">
        <v>1408</v>
      </c>
      <c r="S40" s="118" t="s">
        <v>1408</v>
      </c>
      <c r="T40" s="118" t="s">
        <v>1408</v>
      </c>
      <c r="U40" s="118" t="s">
        <v>1408</v>
      </c>
      <c r="V40" s="118" t="s">
        <v>1408</v>
      </c>
      <c r="W40" s="118" t="s">
        <v>1408</v>
      </c>
      <c r="X40" s="118" t="s">
        <v>1408</v>
      </c>
      <c r="Y40" s="118" t="s">
        <v>1408</v>
      </c>
      <c r="Z40" s="33"/>
    </row>
    <row r="41" spans="1:26">
      <c r="A41" s="112"/>
      <c r="B41" s="83" t="s">
        <v>3</v>
      </c>
      <c r="C41" s="77">
        <v>3.6225166805812442E-9</v>
      </c>
      <c r="D41" s="78">
        <v>3.2450224819744051E-6</v>
      </c>
      <c r="E41" s="79">
        <v>-6.4498318248685333E-9</v>
      </c>
      <c r="F41" s="80">
        <v>3.1504877714549989E-6</v>
      </c>
      <c r="G41" s="77">
        <v>2.2786557360889927E-7</v>
      </c>
      <c r="H41" s="78">
        <v>2.8861420180727757E-6</v>
      </c>
      <c r="I41" s="79">
        <v>2.3093007558147409E-7</v>
      </c>
      <c r="J41" s="81">
        <v>2.5691103016339052E-6</v>
      </c>
      <c r="K41" s="118" t="s">
        <v>1408</v>
      </c>
      <c r="L41" s="118" t="s">
        <v>1408</v>
      </c>
      <c r="M41" s="118" t="s">
        <v>1408</v>
      </c>
      <c r="N41" s="118" t="s">
        <v>1408</v>
      </c>
      <c r="O41" s="118" t="s">
        <v>1408</v>
      </c>
      <c r="P41" s="118" t="s">
        <v>1408</v>
      </c>
      <c r="Q41" s="118" t="s">
        <v>1408</v>
      </c>
      <c r="R41" s="118" t="s">
        <v>1408</v>
      </c>
      <c r="S41" s="118" t="s">
        <v>1408</v>
      </c>
      <c r="T41" s="118" t="s">
        <v>1408</v>
      </c>
      <c r="U41" s="118" t="s">
        <v>1408</v>
      </c>
      <c r="V41" s="118" t="s">
        <v>1408</v>
      </c>
      <c r="W41" s="118" t="s">
        <v>1408</v>
      </c>
      <c r="X41" s="118" t="s">
        <v>1408</v>
      </c>
      <c r="Y41" s="118" t="s">
        <v>1408</v>
      </c>
      <c r="Z41" s="33"/>
    </row>
    <row r="42" spans="1:26">
      <c r="A42" s="112"/>
      <c r="B42" s="83" t="s">
        <v>4</v>
      </c>
      <c r="C42" s="77">
        <v>0</v>
      </c>
      <c r="D42" s="78">
        <v>0</v>
      </c>
      <c r="E42" s="79">
        <v>-4.8017541461212619E-6</v>
      </c>
      <c r="F42" s="80">
        <v>1.7374233410904192E-4</v>
      </c>
      <c r="G42" s="77">
        <v>-3.048016829322722E-5</v>
      </c>
      <c r="H42" s="78">
        <v>3.4756238059595378E-4</v>
      </c>
      <c r="I42" s="79">
        <v>-1.1206245112717557E-4</v>
      </c>
      <c r="J42" s="81">
        <v>2.4296129074999852E-4</v>
      </c>
      <c r="K42" s="118" t="s">
        <v>1408</v>
      </c>
      <c r="L42" s="118" t="s">
        <v>1408</v>
      </c>
      <c r="M42" s="118" t="s">
        <v>1408</v>
      </c>
      <c r="N42" s="118" t="s">
        <v>1408</v>
      </c>
      <c r="O42" s="118" t="s">
        <v>1408</v>
      </c>
      <c r="P42" s="118" t="s">
        <v>1408</v>
      </c>
      <c r="Q42" s="118" t="s">
        <v>1408</v>
      </c>
      <c r="R42" s="118" t="s">
        <v>1408</v>
      </c>
      <c r="S42" s="118" t="s">
        <v>1408</v>
      </c>
      <c r="T42" s="118" t="s">
        <v>1408</v>
      </c>
      <c r="U42" s="118" t="s">
        <v>1408</v>
      </c>
      <c r="V42" s="118" t="s">
        <v>1408</v>
      </c>
      <c r="W42" s="118" t="s">
        <v>1408</v>
      </c>
      <c r="X42" s="118" t="s">
        <v>1408</v>
      </c>
      <c r="Y42" s="118" t="s">
        <v>1408</v>
      </c>
      <c r="Z42" s="33"/>
    </row>
    <row r="43" spans="1:26">
      <c r="A43" s="112"/>
      <c r="B43" s="83" t="s">
        <v>5</v>
      </c>
      <c r="C43" s="77">
        <v>8.9732897681364232E-7</v>
      </c>
      <c r="D43" s="78">
        <v>1.1074616541662568E-4</v>
      </c>
      <c r="E43" s="79">
        <v>4.1591684931034121E-7</v>
      </c>
      <c r="F43" s="80">
        <v>1.3431570237727074E-4</v>
      </c>
      <c r="G43" s="77">
        <v>3.5768757765099598E-6</v>
      </c>
      <c r="H43" s="78">
        <v>1.258993211343719E-4</v>
      </c>
      <c r="I43" s="79">
        <v>7.0178412238972375E-6</v>
      </c>
      <c r="J43" s="81">
        <v>1.1782612774255503E-4</v>
      </c>
      <c r="K43" s="118" t="s">
        <v>1408</v>
      </c>
      <c r="L43" s="118" t="s">
        <v>1408</v>
      </c>
      <c r="M43" s="118" t="s">
        <v>1408</v>
      </c>
      <c r="N43" s="118" t="s">
        <v>1408</v>
      </c>
      <c r="O43" s="118" t="s">
        <v>1408</v>
      </c>
      <c r="P43" s="118" t="s">
        <v>1408</v>
      </c>
      <c r="Q43" s="118" t="s">
        <v>1408</v>
      </c>
      <c r="R43" s="118" t="s">
        <v>1408</v>
      </c>
      <c r="S43" s="118" t="s">
        <v>1408</v>
      </c>
      <c r="T43" s="118" t="s">
        <v>1408</v>
      </c>
      <c r="U43" s="118" t="s">
        <v>1408</v>
      </c>
      <c r="V43" s="118" t="s">
        <v>1408</v>
      </c>
      <c r="W43" s="118" t="s">
        <v>1408</v>
      </c>
      <c r="X43" s="118" t="s">
        <v>1408</v>
      </c>
      <c r="Y43" s="118" t="s">
        <v>1408</v>
      </c>
      <c r="Z43" s="33"/>
    </row>
    <row r="44" spans="1:26">
      <c r="A44" s="112"/>
      <c r="B44" s="83" t="s">
        <v>6</v>
      </c>
      <c r="C44" s="77">
        <v>3.0870820596504027E-2</v>
      </c>
      <c r="D44" s="78">
        <v>0.3717303492792946</v>
      </c>
      <c r="E44" s="79">
        <v>2.0764018870370805E-2</v>
      </c>
      <c r="F44" s="80">
        <v>0.33390241570494594</v>
      </c>
      <c r="G44" s="77">
        <v>4.8100155114842905E-2</v>
      </c>
      <c r="H44" s="78">
        <v>0.32964551870379316</v>
      </c>
      <c r="I44" s="79">
        <v>0.10246381021776839</v>
      </c>
      <c r="J44" s="81">
        <v>0.34925880786248847</v>
      </c>
      <c r="K44" s="118" t="s">
        <v>1408</v>
      </c>
      <c r="L44" s="118" t="s">
        <v>1408</v>
      </c>
      <c r="M44" s="118" t="s">
        <v>1408</v>
      </c>
      <c r="N44" s="118" t="s">
        <v>1408</v>
      </c>
      <c r="O44" s="118" t="s">
        <v>1408</v>
      </c>
      <c r="P44" s="118" t="s">
        <v>1408</v>
      </c>
      <c r="Q44" s="118" t="s">
        <v>1408</v>
      </c>
      <c r="R44" s="118" t="s">
        <v>1408</v>
      </c>
      <c r="S44" s="118" t="s">
        <v>1408</v>
      </c>
      <c r="T44" s="118" t="s">
        <v>1408</v>
      </c>
      <c r="U44" s="118" t="s">
        <v>1408</v>
      </c>
      <c r="V44" s="118" t="s">
        <v>1408</v>
      </c>
      <c r="W44" s="118" t="s">
        <v>1408</v>
      </c>
      <c r="X44" s="118" t="s">
        <v>1408</v>
      </c>
      <c r="Y44" s="118" t="s">
        <v>1408</v>
      </c>
      <c r="Z44" s="33"/>
    </row>
    <row r="45" spans="1:26">
      <c r="A45" s="112"/>
      <c r="B45" s="83" t="s">
        <v>62</v>
      </c>
      <c r="C45" s="77">
        <v>1.8680786798403761E-2</v>
      </c>
      <c r="D45" s="78">
        <v>0.26030555348413742</v>
      </c>
      <c r="E45" s="79">
        <v>2.1724215509082059E-2</v>
      </c>
      <c r="F45" s="80">
        <v>0.27258179661810672</v>
      </c>
      <c r="G45" s="77">
        <v>4.2121202328074064E-2</v>
      </c>
      <c r="H45" s="78">
        <v>0.28222520858306888</v>
      </c>
      <c r="I45" s="79">
        <v>3.6122601036830515E-2</v>
      </c>
      <c r="J45" s="81">
        <v>0.25781532808095409</v>
      </c>
      <c r="K45" s="118" t="s">
        <v>1408</v>
      </c>
      <c r="L45" s="118" t="s">
        <v>1408</v>
      </c>
      <c r="M45" s="118" t="s">
        <v>1408</v>
      </c>
      <c r="N45" s="118" t="s">
        <v>1408</v>
      </c>
      <c r="O45" s="118" t="s">
        <v>1408</v>
      </c>
      <c r="P45" s="118" t="s">
        <v>1408</v>
      </c>
      <c r="Q45" s="118" t="s">
        <v>1408</v>
      </c>
      <c r="R45" s="118" t="s">
        <v>1408</v>
      </c>
      <c r="S45" s="118" t="s">
        <v>1408</v>
      </c>
      <c r="T45" s="118" t="s">
        <v>1408</v>
      </c>
      <c r="U45" s="118" t="s">
        <v>1408</v>
      </c>
      <c r="V45" s="118" t="s">
        <v>1408</v>
      </c>
      <c r="W45" s="118" t="s">
        <v>1408</v>
      </c>
      <c r="X45" s="118" t="s">
        <v>1408</v>
      </c>
      <c r="Y45" s="118" t="s">
        <v>1408</v>
      </c>
      <c r="Z45" s="33"/>
    </row>
    <row r="46" spans="1:26">
      <c r="A46" s="112"/>
      <c r="B46" s="83" t="s">
        <v>7</v>
      </c>
      <c r="C46" s="77">
        <v>5.295044822547794E-5</v>
      </c>
      <c r="D46" s="78">
        <v>5.3286501881637293E-3</v>
      </c>
      <c r="E46" s="79">
        <v>9.0932994187392494E-4</v>
      </c>
      <c r="F46" s="80">
        <v>6.9121484123454762E-3</v>
      </c>
      <c r="G46" s="77">
        <v>1.3498690702696727E-3</v>
      </c>
      <c r="H46" s="78">
        <v>7.2485193102189323E-3</v>
      </c>
      <c r="I46" s="79">
        <v>8.927007187209473E-4</v>
      </c>
      <c r="J46" s="81">
        <v>7.5521918908596003E-3</v>
      </c>
      <c r="K46" s="118" t="s">
        <v>1408</v>
      </c>
      <c r="L46" s="118" t="s">
        <v>1408</v>
      </c>
      <c r="M46" s="118" t="s">
        <v>1408</v>
      </c>
      <c r="N46" s="118" t="s">
        <v>1408</v>
      </c>
      <c r="O46" s="118" t="s">
        <v>1408</v>
      </c>
      <c r="P46" s="118" t="s">
        <v>1408</v>
      </c>
      <c r="Q46" s="118" t="s">
        <v>1408</v>
      </c>
      <c r="R46" s="118" t="s">
        <v>1408</v>
      </c>
      <c r="S46" s="118" t="s">
        <v>1408</v>
      </c>
      <c r="T46" s="118" t="s">
        <v>1408</v>
      </c>
      <c r="U46" s="118" t="s">
        <v>1408</v>
      </c>
      <c r="V46" s="118" t="s">
        <v>1408</v>
      </c>
      <c r="W46" s="118" t="s">
        <v>1408</v>
      </c>
      <c r="X46" s="118" t="s">
        <v>1408</v>
      </c>
      <c r="Y46" s="118" t="s">
        <v>1408</v>
      </c>
      <c r="Z46" s="33"/>
    </row>
    <row r="47" spans="1:26">
      <c r="A47" s="112"/>
      <c r="B47" s="83" t="s">
        <v>8</v>
      </c>
      <c r="C47" s="77">
        <v>1.2813958559288155E-3</v>
      </c>
      <c r="D47" s="78">
        <v>2.9548731176612188E-2</v>
      </c>
      <c r="E47" s="79">
        <v>2.3877344629167946E-3</v>
      </c>
      <c r="F47" s="80">
        <v>2.9176221029049942E-2</v>
      </c>
      <c r="G47" s="77">
        <v>2.8362898680011593E-3</v>
      </c>
      <c r="H47" s="78">
        <v>2.7888602069184466E-2</v>
      </c>
      <c r="I47" s="79">
        <v>2.5653299484731953E-3</v>
      </c>
      <c r="J47" s="81">
        <v>2.5056588530044464E-2</v>
      </c>
      <c r="K47" s="118" t="s">
        <v>1408</v>
      </c>
      <c r="L47" s="118" t="s">
        <v>1408</v>
      </c>
      <c r="M47" s="118" t="s">
        <v>1408</v>
      </c>
      <c r="N47" s="118" t="s">
        <v>1408</v>
      </c>
      <c r="O47" s="118" t="s">
        <v>1408</v>
      </c>
      <c r="P47" s="118" t="s">
        <v>1408</v>
      </c>
      <c r="Q47" s="118" t="s">
        <v>1408</v>
      </c>
      <c r="R47" s="118" t="s">
        <v>1408</v>
      </c>
      <c r="S47" s="118" t="s">
        <v>1408</v>
      </c>
      <c r="T47" s="118" t="s">
        <v>1408</v>
      </c>
      <c r="U47" s="118" t="s">
        <v>1408</v>
      </c>
      <c r="V47" s="118" t="s">
        <v>1408</v>
      </c>
      <c r="W47" s="118" t="s">
        <v>1408</v>
      </c>
      <c r="X47" s="118" t="s">
        <v>1408</v>
      </c>
      <c r="Y47" s="118" t="s">
        <v>1408</v>
      </c>
      <c r="Z47" s="33"/>
    </row>
    <row r="48" spans="1:26">
      <c r="A48" s="112"/>
      <c r="B48" s="83" t="s">
        <v>9</v>
      </c>
      <c r="C48" s="77">
        <v>1.2769725290956836E-5</v>
      </c>
      <c r="D48" s="78">
        <v>6.6781105993911791E-5</v>
      </c>
      <c r="E48" s="79">
        <v>1.3294873598301316E-5</v>
      </c>
      <c r="F48" s="80">
        <v>6.7194600681527258E-5</v>
      </c>
      <c r="G48" s="77">
        <v>3.4497552236210169E-5</v>
      </c>
      <c r="H48" s="78">
        <v>1.0840190593981235E-4</v>
      </c>
      <c r="I48" s="79">
        <v>1.9165841401877544E-4</v>
      </c>
      <c r="J48" s="81">
        <v>2.9251317324155863E-4</v>
      </c>
      <c r="K48" s="118" t="s">
        <v>1408</v>
      </c>
      <c r="L48" s="118" t="s">
        <v>1408</v>
      </c>
      <c r="M48" s="118" t="s">
        <v>1408</v>
      </c>
      <c r="N48" s="118" t="s">
        <v>1408</v>
      </c>
      <c r="O48" s="118" t="s">
        <v>1408</v>
      </c>
      <c r="P48" s="118" t="s">
        <v>1408</v>
      </c>
      <c r="Q48" s="118" t="s">
        <v>1408</v>
      </c>
      <c r="R48" s="118" t="s">
        <v>1408</v>
      </c>
      <c r="S48" s="118" t="s">
        <v>1408</v>
      </c>
      <c r="T48" s="118" t="s">
        <v>1408</v>
      </c>
      <c r="U48" s="118" t="s">
        <v>1408</v>
      </c>
      <c r="V48" s="118" t="s">
        <v>1408</v>
      </c>
      <c r="W48" s="118" t="s">
        <v>1408</v>
      </c>
      <c r="X48" s="118" t="s">
        <v>1408</v>
      </c>
      <c r="Y48" s="118" t="s">
        <v>1408</v>
      </c>
      <c r="Z48" s="33"/>
    </row>
    <row r="49" spans="1:26">
      <c r="A49" s="112"/>
      <c r="B49" s="83" t="s">
        <v>10</v>
      </c>
      <c r="C49" s="77">
        <v>2.5704887839588991E-2</v>
      </c>
      <c r="D49" s="78">
        <v>1.7176576123714836E-2</v>
      </c>
      <c r="E49" s="79">
        <v>3.086880024910087E-2</v>
      </c>
      <c r="F49" s="80">
        <v>5.6320511321344986E-3</v>
      </c>
      <c r="G49" s="77">
        <v>4.303632917238507E-2</v>
      </c>
      <c r="H49" s="78">
        <v>-7.8500857864877919E-4</v>
      </c>
      <c r="I49" s="79">
        <v>5.1589440800759022E-2</v>
      </c>
      <c r="J49" s="81">
        <v>1.3750907928398785E-2</v>
      </c>
      <c r="K49" s="118" t="s">
        <v>1408</v>
      </c>
      <c r="L49" s="118" t="s">
        <v>1408</v>
      </c>
      <c r="M49" s="118" t="s">
        <v>1408</v>
      </c>
      <c r="N49" s="118" t="s">
        <v>1408</v>
      </c>
      <c r="O49" s="118" t="s">
        <v>1408</v>
      </c>
      <c r="P49" s="118" t="s">
        <v>1408</v>
      </c>
      <c r="Q49" s="118" t="s">
        <v>1408</v>
      </c>
      <c r="R49" s="118" t="s">
        <v>1408</v>
      </c>
      <c r="S49" s="118" t="s">
        <v>1408</v>
      </c>
      <c r="T49" s="118" t="s">
        <v>1408</v>
      </c>
      <c r="U49" s="118" t="s">
        <v>1408</v>
      </c>
      <c r="V49" s="118" t="s">
        <v>1408</v>
      </c>
      <c r="W49" s="118" t="s">
        <v>1408</v>
      </c>
      <c r="X49" s="118" t="s">
        <v>1408</v>
      </c>
      <c r="Y49" s="118" t="s">
        <v>1408</v>
      </c>
      <c r="Z49" s="33"/>
    </row>
    <row r="50" spans="1:26">
      <c r="A50" s="112"/>
      <c r="B50" s="83" t="s">
        <v>11</v>
      </c>
      <c r="C50" s="77">
        <v>-2.8364735380949059E-4</v>
      </c>
      <c r="D50" s="78">
        <v>7.3816672808370309E-4</v>
      </c>
      <c r="E50" s="79">
        <v>-3.660525296577711E-4</v>
      </c>
      <c r="F50" s="80">
        <v>4.9212398998965353E-4</v>
      </c>
      <c r="G50" s="77">
        <v>9.0997774925301712E-4</v>
      </c>
      <c r="H50" s="78">
        <v>5.3182084482425072E-4</v>
      </c>
      <c r="I50" s="79">
        <v>1.7359312909533135E-3</v>
      </c>
      <c r="J50" s="81">
        <v>5.6845721116110929E-4</v>
      </c>
      <c r="K50" s="118" t="s">
        <v>1408</v>
      </c>
      <c r="L50" s="118" t="s">
        <v>1408</v>
      </c>
      <c r="M50" s="118" t="s">
        <v>1408</v>
      </c>
      <c r="N50" s="118" t="s">
        <v>1408</v>
      </c>
      <c r="O50" s="118" t="s">
        <v>1408</v>
      </c>
      <c r="P50" s="118" t="s">
        <v>1408</v>
      </c>
      <c r="Q50" s="118" t="s">
        <v>1408</v>
      </c>
      <c r="R50" s="118" t="s">
        <v>1408</v>
      </c>
      <c r="S50" s="118" t="s">
        <v>1408</v>
      </c>
      <c r="T50" s="118" t="s">
        <v>1408</v>
      </c>
      <c r="U50" s="118" t="s">
        <v>1408</v>
      </c>
      <c r="V50" s="118" t="s">
        <v>1408</v>
      </c>
      <c r="W50" s="118" t="s">
        <v>1408</v>
      </c>
      <c r="X50" s="118" t="s">
        <v>1408</v>
      </c>
      <c r="Y50" s="118" t="s">
        <v>1408</v>
      </c>
      <c r="Z50" s="33"/>
    </row>
    <row r="51" spans="1:26">
      <c r="A51" s="112"/>
      <c r="B51" s="83" t="s">
        <v>12</v>
      </c>
      <c r="C51" s="77">
        <v>0</v>
      </c>
      <c r="D51" s="78">
        <v>0</v>
      </c>
      <c r="E51" s="79">
        <v>0</v>
      </c>
      <c r="F51" s="80">
        <v>0</v>
      </c>
      <c r="G51" s="77">
        <v>1.3836579567037369E-6</v>
      </c>
      <c r="H51" s="78">
        <v>2.6155571289666618E-5</v>
      </c>
      <c r="I51" s="79">
        <v>-3.4425245646810433E-8</v>
      </c>
      <c r="J51" s="81">
        <v>3.1363674143569254E-5</v>
      </c>
      <c r="K51" s="118" t="s">
        <v>1408</v>
      </c>
      <c r="L51" s="118" t="s">
        <v>1408</v>
      </c>
      <c r="M51" s="118" t="s">
        <v>1408</v>
      </c>
      <c r="N51" s="118" t="s">
        <v>1408</v>
      </c>
      <c r="O51" s="118" t="s">
        <v>1408</v>
      </c>
      <c r="P51" s="118" t="s">
        <v>1408</v>
      </c>
      <c r="Q51" s="118" t="s">
        <v>1408</v>
      </c>
      <c r="R51" s="118" t="s">
        <v>1408</v>
      </c>
      <c r="S51" s="118" t="s">
        <v>1408</v>
      </c>
      <c r="T51" s="118" t="s">
        <v>1408</v>
      </c>
      <c r="U51" s="118" t="s">
        <v>1408</v>
      </c>
      <c r="V51" s="118" t="s">
        <v>1408</v>
      </c>
      <c r="W51" s="118" t="s">
        <v>1408</v>
      </c>
      <c r="X51" s="118" t="s">
        <v>1408</v>
      </c>
      <c r="Y51" s="118" t="s">
        <v>1408</v>
      </c>
      <c r="Z51" s="33"/>
    </row>
    <row r="52" spans="1:26">
      <c r="A52" s="112"/>
      <c r="B52" s="83" t="s">
        <v>13</v>
      </c>
      <c r="C52" s="77">
        <v>6.9828866138124841E-5</v>
      </c>
      <c r="D52" s="78">
        <v>2.8938502115207453E-3</v>
      </c>
      <c r="E52" s="79">
        <v>1.5029540603057683E-4</v>
      </c>
      <c r="F52" s="80">
        <v>2.918863947484477E-3</v>
      </c>
      <c r="G52" s="77">
        <v>2.2117703570328508E-4</v>
      </c>
      <c r="H52" s="78">
        <v>2.6935235200338668E-3</v>
      </c>
      <c r="I52" s="79">
        <v>1.9422597006126855E-4</v>
      </c>
      <c r="J52" s="81">
        <v>2.2998743580846287E-3</v>
      </c>
      <c r="K52" s="118" t="s">
        <v>1408</v>
      </c>
      <c r="L52" s="118" t="s">
        <v>1408</v>
      </c>
      <c r="M52" s="118" t="s">
        <v>1408</v>
      </c>
      <c r="N52" s="118" t="s">
        <v>1408</v>
      </c>
      <c r="O52" s="118" t="s">
        <v>1408</v>
      </c>
      <c r="P52" s="118" t="s">
        <v>1408</v>
      </c>
      <c r="Q52" s="118" t="s">
        <v>1408</v>
      </c>
      <c r="R52" s="118" t="s">
        <v>1408</v>
      </c>
      <c r="S52" s="118" t="s">
        <v>1408</v>
      </c>
      <c r="T52" s="118" t="s">
        <v>1408</v>
      </c>
      <c r="U52" s="118" t="s">
        <v>1408</v>
      </c>
      <c r="V52" s="118" t="s">
        <v>1408</v>
      </c>
      <c r="W52" s="118" t="s">
        <v>1408</v>
      </c>
      <c r="X52" s="118" t="s">
        <v>1408</v>
      </c>
      <c r="Y52" s="118" t="s">
        <v>1408</v>
      </c>
      <c r="Z52" s="33"/>
    </row>
    <row r="53" spans="1:26">
      <c r="A53" s="112"/>
      <c r="B53" s="83" t="s">
        <v>14</v>
      </c>
      <c r="C53" s="77">
        <v>0</v>
      </c>
      <c r="D53" s="78">
        <v>0</v>
      </c>
      <c r="E53" s="79">
        <v>0</v>
      </c>
      <c r="F53" s="80">
        <v>0</v>
      </c>
      <c r="G53" s="77">
        <v>0</v>
      </c>
      <c r="H53" s="78">
        <v>0</v>
      </c>
      <c r="I53" s="79">
        <v>0</v>
      </c>
      <c r="J53" s="81">
        <v>0</v>
      </c>
      <c r="K53" s="118" t="s">
        <v>1408</v>
      </c>
      <c r="L53" s="118" t="s">
        <v>1408</v>
      </c>
      <c r="M53" s="118" t="s">
        <v>1408</v>
      </c>
      <c r="N53" s="118" t="s">
        <v>1408</v>
      </c>
      <c r="O53" s="118" t="s">
        <v>1408</v>
      </c>
      <c r="P53" s="118" t="s">
        <v>1408</v>
      </c>
      <c r="Q53" s="118" t="s">
        <v>1408</v>
      </c>
      <c r="R53" s="118" t="s">
        <v>1408</v>
      </c>
      <c r="S53" s="118" t="s">
        <v>1408</v>
      </c>
      <c r="T53" s="118" t="s">
        <v>1408</v>
      </c>
      <c r="U53" s="118" t="s">
        <v>1408</v>
      </c>
      <c r="V53" s="118" t="s">
        <v>1408</v>
      </c>
      <c r="W53" s="118" t="s">
        <v>1408</v>
      </c>
      <c r="X53" s="118" t="s">
        <v>1408</v>
      </c>
      <c r="Y53" s="118" t="s">
        <v>1408</v>
      </c>
      <c r="Z53" s="33"/>
    </row>
    <row r="54" spans="1:26">
      <c r="A54" s="112"/>
      <c r="B54" s="83" t="s">
        <v>15</v>
      </c>
      <c r="C54" s="77">
        <v>0</v>
      </c>
      <c r="D54" s="78">
        <v>0</v>
      </c>
      <c r="E54" s="79">
        <v>0</v>
      </c>
      <c r="F54" s="80">
        <v>0</v>
      </c>
      <c r="G54" s="77">
        <v>0</v>
      </c>
      <c r="H54" s="78">
        <v>0</v>
      </c>
      <c r="I54" s="79">
        <v>0</v>
      </c>
      <c r="J54" s="81">
        <v>0</v>
      </c>
      <c r="K54" s="118" t="s">
        <v>1408</v>
      </c>
      <c r="L54" s="118" t="s">
        <v>1408</v>
      </c>
      <c r="M54" s="118" t="s">
        <v>1408</v>
      </c>
      <c r="N54" s="118" t="s">
        <v>1408</v>
      </c>
      <c r="O54" s="118" t="s">
        <v>1408</v>
      </c>
      <c r="P54" s="118" t="s">
        <v>1408</v>
      </c>
      <c r="Q54" s="118" t="s">
        <v>1408</v>
      </c>
      <c r="R54" s="118" t="s">
        <v>1408</v>
      </c>
      <c r="S54" s="118" t="s">
        <v>1408</v>
      </c>
      <c r="T54" s="118" t="s">
        <v>1408</v>
      </c>
      <c r="U54" s="118" t="s">
        <v>1408</v>
      </c>
      <c r="V54" s="118" t="s">
        <v>1408</v>
      </c>
      <c r="W54" s="118" t="s">
        <v>1408</v>
      </c>
      <c r="X54" s="118" t="s">
        <v>1408</v>
      </c>
      <c r="Y54" s="118" t="s">
        <v>1408</v>
      </c>
      <c r="Z54" s="33"/>
    </row>
    <row r="55" spans="1:26">
      <c r="A55" s="112"/>
      <c r="B55" s="83" t="s">
        <v>16</v>
      </c>
      <c r="C55" s="77">
        <v>1.1962523958376994E-5</v>
      </c>
      <c r="D55" s="78">
        <v>3.2310903726490777E-3</v>
      </c>
      <c r="E55" s="79">
        <v>7.080475096269758E-5</v>
      </c>
      <c r="F55" s="80">
        <v>2.9621969032472208E-3</v>
      </c>
      <c r="G55" s="77">
        <v>8.716451770284764E-5</v>
      </c>
      <c r="H55" s="78">
        <v>2.7667250101257915E-3</v>
      </c>
      <c r="I55" s="79">
        <v>1.2259493641031923E-4</v>
      </c>
      <c r="J55" s="81">
        <v>2.4425802174229908E-3</v>
      </c>
      <c r="K55" s="118" t="s">
        <v>1408</v>
      </c>
      <c r="L55" s="118" t="s">
        <v>1408</v>
      </c>
      <c r="M55" s="118" t="s">
        <v>1408</v>
      </c>
      <c r="N55" s="118" t="s">
        <v>1408</v>
      </c>
      <c r="O55" s="118" t="s">
        <v>1408</v>
      </c>
      <c r="P55" s="118" t="s">
        <v>1408</v>
      </c>
      <c r="Q55" s="118" t="s">
        <v>1408</v>
      </c>
      <c r="R55" s="118" t="s">
        <v>1408</v>
      </c>
      <c r="S55" s="118" t="s">
        <v>1408</v>
      </c>
      <c r="T55" s="118" t="s">
        <v>1408</v>
      </c>
      <c r="U55" s="118" t="s">
        <v>1408</v>
      </c>
      <c r="V55" s="118" t="s">
        <v>1408</v>
      </c>
      <c r="W55" s="118" t="s">
        <v>1408</v>
      </c>
      <c r="X55" s="118" t="s">
        <v>1408</v>
      </c>
      <c r="Y55" s="118" t="s">
        <v>1408</v>
      </c>
      <c r="Z55" s="33"/>
    </row>
    <row r="56" spans="1:26">
      <c r="A56" s="112"/>
      <c r="B56" s="83" t="s">
        <v>17</v>
      </c>
      <c r="C56" s="77">
        <v>7.1074040548801058E-6</v>
      </c>
      <c r="D56" s="78">
        <v>2.4146220620410448E-4</v>
      </c>
      <c r="E56" s="79">
        <v>1.2208759661066069E-5</v>
      </c>
      <c r="F56" s="80">
        <v>7.0600327599330186E-5</v>
      </c>
      <c r="G56" s="77">
        <v>1.1775023528030618E-5</v>
      </c>
      <c r="H56" s="78">
        <v>2.6103810124709589E-5</v>
      </c>
      <c r="I56" s="79">
        <v>1.1138272553963205E-5</v>
      </c>
      <c r="J56" s="81">
        <v>2.7810561969394562E-5</v>
      </c>
      <c r="K56" s="118" t="s">
        <v>1408</v>
      </c>
      <c r="L56" s="118" t="s">
        <v>1408</v>
      </c>
      <c r="M56" s="118" t="s">
        <v>1408</v>
      </c>
      <c r="N56" s="118" t="s">
        <v>1408</v>
      </c>
      <c r="O56" s="118" t="s">
        <v>1408</v>
      </c>
      <c r="P56" s="118" t="s">
        <v>1408</v>
      </c>
      <c r="Q56" s="118" t="s">
        <v>1408</v>
      </c>
      <c r="R56" s="118" t="s">
        <v>1408</v>
      </c>
      <c r="S56" s="118" t="s">
        <v>1408</v>
      </c>
      <c r="T56" s="118" t="s">
        <v>1408</v>
      </c>
      <c r="U56" s="118" t="s">
        <v>1408</v>
      </c>
      <c r="V56" s="118" t="s">
        <v>1408</v>
      </c>
      <c r="W56" s="118" t="s">
        <v>1408</v>
      </c>
      <c r="X56" s="118" t="s">
        <v>1408</v>
      </c>
      <c r="Y56" s="118" t="s">
        <v>1408</v>
      </c>
      <c r="Z56" s="33"/>
    </row>
    <row r="57" spans="1:26">
      <c r="A57" s="112"/>
      <c r="B57" s="84" t="s">
        <v>25</v>
      </c>
      <c r="C57" s="85">
        <v>8.1437351517759105E-2</v>
      </c>
      <c r="D57" s="86">
        <v>1.0000000000000002</v>
      </c>
      <c r="E57" s="87">
        <v>8.7267329621502299E-2</v>
      </c>
      <c r="F57" s="88">
        <v>1.0000000000000002</v>
      </c>
      <c r="G57" s="85">
        <v>0.15244364602795857</v>
      </c>
      <c r="H57" s="86">
        <v>1</v>
      </c>
      <c r="I57" s="87">
        <v>0.21189589643449547</v>
      </c>
      <c r="J57" s="89">
        <v>1</v>
      </c>
      <c r="K57" s="118" t="s">
        <v>1408</v>
      </c>
      <c r="L57" s="118" t="s">
        <v>1408</v>
      </c>
      <c r="M57" s="118" t="s">
        <v>1408</v>
      </c>
      <c r="N57" s="118" t="s">
        <v>1408</v>
      </c>
      <c r="O57" s="118" t="s">
        <v>1408</v>
      </c>
      <c r="P57" s="118" t="s">
        <v>1408</v>
      </c>
      <c r="Q57" s="118" t="s">
        <v>1408</v>
      </c>
      <c r="R57" s="118" t="s">
        <v>1408</v>
      </c>
      <c r="S57" s="118" t="s">
        <v>1408</v>
      </c>
      <c r="T57" s="118" t="s">
        <v>1408</v>
      </c>
      <c r="U57" s="118" t="s">
        <v>1408</v>
      </c>
      <c r="V57" s="118" t="s">
        <v>1408</v>
      </c>
      <c r="W57" s="118" t="s">
        <v>1408</v>
      </c>
      <c r="X57" s="118" t="s">
        <v>1408</v>
      </c>
      <c r="Y57" s="118" t="s">
        <v>1408</v>
      </c>
      <c r="Z57" s="33"/>
    </row>
    <row r="58" spans="1:26">
      <c r="A58" s="112"/>
      <c r="B58" s="90" t="s">
        <v>24</v>
      </c>
      <c r="C58" s="91">
        <v>7644.2</v>
      </c>
      <c r="D58" s="115"/>
      <c r="E58" s="92">
        <v>8302.84</v>
      </c>
      <c r="F58" s="115"/>
      <c r="G58" s="91">
        <v>15105.494999999999</v>
      </c>
      <c r="H58" s="115"/>
      <c r="I58" s="92">
        <v>21536.435000000001</v>
      </c>
      <c r="J58" s="119"/>
      <c r="K58" s="118" t="s">
        <v>1408</v>
      </c>
      <c r="L58" s="118" t="s">
        <v>1408</v>
      </c>
      <c r="M58" s="118" t="s">
        <v>1408</v>
      </c>
      <c r="N58" s="118" t="s">
        <v>1408</v>
      </c>
      <c r="O58" s="118" t="s">
        <v>1408</v>
      </c>
      <c r="P58" s="118" t="s">
        <v>1408</v>
      </c>
      <c r="Q58" s="118" t="s">
        <v>1408</v>
      </c>
      <c r="R58" s="118" t="s">
        <v>1408</v>
      </c>
      <c r="S58" s="118" t="s">
        <v>1408</v>
      </c>
      <c r="T58" s="118" t="s">
        <v>1408</v>
      </c>
      <c r="U58" s="118" t="s">
        <v>1408</v>
      </c>
      <c r="V58" s="118" t="s">
        <v>1408</v>
      </c>
      <c r="W58" s="118" t="s">
        <v>1408</v>
      </c>
      <c r="X58" s="118" t="s">
        <v>1408</v>
      </c>
      <c r="Y58" s="118" t="s">
        <v>1408</v>
      </c>
      <c r="Z58" s="33"/>
    </row>
    <row r="59" spans="1:26">
      <c r="A59" s="112"/>
      <c r="B59" s="116"/>
      <c r="C59" s="117"/>
      <c r="D59" s="117"/>
      <c r="E59" s="117"/>
      <c r="F59" s="117"/>
      <c r="G59" s="117"/>
      <c r="H59" s="117"/>
      <c r="I59" s="117"/>
      <c r="J59" s="120"/>
      <c r="K59" s="118" t="s">
        <v>1408</v>
      </c>
      <c r="L59" s="118" t="s">
        <v>1408</v>
      </c>
      <c r="M59" s="118" t="s">
        <v>1408</v>
      </c>
      <c r="N59" s="118" t="s">
        <v>1408</v>
      </c>
      <c r="O59" s="118" t="s">
        <v>1408</v>
      </c>
      <c r="P59" s="118" t="s">
        <v>1408</v>
      </c>
      <c r="Q59" s="118" t="s">
        <v>1408</v>
      </c>
      <c r="R59" s="118" t="s">
        <v>1408</v>
      </c>
      <c r="S59" s="118" t="s">
        <v>1408</v>
      </c>
      <c r="T59" s="118" t="s">
        <v>1408</v>
      </c>
      <c r="U59" s="118" t="s">
        <v>1408</v>
      </c>
      <c r="V59" s="118" t="s">
        <v>1408</v>
      </c>
      <c r="W59" s="118" t="s">
        <v>1408</v>
      </c>
      <c r="X59" s="118" t="s">
        <v>1408</v>
      </c>
      <c r="Y59" s="118" t="s">
        <v>1408</v>
      </c>
      <c r="Z59" s="33"/>
    </row>
    <row r="60" spans="1:26">
      <c r="A60" s="112"/>
      <c r="B60" s="76" t="s">
        <v>19</v>
      </c>
      <c r="C60" s="95">
        <v>2.9367247556636573E-2</v>
      </c>
      <c r="D60" s="96">
        <v>0.64432124684479108</v>
      </c>
      <c r="E60" s="97">
        <v>9.6361319003396093E-3</v>
      </c>
      <c r="F60" s="98">
        <v>0.62229554691111655</v>
      </c>
      <c r="G60" s="95">
        <v>4.526708103216296E-2</v>
      </c>
      <c r="H60" s="96">
        <v>0.62626339193581626</v>
      </c>
      <c r="I60" s="97">
        <v>0.11303542281920523</v>
      </c>
      <c r="J60" s="99">
        <v>0.66051854213016481</v>
      </c>
      <c r="K60" s="118" t="s">
        <v>1408</v>
      </c>
      <c r="L60" s="118" t="s">
        <v>1408</v>
      </c>
      <c r="M60" s="118" t="s">
        <v>1408</v>
      </c>
      <c r="N60" s="118" t="s">
        <v>1408</v>
      </c>
      <c r="O60" s="118" t="s">
        <v>1408</v>
      </c>
      <c r="P60" s="118" t="s">
        <v>1408</v>
      </c>
      <c r="Q60" s="118" t="s">
        <v>1408</v>
      </c>
      <c r="R60" s="118" t="s">
        <v>1408</v>
      </c>
      <c r="S60" s="118" t="s">
        <v>1408</v>
      </c>
      <c r="T60" s="118" t="s">
        <v>1408</v>
      </c>
      <c r="U60" s="118" t="s">
        <v>1408</v>
      </c>
      <c r="V60" s="118" t="s">
        <v>1408</v>
      </c>
      <c r="W60" s="118" t="s">
        <v>1408</v>
      </c>
      <c r="X60" s="118" t="s">
        <v>1408</v>
      </c>
      <c r="Y60" s="118" t="s">
        <v>1408</v>
      </c>
      <c r="Z60" s="33"/>
    </row>
    <row r="61" spans="1:26">
      <c r="A61" s="112"/>
      <c r="B61" s="83" t="s">
        <v>20</v>
      </c>
      <c r="C61" s="77">
        <v>5.2070103961122535E-2</v>
      </c>
      <c r="D61" s="78">
        <v>0.35567875315520903</v>
      </c>
      <c r="E61" s="79">
        <v>7.7631197721162684E-2</v>
      </c>
      <c r="F61" s="80">
        <v>0.37770445308888345</v>
      </c>
      <c r="G61" s="77">
        <v>0.1071765649957956</v>
      </c>
      <c r="H61" s="78">
        <v>0.37373660806418374</v>
      </c>
      <c r="I61" s="79">
        <v>9.8860473615290254E-2</v>
      </c>
      <c r="J61" s="81">
        <v>0.33948145786983513</v>
      </c>
      <c r="K61" s="118" t="s">
        <v>1408</v>
      </c>
      <c r="L61" s="118" t="s">
        <v>1408</v>
      </c>
      <c r="M61" s="118" t="s">
        <v>1408</v>
      </c>
      <c r="N61" s="118" t="s">
        <v>1408</v>
      </c>
      <c r="O61" s="118" t="s">
        <v>1408</v>
      </c>
      <c r="P61" s="118" t="s">
        <v>1408</v>
      </c>
      <c r="Q61" s="118" t="s">
        <v>1408</v>
      </c>
      <c r="R61" s="118" t="s">
        <v>1408</v>
      </c>
      <c r="S61" s="118" t="s">
        <v>1408</v>
      </c>
      <c r="T61" s="118" t="s">
        <v>1408</v>
      </c>
      <c r="U61" s="118" t="s">
        <v>1408</v>
      </c>
      <c r="V61" s="118" t="s">
        <v>1408</v>
      </c>
      <c r="W61" s="118" t="s">
        <v>1408</v>
      </c>
      <c r="X61" s="118" t="s">
        <v>1408</v>
      </c>
      <c r="Y61" s="118" t="s">
        <v>1408</v>
      </c>
      <c r="Z61" s="33"/>
    </row>
    <row r="62" spans="1:26">
      <c r="A62" s="112"/>
      <c r="B62" s="84" t="s">
        <v>25</v>
      </c>
      <c r="C62" s="85">
        <v>8.1437351517759105E-2</v>
      </c>
      <c r="D62" s="86">
        <v>1</v>
      </c>
      <c r="E62" s="87">
        <v>8.7267329621502299E-2</v>
      </c>
      <c r="F62" s="88">
        <v>1</v>
      </c>
      <c r="G62" s="85">
        <v>0.15244364602795857</v>
      </c>
      <c r="H62" s="86">
        <v>1</v>
      </c>
      <c r="I62" s="87">
        <v>0.21189589643449547</v>
      </c>
      <c r="J62" s="89">
        <v>1</v>
      </c>
      <c r="K62" s="118" t="s">
        <v>1408</v>
      </c>
      <c r="L62" s="118" t="s">
        <v>1408</v>
      </c>
      <c r="M62" s="118" t="s">
        <v>1408</v>
      </c>
      <c r="N62" s="118" t="s">
        <v>1408</v>
      </c>
      <c r="O62" s="118" t="s">
        <v>1408</v>
      </c>
      <c r="P62" s="118" t="s">
        <v>1408</v>
      </c>
      <c r="Q62" s="118" t="s">
        <v>1408</v>
      </c>
      <c r="R62" s="118" t="s">
        <v>1408</v>
      </c>
      <c r="S62" s="118" t="s">
        <v>1408</v>
      </c>
      <c r="T62" s="118" t="s">
        <v>1408</v>
      </c>
      <c r="U62" s="118" t="s">
        <v>1408</v>
      </c>
      <c r="V62" s="118" t="s">
        <v>1408</v>
      </c>
      <c r="W62" s="118" t="s">
        <v>1408</v>
      </c>
      <c r="X62" s="118" t="s">
        <v>1408</v>
      </c>
      <c r="Y62" s="118" t="s">
        <v>1408</v>
      </c>
      <c r="Z62" s="33"/>
    </row>
    <row r="63" spans="1:26">
      <c r="A63" s="112"/>
      <c r="B63" s="116"/>
      <c r="C63" s="117"/>
      <c r="D63" s="117"/>
      <c r="E63" s="117"/>
      <c r="F63" s="117"/>
      <c r="G63" s="117"/>
      <c r="H63" s="117"/>
      <c r="I63" s="117"/>
      <c r="J63" s="120"/>
      <c r="K63" s="118" t="s">
        <v>1408</v>
      </c>
      <c r="L63" s="118" t="s">
        <v>1408</v>
      </c>
      <c r="M63" s="118" t="s">
        <v>1408</v>
      </c>
      <c r="N63" s="118" t="s">
        <v>1408</v>
      </c>
      <c r="O63" s="118" t="s">
        <v>1408</v>
      </c>
      <c r="P63" s="118" t="s">
        <v>1408</v>
      </c>
      <c r="Q63" s="118" t="s">
        <v>1408</v>
      </c>
      <c r="R63" s="118" t="s">
        <v>1408</v>
      </c>
      <c r="S63" s="118" t="s">
        <v>1408</v>
      </c>
      <c r="T63" s="118" t="s">
        <v>1408</v>
      </c>
      <c r="U63" s="118" t="s">
        <v>1408</v>
      </c>
      <c r="V63" s="118" t="s">
        <v>1408</v>
      </c>
      <c r="W63" s="118" t="s">
        <v>1408</v>
      </c>
      <c r="X63" s="118" t="s">
        <v>1408</v>
      </c>
      <c r="Y63" s="118" t="s">
        <v>1408</v>
      </c>
      <c r="Z63" s="33"/>
    </row>
    <row r="64" spans="1:26">
      <c r="A64" s="112"/>
      <c r="B64" s="76" t="s">
        <v>21</v>
      </c>
      <c r="C64" s="95">
        <v>7.4464524427530321E-2</v>
      </c>
      <c r="D64" s="96">
        <v>0.95009946920315158</v>
      </c>
      <c r="E64" s="97">
        <v>8.1175087878365665E-2</v>
      </c>
      <c r="F64" s="98">
        <v>0.95871399726006812</v>
      </c>
      <c r="G64" s="95">
        <v>0.14441267449685866</v>
      </c>
      <c r="H64" s="96">
        <v>0.95860752307586228</v>
      </c>
      <c r="I64" s="97">
        <v>0.19727322636829286</v>
      </c>
      <c r="J64" s="99">
        <v>0.9580582793949417</v>
      </c>
      <c r="K64" s="118" t="s">
        <v>1408</v>
      </c>
      <c r="L64" s="118" t="s">
        <v>1408</v>
      </c>
      <c r="M64" s="118" t="s">
        <v>1408</v>
      </c>
      <c r="N64" s="118" t="s">
        <v>1408</v>
      </c>
      <c r="O64" s="118" t="s">
        <v>1408</v>
      </c>
      <c r="P64" s="118" t="s">
        <v>1408</v>
      </c>
      <c r="Q64" s="118" t="s">
        <v>1408</v>
      </c>
      <c r="R64" s="118" t="s">
        <v>1408</v>
      </c>
      <c r="S64" s="118" t="s">
        <v>1408</v>
      </c>
      <c r="T64" s="118" t="s">
        <v>1408</v>
      </c>
      <c r="U64" s="118" t="s">
        <v>1408</v>
      </c>
      <c r="V64" s="118" t="s">
        <v>1408</v>
      </c>
      <c r="W64" s="118" t="s">
        <v>1408</v>
      </c>
      <c r="X64" s="118" t="s">
        <v>1408</v>
      </c>
      <c r="Y64" s="118" t="s">
        <v>1408</v>
      </c>
      <c r="Z64" s="33"/>
    </row>
    <row r="65" spans="1:26">
      <c r="A65" s="112"/>
      <c r="B65" s="83" t="s">
        <v>22</v>
      </c>
      <c r="C65" s="77">
        <v>6.972827090228775E-3</v>
      </c>
      <c r="D65" s="78">
        <v>4.9900530796848461E-2</v>
      </c>
      <c r="E65" s="79">
        <v>6.0922417431366355E-3</v>
      </c>
      <c r="F65" s="80">
        <v>4.1286002739931993E-2</v>
      </c>
      <c r="G65" s="77">
        <v>8.030971531099905E-3</v>
      </c>
      <c r="H65" s="78">
        <v>4.1392476924137722E-2</v>
      </c>
      <c r="I65" s="79">
        <v>1.46226700662026E-2</v>
      </c>
      <c r="J65" s="81">
        <v>4.1941720605058151E-2</v>
      </c>
      <c r="K65" s="118" t="s">
        <v>1408</v>
      </c>
      <c r="L65" s="118" t="s">
        <v>1408</v>
      </c>
      <c r="M65" s="118" t="s">
        <v>1408</v>
      </c>
      <c r="N65" s="118" t="s">
        <v>1408</v>
      </c>
      <c r="O65" s="118" t="s">
        <v>1408</v>
      </c>
      <c r="P65" s="118" t="s">
        <v>1408</v>
      </c>
      <c r="Q65" s="118" t="s">
        <v>1408</v>
      </c>
      <c r="R65" s="118" t="s">
        <v>1408</v>
      </c>
      <c r="S65" s="118" t="s">
        <v>1408</v>
      </c>
      <c r="T65" s="118" t="s">
        <v>1408</v>
      </c>
      <c r="U65" s="118" t="s">
        <v>1408</v>
      </c>
      <c r="V65" s="118" t="s">
        <v>1408</v>
      </c>
      <c r="W65" s="118" t="s">
        <v>1408</v>
      </c>
      <c r="X65" s="118" t="s">
        <v>1408</v>
      </c>
      <c r="Y65" s="118" t="s">
        <v>1408</v>
      </c>
      <c r="Z65" s="33"/>
    </row>
    <row r="66" spans="1:26">
      <c r="A66" s="112"/>
      <c r="B66" s="100" t="s">
        <v>25</v>
      </c>
      <c r="C66" s="101">
        <v>8.1437351517759105E-2</v>
      </c>
      <c r="D66" s="102">
        <v>1</v>
      </c>
      <c r="E66" s="103">
        <v>8.7267329621502299E-2</v>
      </c>
      <c r="F66" s="104">
        <v>1</v>
      </c>
      <c r="G66" s="101">
        <v>0.15244364602795857</v>
      </c>
      <c r="H66" s="102">
        <v>1</v>
      </c>
      <c r="I66" s="103">
        <v>0.21189589643449547</v>
      </c>
      <c r="J66" s="105">
        <v>0.99999999999999989</v>
      </c>
      <c r="K66" s="118" t="s">
        <v>1408</v>
      </c>
      <c r="L66" s="118" t="s">
        <v>1408</v>
      </c>
      <c r="M66" s="118" t="s">
        <v>1408</v>
      </c>
      <c r="N66" s="118" t="s">
        <v>1408</v>
      </c>
      <c r="O66" s="118" t="s">
        <v>1408</v>
      </c>
      <c r="P66" s="118" t="s">
        <v>1408</v>
      </c>
      <c r="Q66" s="118" t="s">
        <v>1408</v>
      </c>
      <c r="R66" s="118" t="s">
        <v>1408</v>
      </c>
      <c r="S66" s="118" t="s">
        <v>1408</v>
      </c>
      <c r="T66" s="118" t="s">
        <v>1408</v>
      </c>
      <c r="U66" s="118" t="s">
        <v>1408</v>
      </c>
      <c r="V66" s="118" t="s">
        <v>1408</v>
      </c>
      <c r="W66" s="118" t="s">
        <v>1408</v>
      </c>
      <c r="X66" s="118" t="s">
        <v>1408</v>
      </c>
      <c r="Y66" s="118" t="s">
        <v>1408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.12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 hidden="1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24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2024</v>
      </c>
      <c r="AE4" t="s">
        <v>901</v>
      </c>
    </row>
    <row r="5" spans="1:33" ht="28.5" hidden="1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 hidden="1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31.03.24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 hidden="1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30.06.24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 hidden="1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30.09.24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 hidden="1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31.12.24</v>
      </c>
      <c r="AB9">
        <v>4</v>
      </c>
      <c r="AE9" t="s">
        <v>1375</v>
      </c>
      <c r="AF9" t="s">
        <v>1376</v>
      </c>
      <c r="AG9" t="s">
        <v>1250</v>
      </c>
    </row>
    <row r="10" spans="1:33" ht="28.5" hidden="1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 hidden="1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 hidden="1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 hidden="1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 hidden="1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 hidden="1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 hidden="1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 hidden="1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 hidden="1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 hidden="1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 hidden="1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 hidden="1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 hidden="1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 hidden="1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 hidden="1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 hidden="1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 hidden="1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 hidden="1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 hidden="1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 hidden="1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 hidden="1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 hidden="1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 hidden="1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 hidden="1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 hidden="1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 hidden="1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 hidden="1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 hidden="1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 hidden="1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 hidden="1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 hidden="1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 hidden="1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 hidden="1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 hidden="1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 hidden="1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 hidden="1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 hidden="1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 hidden="1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 hidden="1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 hidden="1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 hidden="1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 hidden="1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 hidden="1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 hidden="1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 hidden="1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 hidden="1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 hidden="1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 hidden="1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 hidden="1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 hidden="1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 hidden="1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 hidden="1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 hidden="1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 hidden="1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 hidden="1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 hidden="1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 hidden="1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 hidden="1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 hidden="1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 hidden="1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 hidden="1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 hidden="1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 hidden="1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 hidden="1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 hidden="1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 hidden="1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 hidden="1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 hidden="1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 hidden="1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 hidden="1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 hidden="1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 hidden="1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 hidden="1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 hidden="1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 hidden="1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 hidden="1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 hidden="1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 hidden="1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 hidden="1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 hidden="1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 hidden="1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 hidden="1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 hidden="1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 hidden="1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 hidden="1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 hidden="1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 hidden="1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 hidden="1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 hidden="1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 hidden="1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 hidden="1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 hidden="1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 hidden="1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 hidden="1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 hidden="1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 hidden="1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 hidden="1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 hidden="1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 hidden="1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 hidden="1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 hidden="1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 hidden="1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 hidden="1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 hidden="1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 hidden="1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 hidden="1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 hidden="1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 hidden="1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 hidden="1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 hidden="1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 hidden="1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 hidden="1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 hidden="1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 hidden="1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 hidden="1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 hidden="1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 hidden="1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 hidden="1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 hidden="1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 hidden="1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 hidden="1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 hidden="1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 hidden="1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 hidden="1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 hidden="1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 hidden="1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 hidden="1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 hidden="1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 hidden="1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 hidden="1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 hidden="1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 hidden="1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 hidden="1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 hidden="1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 hidden="1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 hidden="1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 hidden="1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 hidden="1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 hidden="1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 hidden="1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 hidden="1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 hidden="1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 hidden="1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 hidden="1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 hidden="1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 hidden="1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 hidden="1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 hidden="1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 hidden="1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 hidden="1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 hidden="1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 hidden="1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 hidden="1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 hidden="1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 hidden="1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 hidden="1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 hidden="1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 hidden="1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 hidden="1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idden="1">
      <c r="A195" s="53">
        <v>100000</v>
      </c>
      <c r="B195" s="55" t="s">
        <v>86</v>
      </c>
      <c r="C195" s="55" t="s">
        <v>1395</v>
      </c>
      <c r="D195" s="62" t="s">
        <v>896</v>
      </c>
      <c r="E195" s="63">
        <v>123456789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 hidden="1">
      <c r="A196" s="53">
        <v>100000</v>
      </c>
      <c r="B196" s="55" t="s">
        <v>86</v>
      </c>
      <c r="C196" s="55" t="s">
        <v>1395</v>
      </c>
      <c r="D196" s="62" t="s">
        <v>896</v>
      </c>
      <c r="E196" s="63">
        <v>123456789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idden="1">
      <c r="A197" s="53">
        <v>100000</v>
      </c>
      <c r="B197" s="55" t="s">
        <v>86</v>
      </c>
      <c r="C197" s="55" t="s">
        <v>1395</v>
      </c>
      <c r="D197" s="62" t="s">
        <v>896</v>
      </c>
      <c r="E197" s="63">
        <v>123456789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idden="1">
      <c r="A198" s="53">
        <v>100000</v>
      </c>
      <c r="B198" s="55" t="s">
        <v>86</v>
      </c>
      <c r="C198" s="55" t="s">
        <v>1395</v>
      </c>
      <c r="D198" s="62" t="s">
        <v>896</v>
      </c>
      <c r="E198" s="63">
        <v>123456789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idden="1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idden="1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 hidden="1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 hidden="1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 hidden="1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 hidden="1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 hidden="1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 hidden="1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 hidden="1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 hidden="1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 hidden="1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 hidden="1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 hidden="1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 hidden="1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 hidden="1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 hidden="1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 hidden="1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 hidden="1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 hidden="1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 hidden="1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 hidden="1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 hidden="1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 hidden="1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 hidden="1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 hidden="1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 hidden="1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 hidden="1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 hidden="1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 hidden="1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 hidden="1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 hidden="1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 hidden="1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 hidden="1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 hidden="1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 hidden="1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 hidden="1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 hidden="1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 hidden="1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 hidden="1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 hidden="1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 hidden="1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 hidden="1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 hidden="1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 hidden="1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 hidden="1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 hidden="1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 hidden="1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 hidden="1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 hidden="1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 hidden="1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 hidden="1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 hidden="1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 hidden="1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 hidden="1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 hidden="1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 hidden="1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 hidden="1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 hidden="1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 hidden="1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 hidden="1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 hidden="1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 hidden="1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 hidden="1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 hidden="1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 hidden="1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 hidden="1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 hidden="1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 hidden="1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 hidden="1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 hidden="1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 hidden="1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 hidden="1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 hidden="1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 hidden="1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 hidden="1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 hidden="1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 hidden="1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 hidden="1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 hidden="1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 hidden="1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 hidden="1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 hidden="1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 hidden="1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 hidden="1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 hidden="1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 hidden="1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400000</v>
      </c>
      <c r="N286" s="67" t="s">
        <v>86</v>
      </c>
      <c r="O286" s="67" t="s">
        <v>1397</v>
      </c>
      <c r="P286" s="67" t="s">
        <v>83</v>
      </c>
      <c r="Q286" s="66">
        <v>123456789</v>
      </c>
      <c r="R286" s="61" t="s">
        <v>179</v>
      </c>
    </row>
    <row r="287" spans="7:18" hidden="1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400000</v>
      </c>
      <c r="N287" s="67" t="s">
        <v>86</v>
      </c>
      <c r="O287" s="67" t="s">
        <v>1397</v>
      </c>
      <c r="P287" s="67" t="s">
        <v>83</v>
      </c>
      <c r="Q287" s="66">
        <v>123456789</v>
      </c>
      <c r="R287" s="61" t="s">
        <v>179</v>
      </c>
    </row>
    <row r="288" spans="7:18" hidden="1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 hidden="1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 hidden="1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 hidden="1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 hidden="1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 hidden="1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 hidden="1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 hidden="1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 hidden="1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 hidden="1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 hidden="1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 hidden="1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 hidden="1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 hidden="1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 hidden="1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 hidden="1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 hidden="1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 hidden="1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 hidden="1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 hidden="1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 hidden="1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 hidden="1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 hidden="1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 hidden="1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 hidden="1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 hidden="1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 hidden="1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 hidden="1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 hidden="1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 hidden="1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 hidden="1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 hidden="1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 hidden="1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 hidden="1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 hidden="1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 hidden="1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 hidden="1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 hidden="1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 hidden="1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 hidden="1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 hidden="1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 hidden="1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 hidden="1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 hidden="1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 hidden="1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 hidden="1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 hidden="1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 hidden="1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 hidden="1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 hidden="1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 hidden="1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 hidden="1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 hidden="1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 hidden="1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 hidden="1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 hidden="1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 hidden="1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 hidden="1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 hidden="1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 hidden="1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 hidden="1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 hidden="1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 hidden="1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 hidden="1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 hidden="1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 hidden="1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 hidden="1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 hidden="1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 hidden="1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 hidden="1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 hidden="1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 hidden="1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 hidden="1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 hidden="1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 hidden="1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 hidden="1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 hidden="1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 hidden="1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 hidden="1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 hidden="1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 hidden="1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 hidden="1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 hidden="1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 hidden="1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 hidden="1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 hidden="1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 hidden="1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 hidden="1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 hidden="1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 hidden="1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 hidden="1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 hidden="1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 hidden="1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 hidden="1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 hidden="1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 hidden="1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 hidden="1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 hidden="1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 hidden="1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 hidden="1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 hidden="1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 hidden="1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 hidden="1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 hidden="1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 hidden="1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 hidden="1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 hidden="1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 hidden="1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 hidden="1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 hidden="1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 hidden="1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 hidden="1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 hidden="1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 hidden="1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 hidden="1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 hidden="1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 hidden="1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 hidden="1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 hidden="1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 hidden="1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 hidden="1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 hidden="1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 hidden="1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 hidden="1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 hidden="1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 hidden="1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 hidden="1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 hidden="1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 hidden="1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 hidden="1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 hidden="1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 hidden="1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 hidden="1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 hidden="1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 hidden="1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 hidden="1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 hidden="1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 hidden="1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 hidden="1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 hidden="1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 hidden="1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 hidden="1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 hidden="1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 hidden="1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 hidden="1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 hidden="1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 hidden="1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 hidden="1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 hidden="1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 hidden="1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 hidden="1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 hidden="1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 hidden="1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 hidden="1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 hidden="1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 hidden="1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 hidden="1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 hidden="1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 hidden="1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 hidden="1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 hidden="1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 hidden="1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 hidden="1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 hidden="1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 hidden="1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 hidden="1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 hidden="1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 hidden="1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 hidden="1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 hidden="1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 hidden="1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 hidden="1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 hidden="1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 hidden="1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 hidden="1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 hidden="1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 hidden="1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 hidden="1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 hidden="1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 hidden="1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 hidden="1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 hidden="1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 hidden="1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 hidden="1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 hidden="1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 hidden="1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 hidden="1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 hidden="1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 hidden="1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 hidden="1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 hidden="1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 hidden="1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 hidden="1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 hidden="1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 hidden="1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 hidden="1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 hidden="1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 hidden="1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 hidden="1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 hidden="1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 hidden="1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 hidden="1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 hidden="1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 hidden="1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 hidden="1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 hidden="1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 hidden="1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 hidden="1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 hidden="1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 hidden="1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 hidden="1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 hidden="1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 hidden="1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 hidden="1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 hidden="1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 hidden="1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 hidden="1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 hidden="1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 hidden="1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 hidden="1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 hidden="1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 hidden="1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 hidden="1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 hidden="1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 hidden="1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 hidden="1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 hidden="1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 hidden="1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 hidden="1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 hidden="1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 hidden="1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 hidden="1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 hidden="1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 hidden="1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 hidden="1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 hidden="1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 hidden="1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 hidden="1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 hidden="1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 hidden="1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 hidden="1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 hidden="1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 hidden="1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 hidden="1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 hidden="1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 hidden="1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 hidden="1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 hidden="1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 hidden="1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 hidden="1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 hidden="1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 hidden="1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 hidden="1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 hidden="1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 hidden="1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 hidden="1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 hidden="1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 hidden="1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 hidden="1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 hidden="1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 hidden="1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 hidden="1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 hidden="1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 hidden="1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 hidden="1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 hidden="1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 hidden="1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 hidden="1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 hidden="1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 hidden="1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 hidden="1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 hidden="1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 hidden="1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 hidden="1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 hidden="1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 hidden="1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 hidden="1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 hidden="1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 hidden="1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 hidden="1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 hidden="1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 hidden="1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 hidden="1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 hidden="1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 hidden="1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 hidden="1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 hidden="1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 hidden="1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 hidden="1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 hidden="1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 hidden="1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 hidden="1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 hidden="1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 hidden="1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 hidden="1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 hidden="1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 hidden="1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 hidden="1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 hidden="1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 hidden="1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 hidden="1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 hidden="1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 hidden="1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 hidden="1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 hidden="1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 hidden="1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 hidden="1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 hidden="1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 hidden="1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 hidden="1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 hidden="1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 hidden="1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 hidden="1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 hidden="1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 hidden="1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 hidden="1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 hidden="1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 hidden="1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 hidden="1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 hidden="1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 hidden="1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 hidden="1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 hidden="1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 hidden="1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 hidden="1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 hidden="1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 hidden="1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 hidden="1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 hidden="1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 hidden="1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 hidden="1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 hidden="1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 hidden="1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 hidden="1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 hidden="1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 hidden="1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 hidden="1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 hidden="1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 hidden="1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 hidden="1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 hidden="1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 hidden="1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 hidden="1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 hidden="1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 hidden="1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 hidden="1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 hidden="1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 hidden="1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 hidden="1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 hidden="1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 hidden="1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 hidden="1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 hidden="1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 hidden="1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 hidden="1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 hidden="1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 hidden="1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 hidden="1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 hidden="1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 hidden="1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14943</v>
      </c>
      <c r="H700" s="64" t="s">
        <v>86</v>
      </c>
      <c r="I700" s="64" t="s">
        <v>1405</v>
      </c>
      <c r="J700" s="64" t="s">
        <v>116</v>
      </c>
      <c r="K700" s="65">
        <v>512237744</v>
      </c>
      <c r="L700" s="35" t="s">
        <v>88</v>
      </c>
    </row>
    <row r="701" spans="7:12">
      <c r="G701" s="64">
        <v>14944</v>
      </c>
      <c r="H701" s="64" t="s">
        <v>86</v>
      </c>
      <c r="I701" s="64" t="s">
        <v>1406</v>
      </c>
      <c r="J701" s="64" t="s">
        <v>116</v>
      </c>
      <c r="K701" s="65">
        <v>512237744</v>
      </c>
      <c r="L701" s="35" t="s">
        <v>88</v>
      </c>
    </row>
    <row r="702" spans="7:12">
      <c r="G702" s="64">
        <v>14945</v>
      </c>
      <c r="H702" s="64" t="s">
        <v>86</v>
      </c>
      <c r="I702" s="64" t="s">
        <v>1404</v>
      </c>
      <c r="J702" s="64" t="s">
        <v>116</v>
      </c>
      <c r="K702" s="65">
        <v>512237744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>
    <filterColumn colId="9">
      <filters>
        <filter val="מגדל מקפת קרנות פנסיה וקופות גמל בע&quot;מ"/>
      </filters>
    </filterColumn>
  </autoFilter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a46656d4-8850-49b3-aebd-68bd05f7f43d"/>
    <ds:schemaRef ds:uri="http://purl.org/dc/terms/"/>
    <ds:schemaRef ds:uri="http://schemas.microsoft.com/office/2006/documentManagement/types"/>
    <ds:schemaRef ds:uri="http://purl.org/dc/elements/1.1/"/>
    <ds:schemaRef ds:uri="http://schemas.microsoft.com/sharepoint/v3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creator>Joe Sternberg</dc:creator>
  <dc:description>מונגש</dc:description>
  <cp:lastModifiedBy>שוהם קאופמן</cp:lastModifiedBy>
  <cp:lastPrinted>2021-05-27T06:23:48Z</cp:lastPrinted>
  <dcterms:created xsi:type="dcterms:W3CDTF">2016-08-07T08:05:35Z</dcterms:created>
  <dcterms:modified xsi:type="dcterms:W3CDTF">2025-10-20T10:14:34Z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