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kav habriut\092026\ספטמבר\קבצים סופיים\"/>
    </mc:Choice>
  </mc:AlternateContent>
  <xr:revisionPtr revIDLastSave="0" documentId="13_ncr:1_{30DDEF98-AAD8-4A5F-860D-5DAE26906A98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99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4" i="6"/>
  <c r="B33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<sst xmlns="http://schemas.openxmlformats.org/spreadsheetml/2006/main" count="5109" uniqueCount="1412">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</sst>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3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workbookViewId="0">
      <selection activeCell="B31" sqref="B31"/>
    </sheetView>
  </sheetViews>
  <sheetFormatPr defaultRowHeight="14.25" x14ac:dyDescent="0.2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 x14ac:dyDescent="0.2">
      <c r="A1" s="17" t="s">
        <v>903</v>
      </c>
      <c r="B1" s="17" t="s">
        <v>63</v>
      </c>
      <c r="C1" s="17" t="s">
        <v>64</v>
      </c>
      <c r="D1" s="20" t="s">
        <v>72</v>
      </c>
    </row>
    <row r="2" spans="1:4" x14ac:dyDescent="0.2">
      <c r="A2" s="115" t="s">
        <v>65</v>
      </c>
      <c r="B2" s="18">
        <v>1</v>
      </c>
      <c r="C2" s="18" t="s">
        <v>66</v>
      </c>
      <c r="D2" s="19" t="s">
        <v>76</v>
      </c>
    </row>
    <row r="3" spans="1:4" x14ac:dyDescent="0.2">
      <c r="A3" s="117"/>
      <c r="B3" s="18">
        <v>2</v>
      </c>
      <c r="C3" s="18" t="s">
        <v>67</v>
      </c>
      <c r="D3" s="19" t="s">
        <v>1395</v>
      </c>
    </row>
    <row r="4" spans="1:4" x14ac:dyDescent="0.2">
      <c r="A4" s="117"/>
      <c r="B4" s="18">
        <v>3</v>
      </c>
      <c r="C4" s="18" t="s">
        <v>68</v>
      </c>
      <c r="D4" s="19" t="s">
        <v>69</v>
      </c>
    </row>
    <row r="5" spans="1:4" x14ac:dyDescent="0.2">
      <c r="A5" s="117"/>
      <c r="B5" s="113">
        <v>4</v>
      </c>
      <c r="C5" s="18" t="s">
        <v>1397</v>
      </c>
      <c r="D5" s="19" t="s">
        <v>1398</v>
      </c>
    </row>
    <row r="6" spans="1:4" x14ac:dyDescent="0.2">
      <c r="A6" s="117"/>
      <c r="B6" s="114"/>
      <c r="C6" s="18"/>
      <c r="D6" s="101" t="s">
        <v>1399</v>
      </c>
    </row>
    <row r="7" spans="1:4" x14ac:dyDescent="0.2">
      <c r="A7" s="117"/>
      <c r="B7" s="114"/>
      <c r="C7" s="18"/>
      <c r="D7" s="100" t="s">
        <v>1402</v>
      </c>
    </row>
    <row r="8" spans="1:4" x14ac:dyDescent="0.2">
      <c r="A8" s="117"/>
      <c r="B8" s="114"/>
      <c r="C8" s="18"/>
      <c r="D8" s="102" t="s">
        <v>1403</v>
      </c>
    </row>
    <row r="9" spans="1:4" x14ac:dyDescent="0.2">
      <c r="A9" s="117"/>
      <c r="B9" s="114"/>
      <c r="C9" s="18"/>
      <c r="D9" s="19" t="s">
        <v>73</v>
      </c>
    </row>
    <row r="10" spans="1:4" x14ac:dyDescent="0.2">
      <c r="A10" s="117"/>
      <c r="B10" s="114"/>
      <c r="C10" s="18"/>
      <c r="D10" s="101" t="s">
        <v>74</v>
      </c>
    </row>
    <row r="11" spans="1:4" x14ac:dyDescent="0.2">
      <c r="A11" s="117"/>
      <c r="B11" s="114"/>
      <c r="C11" s="18"/>
      <c r="D11" s="100" t="s">
        <v>75</v>
      </c>
    </row>
    <row r="12" spans="1:4" x14ac:dyDescent="0.2">
      <c r="A12" s="117"/>
      <c r="B12" s="114"/>
      <c r="C12" s="18"/>
      <c r="D12" s="19" t="s">
        <v>1410</v>
      </c>
    </row>
    <row r="13" spans="1:4" x14ac:dyDescent="0.2">
      <c r="A13" s="117"/>
      <c r="B13" s="114"/>
      <c r="C13" s="18"/>
      <c r="D13" s="19" t="s">
        <v>1407</v>
      </c>
    </row>
    <row r="14" spans="1:4" x14ac:dyDescent="0.2">
      <c r="A14" s="117"/>
      <c r="B14" s="114"/>
      <c r="C14" s="18"/>
      <c r="D14" s="19" t="s">
        <v>1408</v>
      </c>
    </row>
    <row r="15" spans="1:4" x14ac:dyDescent="0.2">
      <c r="A15" s="117"/>
      <c r="B15" s="114"/>
      <c r="C15" s="18" t="s">
        <v>1400</v>
      </c>
      <c r="D15" s="19" t="s">
        <v>1401</v>
      </c>
    </row>
    <row r="16" spans="1:4" x14ac:dyDescent="0.2">
      <c r="A16" s="117"/>
      <c r="B16" s="114"/>
      <c r="C16" s="18"/>
      <c r="D16" s="100" t="s">
        <v>1406</v>
      </c>
    </row>
    <row r="17" spans="1:4" x14ac:dyDescent="0.2">
      <c r="A17" s="117"/>
      <c r="B17" s="114"/>
      <c r="C17" s="18"/>
      <c r="D17" s="101" t="s">
        <v>1396</v>
      </c>
    </row>
    <row r="18" spans="1:4" x14ac:dyDescent="0.2">
      <c r="A18" s="117"/>
      <c r="B18" s="114"/>
      <c r="C18" s="18"/>
      <c r="D18" s="19" t="s">
        <v>73</v>
      </c>
    </row>
    <row r="19" spans="1:4" x14ac:dyDescent="0.2">
      <c r="A19" s="117"/>
      <c r="B19" s="114"/>
      <c r="C19" s="18"/>
      <c r="D19" s="101" t="s">
        <v>74</v>
      </c>
    </row>
    <row r="20" spans="1:4" x14ac:dyDescent="0.2">
      <c r="A20" s="117"/>
      <c r="B20" s="114"/>
      <c r="C20" s="18"/>
      <c r="D20" s="100" t="s">
        <v>75</v>
      </c>
    </row>
    <row r="21" spans="1:4" x14ac:dyDescent="0.2">
      <c r="A21" s="117"/>
      <c r="B21" s="114"/>
      <c r="C21" s="18"/>
      <c r="D21" s="19" t="s">
        <v>1410</v>
      </c>
    </row>
    <row r="22" spans="1:4" x14ac:dyDescent="0.2">
      <c r="A22" s="117"/>
      <c r="B22" s="114"/>
      <c r="C22" s="18"/>
      <c r="D22" s="19" t="s">
        <v>1404</v>
      </c>
    </row>
    <row r="23" spans="1:4" x14ac:dyDescent="0.2">
      <c r="A23" s="116"/>
      <c r="B23" s="112"/>
      <c r="C23" s="18"/>
      <c r="D23" s="19" t="s">
        <v>1405</v>
      </c>
    </row>
    <row r="24" spans="1:4" x14ac:dyDescent="0.2">
      <c r="A24" s="118" t="s">
        <v>901</v>
      </c>
      <c r="B24" s="112">
        <v>5</v>
      </c>
      <c r="C24" s="18" t="s">
        <v>70</v>
      </c>
      <c r="D24" s="19" t="s">
        <v>71</v>
      </c>
    </row>
    <row r="25" spans="1:4" x14ac:dyDescent="0.2">
      <c r="A25" s="119"/>
      <c r="B25" s="18">
        <v>6</v>
      </c>
      <c r="C25" s="18"/>
      <c r="D25" s="57" t="s">
        <v>1409</v>
      </c>
    </row>
    <row r="26" spans="1:4" ht="28.5" x14ac:dyDescent="0.2">
      <c r="A26" s="120"/>
      <c r="B26" s="61">
        <v>7</v>
      </c>
      <c r="C26" s="61"/>
      <c r="D26" s="103" t="s">
        <v>1394</v>
      </c>
    </row>
    <row r="28" spans="1:4" ht="16.899999999999999" customHeight="1" x14ac:dyDescent="0.25">
      <c r="A28" s="22" t="s">
        <v>882</v>
      </c>
      <c r="B28" s="62">
        <v>2026</v>
      </c>
      <c r="C28" s="58"/>
    </row>
    <row r="29" spans="1:4" ht="15" x14ac:dyDescent="0.25">
      <c r="A29" s="24" t="s">
        <v>886</v>
      </c>
      <c r="B29" s="62" t="s">
        <v>85</v>
      </c>
      <c r="C29" s="111" t="str">
        <f>VLOOKUP(B29,Tab_Type,2,0)</f>
        <v>TabB</v>
      </c>
    </row>
    <row r="30" spans="1:4" ht="15" x14ac:dyDescent="0.25">
      <c r="A30" s="24" t="s">
        <v>887</v>
      </c>
      <c r="B30" s="62">
        <v>7209</v>
      </c>
      <c r="C30" s="58"/>
    </row>
    <row r="31" spans="1:4" ht="15" x14ac:dyDescent="0.25">
      <c r="A31" s="24" t="s">
        <v>883</v>
      </c>
      <c r="B31" s="62" t="s">
        <v>1411</v>
      </c>
      <c r="C31" s="58"/>
    </row>
    <row r="32" spans="1:4" ht="16.899999999999999" customHeight="1" x14ac:dyDescent="0.2">
      <c r="A32" s="26" t="s">
        <v>899</v>
      </c>
      <c r="B32" s="63" t="str">
        <f ca="1">IFERROR(VLOOKUP($B$30,INDIRECT($C$29),C32,0), "שם מסלול")</f>
        <v>קו הבריאות לבני 50 ומטה</v>
      </c>
      <c r="C32" s="58">
        <v>3</v>
      </c>
    </row>
    <row r="33" spans="1:4" x14ac:dyDescent="0.2">
      <c r="A33" s="24" t="s">
        <v>893</v>
      </c>
      <c r="B33" s="63" t="str">
        <f ca="1">IFERROR(VLOOKUP($B$30,INDIRECT($C$29),C33,0),"שם חברה")</f>
        <v>קו הבריאות חברה לניהול קופות גמל בע"מ</v>
      </c>
      <c r="C33" s="58">
        <v>4</v>
      </c>
    </row>
    <row r="34" spans="1:4" x14ac:dyDescent="0.2">
      <c r="A34" s="24" t="s">
        <v>885</v>
      </c>
      <c r="B34" s="63">
        <f ca="1">IFERROR(VLOOKUP($B$30,INDIRECT($C$29),C34,0),"מספר ח.פ.")</f>
        <v>512008335</v>
      </c>
      <c r="C34" s="58">
        <v>5</v>
      </c>
    </row>
    <row r="35" spans="1:4" x14ac:dyDescent="0.2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512008335_g7209_Yield326.xlsx</v>
      </c>
      <c r="C35" s="58"/>
    </row>
    <row r="36" spans="1:4" x14ac:dyDescent="0.2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A3" workbookViewId="0">
      <selection activeCell="Q42" sqref="Q41:Q42"/>
    </sheetView>
  </sheetViews>
  <sheetFormatPr defaultColWidth="9.125" defaultRowHeight="15" x14ac:dyDescent="0.2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 x14ac:dyDescent="0.3">
      <c r="B1" s="7" t="s">
        <v>0</v>
      </c>
    </row>
    <row r="2" spans="2:31" ht="18.75" x14ac:dyDescent="0.3">
      <c r="B2" s="15" t="s">
        <v>818</v>
      </c>
      <c r="C2" s="42">
        <f>הנחיות!B30</f>
        <v>7209</v>
      </c>
      <c r="D2" s="122"/>
      <c r="E2" s="122"/>
    </row>
    <row r="3" spans="2:31" ht="18.75" x14ac:dyDescent="0.3">
      <c r="B3" s="16" t="s">
        <v>28</v>
      </c>
      <c r="C3" s="41" t="str">
        <f ca="1">הנחיות!B32</f>
        <v>קו הבריאות לבני 50 ומטה</v>
      </c>
      <c r="D3" s="41"/>
    </row>
    <row r="4" spans="2:31" ht="18.75" x14ac:dyDescent="0.3">
      <c r="B4" s="15" t="s">
        <v>27</v>
      </c>
      <c r="C4" s="41" t="str">
        <f ca="1">הנחיות!B33</f>
        <v>קו הבריאות חברה לניהול קופות גמל בע"מ</v>
      </c>
      <c r="D4" s="41"/>
    </row>
    <row r="5" spans="2:31" ht="18.75" x14ac:dyDescent="0.3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 x14ac:dyDescent="0.2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 x14ac:dyDescent="0.25">
      <c r="B7" s="3" t="s">
        <v>1</v>
      </c>
      <c r="C7" s="43">
        <v>-4.0000000000000002E-4</v>
      </c>
      <c r="D7" s="44">
        <v>6.2392111181703701E-2</v>
      </c>
      <c r="E7" s="50">
        <v>1E-4</v>
      </c>
      <c r="F7" s="51">
        <v>6.2913863027143704E-2</v>
      </c>
      <c r="G7" s="43">
        <v>4.0000000000000002E-4</v>
      </c>
      <c r="H7" s="44">
        <v>5.6286726615117001E-2</v>
      </c>
      <c r="I7" s="50">
        <v>0</v>
      </c>
      <c r="J7" s="51">
        <v>4.24315715057096E-2</v>
      </c>
      <c r="K7" s="43">
        <v>-1E-4</v>
      </c>
      <c r="L7" s="44">
        <v>3.9158164952679202E-2</v>
      </c>
      <c r="M7" s="50">
        <v>6.9999999999999999E-4</v>
      </c>
      <c r="N7" s="51">
        <v>3.2394213934196101E-2</v>
      </c>
      <c r="O7" s="43">
        <v>2.0000000000000001E-4</v>
      </c>
      <c r="P7" s="44">
        <v>4.1015240812343798E-2</v>
      </c>
      <c r="Q7" s="50">
        <v>-2.0000000000000001E-4</v>
      </c>
      <c r="R7" s="51">
        <v>3.6344675523949301E-2</v>
      </c>
      <c r="S7" s="43">
        <v>1E-4</v>
      </c>
      <c r="T7" s="44">
        <v>2.9884590309321599E-2</v>
      </c>
      <c r="U7" s="50"/>
      <c r="V7" s="51"/>
      <c r="W7" s="43"/>
      <c r="X7" s="44"/>
      <c r="Y7" s="50"/>
      <c r="Z7" s="51"/>
      <c r="AE7" s="2"/>
    </row>
    <row r="8" spans="2:31" ht="30" x14ac:dyDescent="0.25">
      <c r="B8" s="59" t="s">
        <v>904</v>
      </c>
      <c r="C8" s="43">
        <v>2E-3</v>
      </c>
      <c r="D8" s="44">
        <v>0.36076034030851301</v>
      </c>
      <c r="E8" s="50">
        <v>1.1000000000000001E-3</v>
      </c>
      <c r="F8" s="51">
        <v>0.35798679382644599</v>
      </c>
      <c r="G8" s="43">
        <v>-2.0999999999999999E-3</v>
      </c>
      <c r="H8" s="44">
        <v>0.36081316283249198</v>
      </c>
      <c r="I8" s="50">
        <v>1.9E-3</v>
      </c>
      <c r="J8" s="51">
        <v>0.34414462399982798</v>
      </c>
      <c r="K8" s="43">
        <v>3.5000000000000001E-3</v>
      </c>
      <c r="L8" s="44">
        <v>0.335035422886099</v>
      </c>
      <c r="M8" s="50">
        <v>2E-3</v>
      </c>
      <c r="N8" s="51">
        <v>0.34854377768437</v>
      </c>
      <c r="O8" s="43">
        <v>-2.0000000000000001E-4</v>
      </c>
      <c r="P8" s="44">
        <v>0.34628801328589598</v>
      </c>
      <c r="Q8" s="50">
        <v>8.0000000000000004E-4</v>
      </c>
      <c r="R8" s="51">
        <v>0.33108313242453102</v>
      </c>
      <c r="S8" s="43">
        <v>-5.9999999999999995E-4</v>
      </c>
      <c r="T8" s="44">
        <v>0.33123173434665498</v>
      </c>
      <c r="U8" s="50"/>
      <c r="V8" s="51"/>
      <c r="W8" s="43"/>
      <c r="X8" s="44"/>
      <c r="Y8" s="50"/>
      <c r="Z8" s="51"/>
      <c r="AE8" s="2"/>
    </row>
    <row r="9" spans="2:31" x14ac:dyDescent="0.25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 x14ac:dyDescent="0.25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 x14ac:dyDescent="0.25">
      <c r="B11" s="4" t="s">
        <v>4</v>
      </c>
      <c r="C11" s="43">
        <v>4.0000000000000002E-4</v>
      </c>
      <c r="D11" s="44">
        <v>0.13987674391413399</v>
      </c>
      <c r="E11" s="50">
        <v>1E-4</v>
      </c>
      <c r="F11" s="51">
        <v>0.13837238817064099</v>
      </c>
      <c r="G11" s="43">
        <v>-2.0000000000000001E-4</v>
      </c>
      <c r="H11" s="44">
        <v>0.14179370173985201</v>
      </c>
      <c r="I11" s="50">
        <v>1.6000000000000001E-3</v>
      </c>
      <c r="J11" s="51">
        <v>0.13985783840589899</v>
      </c>
      <c r="K11" s="43">
        <v>1.4E-3</v>
      </c>
      <c r="L11" s="44">
        <v>0.133914444680653</v>
      </c>
      <c r="M11" s="50">
        <v>8.9999999999999998E-4</v>
      </c>
      <c r="N11" s="51">
        <v>0.14192065361658299</v>
      </c>
      <c r="O11" s="43">
        <v>0</v>
      </c>
      <c r="P11" s="44">
        <v>0.14299464878444501</v>
      </c>
      <c r="Q11" s="50">
        <v>5.9999999999999995E-4</v>
      </c>
      <c r="R11" s="51">
        <v>0.13863892927044999</v>
      </c>
      <c r="S11" s="43">
        <v>-2.0000000000000001E-4</v>
      </c>
      <c r="T11" s="44">
        <v>0.13817933837493199</v>
      </c>
      <c r="U11" s="50"/>
      <c r="V11" s="51"/>
      <c r="W11" s="43"/>
      <c r="X11" s="44"/>
      <c r="Y11" s="50"/>
      <c r="Z11" s="51"/>
      <c r="AE11" s="2"/>
    </row>
    <row r="12" spans="2:31" x14ac:dyDescent="0.25">
      <c r="B12" s="4" t="s">
        <v>5</v>
      </c>
      <c r="C12" s="43">
        <v>0</v>
      </c>
      <c r="D12" s="44">
        <v>4.3012302565138497E-3</v>
      </c>
      <c r="E12" s="50">
        <v>0</v>
      </c>
      <c r="F12" s="51">
        <v>4.2795005213074801E-3</v>
      </c>
      <c r="G12" s="43">
        <v>0</v>
      </c>
      <c r="H12" s="44">
        <v>4.3118549898469296E-3</v>
      </c>
      <c r="I12" s="50">
        <v>1E-4</v>
      </c>
      <c r="J12" s="51">
        <v>4.1009180202911198E-3</v>
      </c>
      <c r="K12" s="43">
        <v>0</v>
      </c>
      <c r="L12" s="44">
        <v>3.9237948852935802E-3</v>
      </c>
      <c r="M12" s="50">
        <v>0</v>
      </c>
      <c r="N12" s="51">
        <v>3.95113501552032E-3</v>
      </c>
      <c r="O12" s="43">
        <v>0</v>
      </c>
      <c r="P12" s="44">
        <v>3.9112707977862803E-3</v>
      </c>
      <c r="Q12" s="50">
        <v>0</v>
      </c>
      <c r="R12" s="51">
        <v>3.5191596602661399E-3</v>
      </c>
      <c r="S12" s="43">
        <v>0</v>
      </c>
      <c r="T12" s="44">
        <v>3.5100507114915799E-3</v>
      </c>
      <c r="U12" s="50"/>
      <c r="V12" s="51"/>
      <c r="W12" s="43"/>
      <c r="X12" s="44"/>
      <c r="Y12" s="50"/>
      <c r="Z12" s="51"/>
      <c r="AE12" s="2"/>
    </row>
    <row r="13" spans="2:31" x14ac:dyDescent="0.25">
      <c r="B13" s="4" t="s">
        <v>6</v>
      </c>
      <c r="C13" s="43">
        <v>1.8499999999999999E-2</v>
      </c>
      <c r="D13" s="44">
        <v>0.21370207170668601</v>
      </c>
      <c r="E13" s="50">
        <v>6.6E-3</v>
      </c>
      <c r="F13" s="51">
        <v>0.21479088406786601</v>
      </c>
      <c r="G13" s="43">
        <v>-8.2000000000000007E-3</v>
      </c>
      <c r="H13" s="44">
        <v>0.202506546188813</v>
      </c>
      <c r="I13" s="50">
        <v>1.8200000000000001E-2</v>
      </c>
      <c r="J13" s="51">
        <v>0.212290584374908</v>
      </c>
      <c r="K13" s="43">
        <v>1.9E-3</v>
      </c>
      <c r="L13" s="44">
        <v>0.20671007029317201</v>
      </c>
      <c r="M13" s="50">
        <v>-1.04E-2</v>
      </c>
      <c r="N13" s="51">
        <v>0.19936933327697401</v>
      </c>
      <c r="O13" s="43">
        <v>-1E-3</v>
      </c>
      <c r="P13" s="44">
        <v>0.194716599816179</v>
      </c>
      <c r="Q13" s="50">
        <v>1.4E-3</v>
      </c>
      <c r="R13" s="51">
        <v>0.19602428576615399</v>
      </c>
      <c r="S13" s="43">
        <v>3.3999999999999998E-3</v>
      </c>
      <c r="T13" s="44">
        <v>0.19351519518873</v>
      </c>
      <c r="U13" s="50"/>
      <c r="V13" s="51"/>
      <c r="W13" s="43"/>
      <c r="X13" s="44"/>
      <c r="Y13" s="50"/>
      <c r="Z13" s="51"/>
      <c r="AE13" s="2"/>
    </row>
    <row r="14" spans="2:31" x14ac:dyDescent="0.25">
      <c r="B14" s="4" t="s">
        <v>62</v>
      </c>
      <c r="C14" s="43">
        <v>5.1000000000000004E-3</v>
      </c>
      <c r="D14" s="44">
        <v>0.20889553294152399</v>
      </c>
      <c r="E14" s="50">
        <v>1.1000000000000001E-3</v>
      </c>
      <c r="F14" s="51">
        <v>0.209430264239365</v>
      </c>
      <c r="G14" s="43">
        <v>-9.5999999999999992E-3</v>
      </c>
      <c r="H14" s="44">
        <v>0.227964188777425</v>
      </c>
      <c r="I14" s="50">
        <v>9.4999999999999998E-3</v>
      </c>
      <c r="J14" s="51">
        <v>0.237183976636507</v>
      </c>
      <c r="K14" s="43">
        <v>3.3E-3</v>
      </c>
      <c r="L14" s="44">
        <v>0.254088941681197</v>
      </c>
      <c r="M14" s="50">
        <v>-1.6000000000000001E-3</v>
      </c>
      <c r="N14" s="51">
        <v>0.26194792302471398</v>
      </c>
      <c r="O14" s="43">
        <v>2.0999999999999999E-3</v>
      </c>
      <c r="P14" s="44">
        <v>0.26095874585697798</v>
      </c>
      <c r="Q14" s="50">
        <v>3.5999999999999999E-3</v>
      </c>
      <c r="R14" s="51">
        <v>0.279191598109155</v>
      </c>
      <c r="S14" s="43">
        <v>8.9999999999999998E-4</v>
      </c>
      <c r="T14" s="44">
        <v>0.29298984699750402</v>
      </c>
      <c r="U14" s="50"/>
      <c r="V14" s="51"/>
      <c r="W14" s="43"/>
      <c r="X14" s="44"/>
      <c r="Y14" s="50"/>
      <c r="Z14" s="51"/>
      <c r="AE14" s="2"/>
    </row>
    <row r="15" spans="2:31" x14ac:dyDescent="0.25">
      <c r="B15" s="4" t="s">
        <v>7</v>
      </c>
      <c r="C15" s="43">
        <v>-1E-4</v>
      </c>
      <c r="D15" s="44">
        <v>5.3853988057244503E-3</v>
      </c>
      <c r="E15" s="50">
        <v>2.9999999999999997E-4</v>
      </c>
      <c r="F15" s="51">
        <v>9.5905476993738501E-3</v>
      </c>
      <c r="G15" s="43">
        <v>-4.0000000000000002E-4</v>
      </c>
      <c r="H15" s="44">
        <v>9.4216355636123992E-3</v>
      </c>
      <c r="I15" s="50">
        <v>-1E-4</v>
      </c>
      <c r="J15" s="51">
        <v>8.8013933034497994E-3</v>
      </c>
      <c r="K15" s="43">
        <v>1E-4</v>
      </c>
      <c r="L15" s="44">
        <v>8.4417794919974792E-3</v>
      </c>
      <c r="M15" s="50">
        <v>2.9999999999999997E-4</v>
      </c>
      <c r="N15" s="51">
        <v>8.9496898327686997E-3</v>
      </c>
      <c r="O15" s="43">
        <v>1E-4</v>
      </c>
      <c r="P15" s="44">
        <v>9.0301616803358398E-3</v>
      </c>
      <c r="Q15" s="50">
        <v>1E-4</v>
      </c>
      <c r="R15" s="51">
        <v>8.9310321202925296E-3</v>
      </c>
      <c r="S15" s="43">
        <v>2.0000000000000001E-4</v>
      </c>
      <c r="T15" s="44">
        <v>9.1819337590582795E-3</v>
      </c>
      <c r="U15" s="50"/>
      <c r="V15" s="51"/>
      <c r="W15" s="43"/>
      <c r="X15" s="44"/>
      <c r="Y15" s="50"/>
      <c r="Z15" s="51"/>
      <c r="AE15" s="2"/>
    </row>
    <row r="16" spans="2:31" x14ac:dyDescent="0.25">
      <c r="B16" s="4" t="s">
        <v>8</v>
      </c>
      <c r="C16" s="43">
        <v>0</v>
      </c>
      <c r="D16" s="44">
        <v>0</v>
      </c>
      <c r="E16" s="50">
        <v>0</v>
      </c>
      <c r="F16" s="51">
        <v>0</v>
      </c>
      <c r="G16" s="43">
        <v>0</v>
      </c>
      <c r="H16" s="44">
        <v>0</v>
      </c>
      <c r="I16" s="50">
        <v>0</v>
      </c>
      <c r="J16" s="51">
        <v>0</v>
      </c>
      <c r="K16" s="43">
        <v>0</v>
      </c>
      <c r="L16" s="44">
        <v>0</v>
      </c>
      <c r="M16" s="50">
        <v>0</v>
      </c>
      <c r="N16" s="51">
        <v>0</v>
      </c>
      <c r="O16" s="43">
        <v>0</v>
      </c>
      <c r="P16" s="44">
        <v>0</v>
      </c>
      <c r="Q16" s="50">
        <v>0</v>
      </c>
      <c r="R16" s="51">
        <v>0</v>
      </c>
      <c r="S16" s="43">
        <v>0</v>
      </c>
      <c r="T16" s="44">
        <v>0</v>
      </c>
      <c r="U16" s="50"/>
      <c r="V16" s="51"/>
      <c r="W16" s="43"/>
      <c r="X16" s="44"/>
      <c r="Y16" s="50"/>
      <c r="Z16" s="51"/>
      <c r="AE16" s="2"/>
    </row>
    <row r="17" spans="2:31" x14ac:dyDescent="0.25">
      <c r="B17" s="4" t="s">
        <v>9</v>
      </c>
      <c r="C17" s="43">
        <v>0</v>
      </c>
      <c r="D17" s="44">
        <v>4.3498247106076699E-4</v>
      </c>
      <c r="E17" s="50">
        <v>0</v>
      </c>
      <c r="F17" s="51">
        <v>4.2824162856927399E-4</v>
      </c>
      <c r="G17" s="43">
        <v>-1E-4</v>
      </c>
      <c r="H17" s="44">
        <v>3.6767748537486298E-4</v>
      </c>
      <c r="I17" s="50">
        <v>2.0000000000000001E-4</v>
      </c>
      <c r="J17" s="51">
        <v>4.5536743577704198E-4</v>
      </c>
      <c r="K17" s="43">
        <v>0</v>
      </c>
      <c r="L17" s="44">
        <v>3.9721449938255198E-4</v>
      </c>
      <c r="M17" s="50">
        <v>-1.2999999999999999E-3</v>
      </c>
      <c r="N17" s="51">
        <v>1.6289984921631401E-4</v>
      </c>
      <c r="O17" s="43">
        <v>0</v>
      </c>
      <c r="P17" s="44">
        <v>1.46936174343268E-4</v>
      </c>
      <c r="Q17" s="50">
        <v>0</v>
      </c>
      <c r="R17" s="51">
        <v>1.19095895068278E-4</v>
      </c>
      <c r="S17" s="43">
        <v>0</v>
      </c>
      <c r="T17" s="44">
        <v>1.09099633203767E-4</v>
      </c>
      <c r="U17" s="50"/>
      <c r="V17" s="51"/>
      <c r="W17" s="43"/>
      <c r="X17" s="44"/>
      <c r="Y17" s="50"/>
      <c r="Z17" s="51"/>
      <c r="AE17" s="2"/>
    </row>
    <row r="18" spans="2:31" x14ac:dyDescent="0.25">
      <c r="B18" s="4" t="s">
        <v>10</v>
      </c>
      <c r="C18" s="43">
        <v>3.3E-3</v>
      </c>
      <c r="D18" s="44">
        <v>1.9759914171011399E-3</v>
      </c>
      <c r="E18" s="50">
        <v>-1.6999999999999999E-3</v>
      </c>
      <c r="F18" s="51">
        <v>2.24092833189494E-4</v>
      </c>
      <c r="G18" s="43">
        <v>-8.8999999999999999E-3</v>
      </c>
      <c r="H18" s="44">
        <v>-5.27961660296808E-3</v>
      </c>
      <c r="I18" s="50">
        <v>1.6199999999999999E-2</v>
      </c>
      <c r="J18" s="51">
        <v>8.8639933741473005E-3</v>
      </c>
      <c r="K18" s="43">
        <v>8.2000000000000007E-3</v>
      </c>
      <c r="L18" s="44">
        <v>1.6443501232448799E-2</v>
      </c>
      <c r="M18" s="50">
        <v>-4.3E-3</v>
      </c>
      <c r="N18" s="51">
        <v>1.0562439165733E-3</v>
      </c>
      <c r="O18" s="43">
        <v>-3.2000000000000002E-3</v>
      </c>
      <c r="P18" s="44">
        <v>-1.4101716215550099E-3</v>
      </c>
      <c r="Q18" s="50">
        <v>5.7000000000000002E-3</v>
      </c>
      <c r="R18" s="51">
        <v>4.1971859538296801E-3</v>
      </c>
      <c r="S18" s="43">
        <v>-2.2000000000000001E-3</v>
      </c>
      <c r="T18" s="44">
        <v>-3.1327945411329598E-4</v>
      </c>
      <c r="U18" s="50"/>
      <c r="V18" s="51"/>
      <c r="W18" s="43"/>
      <c r="X18" s="44"/>
      <c r="Y18" s="50"/>
      <c r="Z18" s="51"/>
      <c r="AE18" s="2"/>
    </row>
    <row r="19" spans="2:31" x14ac:dyDescent="0.25">
      <c r="B19" s="4" t="s">
        <v>11</v>
      </c>
      <c r="C19" s="43">
        <v>0</v>
      </c>
      <c r="D19" s="44">
        <v>0</v>
      </c>
      <c r="E19" s="50">
        <v>0</v>
      </c>
      <c r="F19" s="51">
        <v>0</v>
      </c>
      <c r="G19" s="43">
        <v>0</v>
      </c>
      <c r="H19" s="44">
        <v>0</v>
      </c>
      <c r="I19" s="50">
        <v>0</v>
      </c>
      <c r="J19" s="51">
        <v>0</v>
      </c>
      <c r="K19" s="43">
        <v>0</v>
      </c>
      <c r="L19" s="44">
        <v>0</v>
      </c>
      <c r="M19" s="50">
        <v>0</v>
      </c>
      <c r="N19" s="51">
        <v>0</v>
      </c>
      <c r="O19" s="43">
        <v>-2.0000000000000001E-4</v>
      </c>
      <c r="P19" s="44">
        <v>5.7876228325256401E-4</v>
      </c>
      <c r="Q19" s="50">
        <v>-4.0000000000000002E-4</v>
      </c>
      <c r="R19" s="51">
        <v>1.49761109386065E-4</v>
      </c>
      <c r="S19" s="43">
        <v>-1E-4</v>
      </c>
      <c r="T19" s="44">
        <v>3.43445196817203E-5</v>
      </c>
      <c r="U19" s="50"/>
      <c r="V19" s="51"/>
      <c r="W19" s="43"/>
      <c r="X19" s="44"/>
      <c r="Y19" s="50"/>
      <c r="Z19" s="51"/>
    </row>
    <row r="20" spans="2:31" x14ac:dyDescent="0.25">
      <c r="B20" s="4" t="s">
        <v>12</v>
      </c>
      <c r="C20" s="43">
        <v>0</v>
      </c>
      <c r="D20" s="44">
        <v>2.1690842681205899E-3</v>
      </c>
      <c r="E20" s="50">
        <v>0</v>
      </c>
      <c r="F20" s="51">
        <v>1.76512720769615E-3</v>
      </c>
      <c r="G20" s="43">
        <v>0</v>
      </c>
      <c r="H20" s="44">
        <v>1.81412262325908E-3</v>
      </c>
      <c r="I20" s="50">
        <v>1E-4</v>
      </c>
      <c r="J20" s="51">
        <v>1.7357553917962099E-3</v>
      </c>
      <c r="K20" s="43">
        <v>0</v>
      </c>
      <c r="L20" s="44">
        <v>1.6588373064123499E-3</v>
      </c>
      <c r="M20" s="50">
        <v>0</v>
      </c>
      <c r="N20" s="51">
        <v>1.7041298597421299E-3</v>
      </c>
      <c r="O20" s="43">
        <v>0</v>
      </c>
      <c r="P20" s="44">
        <v>1.7027834482397999E-3</v>
      </c>
      <c r="Q20" s="50">
        <v>0</v>
      </c>
      <c r="R20" s="51">
        <v>1.6788906885215E-3</v>
      </c>
      <c r="S20" s="43">
        <v>0</v>
      </c>
      <c r="T20" s="44">
        <v>1.6771452666302399E-3</v>
      </c>
      <c r="U20" s="50"/>
      <c r="V20" s="51"/>
      <c r="W20" s="43"/>
      <c r="X20" s="44"/>
      <c r="Y20" s="50"/>
      <c r="Z20" s="51"/>
    </row>
    <row r="21" spans="2:31" x14ac:dyDescent="0.25">
      <c r="B21" s="4" t="s">
        <v>13</v>
      </c>
      <c r="C21" s="43">
        <v>0</v>
      </c>
      <c r="D21" s="44">
        <v>0</v>
      </c>
      <c r="E21" s="50">
        <v>0</v>
      </c>
      <c r="F21" s="51">
        <v>0</v>
      </c>
      <c r="G21" s="43">
        <v>0</v>
      </c>
      <c r="H21" s="44">
        <v>0</v>
      </c>
      <c r="I21" s="50">
        <v>0</v>
      </c>
      <c r="J21" s="51">
        <v>0</v>
      </c>
      <c r="K21" s="43">
        <v>0</v>
      </c>
      <c r="L21" s="44">
        <v>0</v>
      </c>
      <c r="M21" s="50">
        <v>0</v>
      </c>
      <c r="N21" s="51">
        <v>0</v>
      </c>
      <c r="O21" s="43">
        <v>0</v>
      </c>
      <c r="P21" s="44">
        <v>0</v>
      </c>
      <c r="Q21" s="50">
        <v>0</v>
      </c>
      <c r="R21" s="51">
        <v>0</v>
      </c>
      <c r="S21" s="43">
        <v>0</v>
      </c>
      <c r="T21" s="44">
        <v>0</v>
      </c>
      <c r="U21" s="50"/>
      <c r="V21" s="51"/>
      <c r="W21" s="43"/>
      <c r="X21" s="44"/>
      <c r="Y21" s="50"/>
      <c r="Z21" s="51"/>
    </row>
    <row r="22" spans="2:31" x14ac:dyDescent="0.25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 x14ac:dyDescent="0.25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 x14ac:dyDescent="0.25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 x14ac:dyDescent="0.25">
      <c r="B25" s="4" t="s">
        <v>17</v>
      </c>
      <c r="C25" s="43">
        <v>1.99999999999997E-4</v>
      </c>
      <c r="D25" s="44">
        <v>1.0651272891791E-4</v>
      </c>
      <c r="E25" s="50">
        <v>9.9999999999999598E-5</v>
      </c>
      <c r="F25" s="51">
        <v>2.1829677840128899E-4</v>
      </c>
      <c r="G25" s="43">
        <v>-2.0000000000000299E-4</v>
      </c>
      <c r="H25" s="44">
        <v>-2.1282368180275399E-10</v>
      </c>
      <c r="I25" s="50">
        <v>-2.4286128663675302E-18</v>
      </c>
      <c r="J25" s="51">
        <v>1.33977551685729E-4</v>
      </c>
      <c r="K25" s="43">
        <v>1.0000000000000099E-4</v>
      </c>
      <c r="L25" s="44">
        <v>2.2782809066509001E-4</v>
      </c>
      <c r="M25" s="50">
        <v>-2.0000000000000001E-4</v>
      </c>
      <c r="N25" s="51">
        <v>-1.06576154845772E-11</v>
      </c>
      <c r="O25" s="43">
        <v>1E-4</v>
      </c>
      <c r="P25" s="44">
        <v>6.7008681754853695E-5</v>
      </c>
      <c r="Q25" s="50">
        <v>6.9388939039072297E-20</v>
      </c>
      <c r="R25" s="51">
        <v>1.2225347839577499E-4</v>
      </c>
      <c r="S25" s="43">
        <v>0</v>
      </c>
      <c r="T25" s="44">
        <v>3.4690591808883602E-10</v>
      </c>
      <c r="U25" s="50"/>
      <c r="V25" s="51"/>
      <c r="W25" s="43"/>
      <c r="X25" s="44"/>
      <c r="Y25" s="50"/>
      <c r="Z25" s="51"/>
    </row>
    <row r="26" spans="2:31" x14ac:dyDescent="0.25">
      <c r="B26" s="5" t="s">
        <v>18</v>
      </c>
      <c r="C26" s="45">
        <v>2.9000000000000001E-2</v>
      </c>
      <c r="D26" s="46">
        <v>1</v>
      </c>
      <c r="E26" s="52">
        <v>7.7000000000000002E-3</v>
      </c>
      <c r="F26" s="53">
        <v>1</v>
      </c>
      <c r="G26" s="45">
        <v>-2.93E-2</v>
      </c>
      <c r="H26" s="46">
        <v>1</v>
      </c>
      <c r="I26" s="52">
        <v>4.7699999999999999E-2</v>
      </c>
      <c r="J26" s="53">
        <v>1</v>
      </c>
      <c r="K26" s="45">
        <v>1.84E-2</v>
      </c>
      <c r="L26" s="46">
        <v>1</v>
      </c>
      <c r="M26" s="52">
        <v>-1.3899999999999999E-2</v>
      </c>
      <c r="N26" s="53">
        <v>1</v>
      </c>
      <c r="O26" s="45">
        <v>-2.0999999999999999E-3</v>
      </c>
      <c r="P26" s="46">
        <v>1</v>
      </c>
      <c r="Q26" s="52">
        <v>1.1599999999999999E-2</v>
      </c>
      <c r="R26" s="53">
        <v>1</v>
      </c>
      <c r="S26" s="45">
        <v>1.5E-3</v>
      </c>
      <c r="T26" s="46">
        <v>1</v>
      </c>
      <c r="U26" s="52"/>
      <c r="V26" s="53"/>
      <c r="W26" s="45"/>
      <c r="X26" s="46"/>
      <c r="Y26" s="52"/>
      <c r="Z26" s="53"/>
    </row>
    <row r="27" spans="2:31" x14ac:dyDescent="0.25">
      <c r="B27" s="9" t="s">
        <v>24</v>
      </c>
      <c r="C27" s="47">
        <v>705.10535000000095</v>
      </c>
      <c r="D27" s="66"/>
      <c r="E27" s="54">
        <v>194.870779999999</v>
      </c>
      <c r="F27" s="66"/>
      <c r="G27" s="47">
        <v>-753.41430999999795</v>
      </c>
      <c r="H27" s="66"/>
      <c r="I27" s="54">
        <v>1197.2402</v>
      </c>
      <c r="J27" s="66"/>
      <c r="K27" s="47">
        <v>497.47426000000002</v>
      </c>
      <c r="L27" s="66"/>
      <c r="M27" s="54">
        <v>-387.36401999999799</v>
      </c>
      <c r="N27" s="66"/>
      <c r="O27" s="47">
        <v>-56.462270000002</v>
      </c>
      <c r="P27" s="66"/>
      <c r="Q27" s="54">
        <v>315.76166000000001</v>
      </c>
      <c r="R27" s="66"/>
      <c r="S27" s="47">
        <v>44.982190000000301</v>
      </c>
      <c r="T27" s="66"/>
      <c r="U27" s="54"/>
      <c r="V27" s="66"/>
      <c r="W27" s="47"/>
      <c r="X27" s="66"/>
      <c r="Y27" s="54"/>
      <c r="Z27" s="66"/>
    </row>
    <row r="28" spans="2:31" x14ac:dyDescent="0.25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 x14ac:dyDescent="0.25">
      <c r="B29" s="3" t="s">
        <v>19</v>
      </c>
      <c r="C29" s="48">
        <v>2.5700000000000001E-2</v>
      </c>
      <c r="D29" s="49">
        <v>0.828475124755638</v>
      </c>
      <c r="E29" s="55">
        <v>9.4000000000000004E-3</v>
      </c>
      <c r="F29" s="56">
        <v>0.82501803973190702</v>
      </c>
      <c r="G29" s="48">
        <v>-1.2699999999999999E-2</v>
      </c>
      <c r="H29" s="49">
        <v>0.81841024740776902</v>
      </c>
      <c r="I29" s="55">
        <v>2.98E-2</v>
      </c>
      <c r="J29" s="56">
        <v>0.80597317261547097</v>
      </c>
      <c r="K29" s="48">
        <v>1.18E-2</v>
      </c>
      <c r="L29" s="49">
        <v>0.78502969543805201</v>
      </c>
      <c r="M29" s="55">
        <v>-2.1399999999999999E-2</v>
      </c>
      <c r="N29" s="56">
        <v>0.77272859092961599</v>
      </c>
      <c r="O29" s="48">
        <v>-8.9999999999999998E-4</v>
      </c>
      <c r="P29" s="49">
        <v>0.77984269569047004</v>
      </c>
      <c r="Q29" s="55">
        <v>5.8999999999999999E-3</v>
      </c>
      <c r="R29" s="56">
        <v>0.77204322712145501</v>
      </c>
      <c r="S29" s="48">
        <v>-2.3999999999999998E-3</v>
      </c>
      <c r="T29" s="49">
        <v>0.770406773763602</v>
      </c>
      <c r="U29" s="55"/>
      <c r="V29" s="56"/>
      <c r="W29" s="48"/>
      <c r="X29" s="49"/>
      <c r="Y29" s="55"/>
      <c r="Z29" s="56"/>
    </row>
    <row r="30" spans="2:31" x14ac:dyDescent="0.25">
      <c r="B30" s="4" t="s">
        <v>20</v>
      </c>
      <c r="C30" s="43">
        <v>3.3E-3</v>
      </c>
      <c r="D30" s="44">
        <v>0.171524875244362</v>
      </c>
      <c r="E30" s="50">
        <v>-1.6999999999999999E-3</v>
      </c>
      <c r="F30" s="51">
        <v>0.17498196026809301</v>
      </c>
      <c r="G30" s="43">
        <v>-1.66E-2</v>
      </c>
      <c r="H30" s="44">
        <v>0.18158975259223101</v>
      </c>
      <c r="I30" s="50">
        <v>1.7899999999999999E-2</v>
      </c>
      <c r="J30" s="51">
        <v>0.194026827384529</v>
      </c>
      <c r="K30" s="43">
        <v>6.6E-3</v>
      </c>
      <c r="L30" s="44">
        <v>0.21497030456194899</v>
      </c>
      <c r="M30" s="50">
        <v>7.4999999999999997E-3</v>
      </c>
      <c r="N30" s="51">
        <v>0.22727140907038501</v>
      </c>
      <c r="O30" s="43">
        <v>-1.1999999999999999E-3</v>
      </c>
      <c r="P30" s="44">
        <v>0.22015730430953001</v>
      </c>
      <c r="Q30" s="50">
        <v>5.7000000000000002E-3</v>
      </c>
      <c r="R30" s="51">
        <v>0.22795677287854499</v>
      </c>
      <c r="S30" s="43">
        <v>3.8999999999999998E-3</v>
      </c>
      <c r="T30" s="44">
        <v>0.229593226236398</v>
      </c>
      <c r="U30" s="50"/>
      <c r="V30" s="51"/>
      <c r="W30" s="43"/>
      <c r="X30" s="44"/>
      <c r="Y30" s="50"/>
      <c r="Z30" s="51"/>
    </row>
    <row r="31" spans="2:31" x14ac:dyDescent="0.25">
      <c r="B31" s="5" t="s">
        <v>18</v>
      </c>
      <c r="C31" s="45">
        <v>2.9000000000000001E-2</v>
      </c>
      <c r="D31" s="46">
        <v>1</v>
      </c>
      <c r="E31" s="52">
        <v>7.7000000000000002E-3</v>
      </c>
      <c r="F31" s="53">
        <v>1</v>
      </c>
      <c r="G31" s="45">
        <v>-2.93E-2</v>
      </c>
      <c r="H31" s="46">
        <v>1</v>
      </c>
      <c r="I31" s="52">
        <v>4.7699999999999999E-2</v>
      </c>
      <c r="J31" s="53">
        <v>1</v>
      </c>
      <c r="K31" s="45">
        <v>1.84E-2</v>
      </c>
      <c r="L31" s="46">
        <v>1</v>
      </c>
      <c r="M31" s="52">
        <v>-1.3899999999999999E-2</v>
      </c>
      <c r="N31" s="53">
        <v>1</v>
      </c>
      <c r="O31" s="45">
        <v>-2.0999999999999999E-3</v>
      </c>
      <c r="P31" s="46">
        <v>1</v>
      </c>
      <c r="Q31" s="52">
        <v>1.1599999999999999E-2</v>
      </c>
      <c r="R31" s="53">
        <v>1</v>
      </c>
      <c r="S31" s="45">
        <v>1.5E-3</v>
      </c>
      <c r="T31" s="46">
        <v>1</v>
      </c>
      <c r="U31" s="52"/>
      <c r="V31" s="53"/>
      <c r="W31" s="45"/>
      <c r="X31" s="46"/>
      <c r="Y31" s="52"/>
      <c r="Z31" s="53"/>
    </row>
    <row r="32" spans="2:31" x14ac:dyDescent="0.25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 x14ac:dyDescent="0.25">
      <c r="B33" s="3" t="s">
        <v>21</v>
      </c>
      <c r="C33" s="48">
        <v>2.7799999999999998E-2</v>
      </c>
      <c r="D33" s="49">
        <v>0.99451839723142998</v>
      </c>
      <c r="E33" s="55">
        <v>7.7999999999999996E-3</v>
      </c>
      <c r="F33" s="56">
        <v>0.99463978556993105</v>
      </c>
      <c r="G33" s="48">
        <v>-2.86E-2</v>
      </c>
      <c r="H33" s="49">
        <v>0.99523719070849004</v>
      </c>
      <c r="I33" s="55">
        <v>4.5400000000000003E-2</v>
      </c>
      <c r="J33" s="56">
        <v>0.99500350591144004</v>
      </c>
      <c r="K33" s="48">
        <v>1.61E-2</v>
      </c>
      <c r="L33" s="49">
        <v>0.99298256026075404</v>
      </c>
      <c r="M33" s="55">
        <v>-1.0999999999999999E-2</v>
      </c>
      <c r="N33" s="56">
        <v>0.99592410756585603</v>
      </c>
      <c r="O33" s="48">
        <v>-4.0000000000000002E-4</v>
      </c>
      <c r="P33" s="49">
        <v>0.99689689116776603</v>
      </c>
      <c r="Q33" s="55">
        <v>1.0200000000000001E-2</v>
      </c>
      <c r="R33" s="56">
        <v>0.99589779596759298</v>
      </c>
      <c r="S33" s="48">
        <v>2.8999999999999998E-3</v>
      </c>
      <c r="T33" s="49">
        <v>0.99724621456985896</v>
      </c>
      <c r="U33" s="55"/>
      <c r="V33" s="56"/>
      <c r="W33" s="48"/>
      <c r="X33" s="49"/>
      <c r="Y33" s="55"/>
      <c r="Z33" s="56"/>
    </row>
    <row r="34" spans="2:26" x14ac:dyDescent="0.25">
      <c r="B34" s="4" t="s">
        <v>22</v>
      </c>
      <c r="C34" s="43">
        <v>1.1999999999999999E-3</v>
      </c>
      <c r="D34" s="44">
        <v>5.4816027685699702E-3</v>
      </c>
      <c r="E34" s="50">
        <v>-1E-4</v>
      </c>
      <c r="F34" s="51">
        <v>5.3602144300689599E-3</v>
      </c>
      <c r="G34" s="43">
        <v>-7.0000000000000097E-4</v>
      </c>
      <c r="H34" s="44">
        <v>4.7628092915103304E-3</v>
      </c>
      <c r="I34" s="50">
        <v>2.3E-3</v>
      </c>
      <c r="J34" s="51">
        <v>4.9964940885597903E-3</v>
      </c>
      <c r="K34" s="43">
        <v>2.3E-3</v>
      </c>
      <c r="L34" s="44">
        <v>7.0174397392460302E-3</v>
      </c>
      <c r="M34" s="50">
        <v>-2.8999999999999998E-3</v>
      </c>
      <c r="N34" s="51">
        <v>4.0758924341435998E-3</v>
      </c>
      <c r="O34" s="43">
        <v>-1.6999999999999999E-3</v>
      </c>
      <c r="P34" s="44">
        <v>3.1031088322343802E-3</v>
      </c>
      <c r="Q34" s="50">
        <v>1.4E-3</v>
      </c>
      <c r="R34" s="51">
        <v>4.1022040324066797E-3</v>
      </c>
      <c r="S34" s="43">
        <v>-1.4E-3</v>
      </c>
      <c r="T34" s="44">
        <v>2.75378543014084E-3</v>
      </c>
      <c r="U34" s="50"/>
      <c r="V34" s="51"/>
      <c r="W34" s="43"/>
      <c r="X34" s="44"/>
      <c r="Y34" s="50"/>
      <c r="Z34" s="51"/>
    </row>
    <row r="35" spans="2:26" x14ac:dyDescent="0.25">
      <c r="B35" s="10" t="s">
        <v>18</v>
      </c>
      <c r="C35" s="45">
        <v>2.9000000000000001E-2</v>
      </c>
      <c r="D35" s="46">
        <v>1</v>
      </c>
      <c r="E35" s="52">
        <v>7.7000000000000002E-3</v>
      </c>
      <c r="F35" s="53">
        <v>1</v>
      </c>
      <c r="G35" s="45">
        <v>-2.93E-2</v>
      </c>
      <c r="H35" s="46">
        <v>1</v>
      </c>
      <c r="I35" s="52">
        <v>4.7699999999999999E-2</v>
      </c>
      <c r="J35" s="53">
        <v>1</v>
      </c>
      <c r="K35" s="45">
        <v>1.84E-2</v>
      </c>
      <c r="L35" s="46">
        <v>1</v>
      </c>
      <c r="M35" s="52">
        <v>-1.3899999999999999E-2</v>
      </c>
      <c r="N35" s="53">
        <v>1</v>
      </c>
      <c r="O35" s="45">
        <v>-2.0999999999999999E-3</v>
      </c>
      <c r="P35" s="46">
        <v>1</v>
      </c>
      <c r="Q35" s="52">
        <v>1.1599999999999999E-2</v>
      </c>
      <c r="R35" s="53">
        <v>1</v>
      </c>
      <c r="S35" s="45">
        <v>1.5E-3</v>
      </c>
      <c r="T35" s="46">
        <v>1</v>
      </c>
      <c r="U35" s="52"/>
      <c r="V35" s="53"/>
      <c r="W35" s="45"/>
      <c r="X35" s="46"/>
      <c r="Y35" s="52"/>
      <c r="Z35" s="53"/>
    </row>
    <row r="36" spans="2:26" x14ac:dyDescent="0.25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 x14ac:dyDescent="0.2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 x14ac:dyDescent="0.25">
      <c r="B38" s="3" t="s">
        <v>1</v>
      </c>
      <c r="C38" s="43">
        <v>1E-4</v>
      </c>
      <c r="D38" s="44">
        <v>5.6286726615117001E-2</v>
      </c>
      <c r="E38" s="50">
        <v>8.0000000000000004E-4</v>
      </c>
      <c r="F38" s="51">
        <v>3.2394213934196101E-2</v>
      </c>
      <c r="G38" s="43">
        <v>1.1999999999999999E-3</v>
      </c>
      <c r="H38" s="44">
        <v>2.9884590309321599E-2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 x14ac:dyDescent="0.25">
      <c r="B39" s="59" t="s">
        <v>904</v>
      </c>
      <c r="C39" s="43">
        <v>8.9999999999999998E-4</v>
      </c>
      <c r="D39" s="44">
        <v>0.36081316283249198</v>
      </c>
      <c r="E39" s="50">
        <v>8.3000000000000001E-3</v>
      </c>
      <c r="F39" s="51">
        <v>0.34854377768437</v>
      </c>
      <c r="G39" s="43">
        <v>8.3000000000000001E-3</v>
      </c>
      <c r="H39" s="44">
        <v>0.33123173434665498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 x14ac:dyDescent="0.25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 x14ac:dyDescent="0.25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 x14ac:dyDescent="0.25">
      <c r="B42" s="4" t="s">
        <v>4</v>
      </c>
      <c r="C42" s="43">
        <v>2.9999999999999997E-4</v>
      </c>
      <c r="D42" s="44">
        <v>0.14179370173985201</v>
      </c>
      <c r="E42" s="50">
        <v>4.1999999999999997E-3</v>
      </c>
      <c r="F42" s="51">
        <v>0.14192065361658299</v>
      </c>
      <c r="G42" s="43">
        <v>4.7000000000000002E-3</v>
      </c>
      <c r="H42" s="44">
        <v>0.13817933837493199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 x14ac:dyDescent="0.25">
      <c r="B43" s="4" t="s">
        <v>5</v>
      </c>
      <c r="C43" s="43">
        <v>0</v>
      </c>
      <c r="D43" s="44">
        <v>4.3118549898469296E-3</v>
      </c>
      <c r="E43" s="50">
        <v>1E-4</v>
      </c>
      <c r="F43" s="51">
        <v>3.95113501552032E-3</v>
      </c>
      <c r="G43" s="43">
        <v>2.0000000000000001E-4</v>
      </c>
      <c r="H43" s="44">
        <v>3.5100507114915799E-3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 x14ac:dyDescent="0.25">
      <c r="B44" s="4" t="s">
        <v>6</v>
      </c>
      <c r="C44" s="43">
        <v>1.6799999999999999E-2</v>
      </c>
      <c r="D44" s="44">
        <v>0.202506546188813</v>
      </c>
      <c r="E44" s="50">
        <v>2.6599999999999999E-2</v>
      </c>
      <c r="F44" s="51">
        <v>0.19936933327697301</v>
      </c>
      <c r="G44" s="43">
        <v>3.04E-2</v>
      </c>
      <c r="H44" s="44">
        <v>0.19351519518873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 x14ac:dyDescent="0.25">
      <c r="B45" s="14" t="s">
        <v>62</v>
      </c>
      <c r="C45" s="43">
        <v>-3.5999999999999999E-3</v>
      </c>
      <c r="D45" s="44">
        <v>0.227964188777425</v>
      </c>
      <c r="E45" s="50">
        <v>7.6E-3</v>
      </c>
      <c r="F45" s="51">
        <v>0.26194792302471398</v>
      </c>
      <c r="G45" s="43">
        <v>1.43E-2</v>
      </c>
      <c r="H45" s="44">
        <v>0.29298984699750402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 x14ac:dyDescent="0.25">
      <c r="B46" s="4" t="s">
        <v>7</v>
      </c>
      <c r="C46" s="43">
        <v>-2.9999999999999997E-4</v>
      </c>
      <c r="D46" s="44">
        <v>9.4216355636123992E-3</v>
      </c>
      <c r="E46" s="50">
        <v>1E-4</v>
      </c>
      <c r="F46" s="51">
        <v>8.9496898327686997E-3</v>
      </c>
      <c r="G46" s="43">
        <v>5.0000000000000001E-4</v>
      </c>
      <c r="H46" s="44">
        <v>9.1819337590582795E-3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 x14ac:dyDescent="0.25">
      <c r="B47" s="4" t="s">
        <v>8</v>
      </c>
      <c r="C47" s="43">
        <v>0</v>
      </c>
      <c r="D47" s="44">
        <v>0</v>
      </c>
      <c r="E47" s="50">
        <v>0</v>
      </c>
      <c r="F47" s="51">
        <v>0</v>
      </c>
      <c r="G47" s="43">
        <v>0</v>
      </c>
      <c r="H47" s="44">
        <v>0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 x14ac:dyDescent="0.25">
      <c r="B48" s="4" t="s">
        <v>9</v>
      </c>
      <c r="C48" s="43">
        <v>-1E-4</v>
      </c>
      <c r="D48" s="44">
        <v>3.6767748537486298E-4</v>
      </c>
      <c r="E48" s="50">
        <v>-1.2999999999999999E-3</v>
      </c>
      <c r="F48" s="51">
        <v>1.6289984921631401E-4</v>
      </c>
      <c r="G48" s="43">
        <v>-1.2999999999999999E-3</v>
      </c>
      <c r="H48" s="44">
        <v>1.09099633203767E-4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 x14ac:dyDescent="0.25">
      <c r="B49" s="4" t="s">
        <v>10</v>
      </c>
      <c r="C49" s="43">
        <v>-7.4000000000000003E-3</v>
      </c>
      <c r="D49" s="44">
        <v>-5.27961660296808E-3</v>
      </c>
      <c r="E49" s="50">
        <v>1.26E-2</v>
      </c>
      <c r="F49" s="51">
        <v>1.0562439165733E-3</v>
      </c>
      <c r="G49" s="43">
        <v>1.29E-2</v>
      </c>
      <c r="H49" s="44">
        <v>-3.1327945411329598E-4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 x14ac:dyDescent="0.25">
      <c r="B50" s="4" t="s">
        <v>11</v>
      </c>
      <c r="C50" s="43">
        <v>0</v>
      </c>
      <c r="D50" s="44">
        <v>0</v>
      </c>
      <c r="E50" s="50">
        <v>0</v>
      </c>
      <c r="F50" s="51">
        <v>0</v>
      </c>
      <c r="G50" s="43">
        <v>-5.9999999999999995E-4</v>
      </c>
      <c r="H50" s="44">
        <v>3.43445196817203E-5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 x14ac:dyDescent="0.25">
      <c r="B51" s="4" t="s">
        <v>12</v>
      </c>
      <c r="C51" s="43">
        <v>0</v>
      </c>
      <c r="D51" s="44">
        <v>1.81412262325908E-3</v>
      </c>
      <c r="E51" s="50">
        <v>1E-4</v>
      </c>
      <c r="F51" s="51">
        <v>1.7041298597421299E-3</v>
      </c>
      <c r="G51" s="43">
        <v>1E-4</v>
      </c>
      <c r="H51" s="44">
        <v>1.6771452666302399E-3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 x14ac:dyDescent="0.25">
      <c r="B52" s="4" t="s">
        <v>13</v>
      </c>
      <c r="C52" s="43">
        <v>0</v>
      </c>
      <c r="D52" s="44">
        <v>0</v>
      </c>
      <c r="E52" s="50">
        <v>0</v>
      </c>
      <c r="F52" s="51">
        <v>0</v>
      </c>
      <c r="G52" s="43">
        <v>0</v>
      </c>
      <c r="H52" s="44">
        <v>0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 x14ac:dyDescent="0.25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 x14ac:dyDescent="0.25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 x14ac:dyDescent="0.25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 x14ac:dyDescent="0.25">
      <c r="B56" s="4" t="s">
        <v>17</v>
      </c>
      <c r="C56" s="43">
        <v>-9.9999999999999802E-5</v>
      </c>
      <c r="D56" s="44">
        <v>-2.1282368180275399E-10</v>
      </c>
      <c r="E56" s="50">
        <v>6.43148728718401E-18</v>
      </c>
      <c r="F56" s="51">
        <v>-1.06576154845772E-11</v>
      </c>
      <c r="G56" s="43">
        <v>3.7036346212104797E-18</v>
      </c>
      <c r="H56" s="44">
        <v>3.4690591808883602E-10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 x14ac:dyDescent="0.25">
      <c r="B57" s="5" t="s">
        <v>25</v>
      </c>
      <c r="C57" s="45">
        <v>6.6E-3</v>
      </c>
      <c r="D57" s="46">
        <v>1</v>
      </c>
      <c r="E57" s="52">
        <v>5.91E-2</v>
      </c>
      <c r="F57" s="53">
        <v>1</v>
      </c>
      <c r="G57" s="45">
        <v>7.0699999999999999E-2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 x14ac:dyDescent="0.25">
      <c r="B58" s="9" t="s">
        <v>24</v>
      </c>
      <c r="C58" s="47">
        <v>146.561820000002</v>
      </c>
      <c r="D58" s="66"/>
      <c r="E58" s="54">
        <v>1453.9122600000001</v>
      </c>
      <c r="F58" s="66"/>
      <c r="G58" s="47">
        <v>1758.1938399999999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 x14ac:dyDescent="0.25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 x14ac:dyDescent="0.25">
      <c r="B60" s="3" t="s">
        <v>19</v>
      </c>
      <c r="C60" s="48">
        <v>2.18E-2</v>
      </c>
      <c r="D60" s="49">
        <v>0.81841024740776902</v>
      </c>
      <c r="E60" s="55">
        <v>4.2299999999999997E-2</v>
      </c>
      <c r="F60" s="56">
        <v>0.77272859092961499</v>
      </c>
      <c r="G60" s="48">
        <v>4.5100000000000001E-2</v>
      </c>
      <c r="H60" s="49">
        <v>0.770406773763602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 x14ac:dyDescent="0.25">
      <c r="B61" s="4" t="s">
        <v>20</v>
      </c>
      <c r="C61" s="43">
        <v>-1.52E-2</v>
      </c>
      <c r="D61" s="44">
        <v>0.18158975259223101</v>
      </c>
      <c r="E61" s="50">
        <v>1.6799999999999999E-2</v>
      </c>
      <c r="F61" s="51">
        <v>0.22727140907038501</v>
      </c>
      <c r="G61" s="43">
        <v>2.5600000000000001E-2</v>
      </c>
      <c r="H61" s="44">
        <v>0.229593226236398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 x14ac:dyDescent="0.25">
      <c r="B62" s="5" t="s">
        <v>25</v>
      </c>
      <c r="C62" s="45">
        <v>6.6E-3</v>
      </c>
      <c r="D62" s="46">
        <v>1</v>
      </c>
      <c r="E62" s="52">
        <v>5.91E-2</v>
      </c>
      <c r="F62" s="53">
        <v>1</v>
      </c>
      <c r="G62" s="45">
        <v>7.0699999999999999E-2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 x14ac:dyDescent="0.25">
      <c r="B63" s="6"/>
      <c r="C63" s="73"/>
      <c r="D63" s="73"/>
      <c r="E63" s="73"/>
      <c r="F63" s="73"/>
      <c r="G63" s="73"/>
      <c r="H63" s="73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 x14ac:dyDescent="0.25">
      <c r="B64" s="3" t="s">
        <v>21</v>
      </c>
      <c r="C64" s="48">
        <v>6.1000000000000004E-3</v>
      </c>
      <c r="D64" s="49">
        <v>0.99523719070849004</v>
      </c>
      <c r="E64" s="55">
        <v>5.7000000000000002E-2</v>
      </c>
      <c r="F64" s="56">
        <v>0.99592410756585603</v>
      </c>
      <c r="G64" s="48">
        <v>7.0300000000000001E-2</v>
      </c>
      <c r="H64" s="49">
        <v>0.99724621456985896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 x14ac:dyDescent="0.25">
      <c r="B65" s="4" t="s">
        <v>22</v>
      </c>
      <c r="C65" s="43">
        <v>5.0000000000000099E-4</v>
      </c>
      <c r="D65" s="44">
        <v>4.7628092915104796E-3</v>
      </c>
      <c r="E65" s="50">
        <v>2.0999999999999999E-3</v>
      </c>
      <c r="F65" s="51">
        <v>4.0758924341441696E-3</v>
      </c>
      <c r="G65" s="43">
        <v>4.0000000000000002E-4</v>
      </c>
      <c r="H65" s="44">
        <v>2.7537854301411201E-3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 x14ac:dyDescent="0.25">
      <c r="B66" s="10" t="s">
        <v>25</v>
      </c>
      <c r="C66" s="45">
        <v>6.6E-3</v>
      </c>
      <c r="D66" s="46">
        <v>1</v>
      </c>
      <c r="E66" s="52">
        <v>5.91E-2</v>
      </c>
      <c r="F66" s="53">
        <v>1</v>
      </c>
      <c r="G66" s="45">
        <v>7.0699999999999999E-2</v>
      </c>
      <c r="H66" s="46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 x14ac:dyDescent="0.25">
      <c r="B70" s="13"/>
    </row>
    <row r="73" spans="2:26" x14ac:dyDescent="0.25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 x14ac:dyDescent="0.2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 x14ac:dyDescent="0.2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 x14ac:dyDescent="0.2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 x14ac:dyDescent="0.2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 x14ac:dyDescent="0.2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 x14ac:dyDescent="0.2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 x14ac:dyDescent="0.2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 x14ac:dyDescent="0.2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 x14ac:dyDescent="0.2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 x14ac:dyDescent="0.2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 x14ac:dyDescent="0.2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 x14ac:dyDescent="0.2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 x14ac:dyDescent="0.2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 x14ac:dyDescent="0.2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 x14ac:dyDescent="0.2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 x14ac:dyDescent="0.2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 x14ac:dyDescent="0.2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 x14ac:dyDescent="0.2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 x14ac:dyDescent="0.2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 x14ac:dyDescent="0.2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 x14ac:dyDescent="0.2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 x14ac:dyDescent="0.2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 x14ac:dyDescent="0.2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 x14ac:dyDescent="0.2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 x14ac:dyDescent="0.2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 x14ac:dyDescent="0.2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 x14ac:dyDescent="0.2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 x14ac:dyDescent="0.2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 x14ac:dyDescent="0.2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 x14ac:dyDescent="0.2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 x14ac:dyDescent="0.2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 x14ac:dyDescent="0.2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 x14ac:dyDescent="0.2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 x14ac:dyDescent="0.2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 x14ac:dyDescent="0.2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 x14ac:dyDescent="0.2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 x14ac:dyDescent="0.2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 x14ac:dyDescent="0.2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 x14ac:dyDescent="0.2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 x14ac:dyDescent="0.2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 x14ac:dyDescent="0.2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 x14ac:dyDescent="0.2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 x14ac:dyDescent="0.2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 x14ac:dyDescent="0.2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 x14ac:dyDescent="0.2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 x14ac:dyDescent="0.2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 x14ac:dyDescent="0.2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 x14ac:dyDescent="0.2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 x14ac:dyDescent="0.2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 x14ac:dyDescent="0.2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 x14ac:dyDescent="0.2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 x14ac:dyDescent="0.2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 x14ac:dyDescent="0.2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 x14ac:dyDescent="0.2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 x14ac:dyDescent="0.2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 x14ac:dyDescent="0.2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 x14ac:dyDescent="0.2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 x14ac:dyDescent="0.2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 x14ac:dyDescent="0.2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 x14ac:dyDescent="0.2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 x14ac:dyDescent="0.2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 x14ac:dyDescent="0.2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 x14ac:dyDescent="0.2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 x14ac:dyDescent="0.2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 x14ac:dyDescent="0.2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 x14ac:dyDescent="0.2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 x14ac:dyDescent="0.2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 x14ac:dyDescent="0.2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 x14ac:dyDescent="0.2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 x14ac:dyDescent="0.2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 x14ac:dyDescent="0.2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 x14ac:dyDescent="0.2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 x14ac:dyDescent="0.2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 x14ac:dyDescent="0.2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 x14ac:dyDescent="0.2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 x14ac:dyDescent="0.2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 x14ac:dyDescent="0.2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 x14ac:dyDescent="0.2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 x14ac:dyDescent="0.2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 x14ac:dyDescent="0.2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 x14ac:dyDescent="0.2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 x14ac:dyDescent="0.2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 x14ac:dyDescent="0.2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 x14ac:dyDescent="0.2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 x14ac:dyDescent="0.2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 x14ac:dyDescent="0.2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 x14ac:dyDescent="0.2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 x14ac:dyDescent="0.2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 x14ac:dyDescent="0.2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 x14ac:dyDescent="0.2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 x14ac:dyDescent="0.2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 x14ac:dyDescent="0.2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 x14ac:dyDescent="0.2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 x14ac:dyDescent="0.2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 x14ac:dyDescent="0.2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 x14ac:dyDescent="0.2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 x14ac:dyDescent="0.2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 x14ac:dyDescent="0.2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 x14ac:dyDescent="0.2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 x14ac:dyDescent="0.2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 x14ac:dyDescent="0.2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 x14ac:dyDescent="0.2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 x14ac:dyDescent="0.2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 x14ac:dyDescent="0.2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 x14ac:dyDescent="0.2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 x14ac:dyDescent="0.2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 x14ac:dyDescent="0.2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 x14ac:dyDescent="0.2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 x14ac:dyDescent="0.2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 x14ac:dyDescent="0.2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 x14ac:dyDescent="0.2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 x14ac:dyDescent="0.2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 x14ac:dyDescent="0.2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 x14ac:dyDescent="0.2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 x14ac:dyDescent="0.2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 x14ac:dyDescent="0.2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 x14ac:dyDescent="0.2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 x14ac:dyDescent="0.2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 x14ac:dyDescent="0.2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 x14ac:dyDescent="0.2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 x14ac:dyDescent="0.2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 x14ac:dyDescent="0.2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 x14ac:dyDescent="0.2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 x14ac:dyDescent="0.2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 x14ac:dyDescent="0.2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 x14ac:dyDescent="0.2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 x14ac:dyDescent="0.2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 x14ac:dyDescent="0.2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 x14ac:dyDescent="0.2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 x14ac:dyDescent="0.2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 x14ac:dyDescent="0.2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 x14ac:dyDescent="0.2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 x14ac:dyDescent="0.2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 x14ac:dyDescent="0.2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 x14ac:dyDescent="0.2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 x14ac:dyDescent="0.2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 x14ac:dyDescent="0.2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 x14ac:dyDescent="0.2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 x14ac:dyDescent="0.2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 x14ac:dyDescent="0.2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 x14ac:dyDescent="0.2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 x14ac:dyDescent="0.2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 x14ac:dyDescent="0.2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 x14ac:dyDescent="0.2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 x14ac:dyDescent="0.2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 x14ac:dyDescent="0.2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 x14ac:dyDescent="0.2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 x14ac:dyDescent="0.2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 x14ac:dyDescent="0.2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 x14ac:dyDescent="0.2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 x14ac:dyDescent="0.2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 x14ac:dyDescent="0.2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 x14ac:dyDescent="0.2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 x14ac:dyDescent="0.2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 x14ac:dyDescent="0.2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 x14ac:dyDescent="0.2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 x14ac:dyDescent="0.2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 x14ac:dyDescent="0.2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 x14ac:dyDescent="0.2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 x14ac:dyDescent="0.2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 x14ac:dyDescent="0.2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 x14ac:dyDescent="0.2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 x14ac:dyDescent="0.2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 x14ac:dyDescent="0.2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 x14ac:dyDescent="0.2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 x14ac:dyDescent="0.2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 x14ac:dyDescent="0.2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 x14ac:dyDescent="0.2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 x14ac:dyDescent="0.2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 x14ac:dyDescent="0.2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 x14ac:dyDescent="0.2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 x14ac:dyDescent="0.2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 x14ac:dyDescent="0.2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 x14ac:dyDescent="0.2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 x14ac:dyDescent="0.2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 x14ac:dyDescent="0.2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 x14ac:dyDescent="0.2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 x14ac:dyDescent="0.2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 x14ac:dyDescent="0.2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 x14ac:dyDescent="0.2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 x14ac:dyDescent="0.2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 x14ac:dyDescent="0.2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 x14ac:dyDescent="0.2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 x14ac:dyDescent="0.2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 x14ac:dyDescent="0.2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 x14ac:dyDescent="0.2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 x14ac:dyDescent="0.2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 x14ac:dyDescent="0.2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 x14ac:dyDescent="0.2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 x14ac:dyDescent="0.2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 x14ac:dyDescent="0.2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 x14ac:dyDescent="0.2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 x14ac:dyDescent="0.2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 x14ac:dyDescent="0.2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 x14ac:dyDescent="0.2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 x14ac:dyDescent="0.2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 x14ac:dyDescent="0.2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 x14ac:dyDescent="0.2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 x14ac:dyDescent="0.2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 x14ac:dyDescent="0.2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 x14ac:dyDescent="0.2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 x14ac:dyDescent="0.2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 x14ac:dyDescent="0.2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 x14ac:dyDescent="0.2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 x14ac:dyDescent="0.2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 x14ac:dyDescent="0.2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 x14ac:dyDescent="0.2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 x14ac:dyDescent="0.2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 x14ac:dyDescent="0.2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 x14ac:dyDescent="0.2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 x14ac:dyDescent="0.2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 x14ac:dyDescent="0.2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 x14ac:dyDescent="0.2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 x14ac:dyDescent="0.2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 x14ac:dyDescent="0.2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 x14ac:dyDescent="0.2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 x14ac:dyDescent="0.2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 x14ac:dyDescent="0.2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 x14ac:dyDescent="0.2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 x14ac:dyDescent="0.2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 x14ac:dyDescent="0.2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 x14ac:dyDescent="0.2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 x14ac:dyDescent="0.2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 x14ac:dyDescent="0.2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 x14ac:dyDescent="0.2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 x14ac:dyDescent="0.2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 x14ac:dyDescent="0.2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 x14ac:dyDescent="0.2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 x14ac:dyDescent="0.2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 x14ac:dyDescent="0.2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 x14ac:dyDescent="0.2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 x14ac:dyDescent="0.2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 x14ac:dyDescent="0.2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 x14ac:dyDescent="0.2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 x14ac:dyDescent="0.2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 x14ac:dyDescent="0.2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 x14ac:dyDescent="0.2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 x14ac:dyDescent="0.2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 x14ac:dyDescent="0.2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 x14ac:dyDescent="0.2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 x14ac:dyDescent="0.2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 x14ac:dyDescent="0.2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 x14ac:dyDescent="0.2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 x14ac:dyDescent="0.2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 x14ac:dyDescent="0.2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 x14ac:dyDescent="0.2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 x14ac:dyDescent="0.2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 x14ac:dyDescent="0.2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 x14ac:dyDescent="0.2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 x14ac:dyDescent="0.2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 x14ac:dyDescent="0.2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 x14ac:dyDescent="0.2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 x14ac:dyDescent="0.2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 x14ac:dyDescent="0.2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 x14ac:dyDescent="0.2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 x14ac:dyDescent="0.2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 x14ac:dyDescent="0.2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 x14ac:dyDescent="0.2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 x14ac:dyDescent="0.2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 x14ac:dyDescent="0.2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 x14ac:dyDescent="0.2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 x14ac:dyDescent="0.2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 x14ac:dyDescent="0.2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 x14ac:dyDescent="0.2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 x14ac:dyDescent="0.2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 x14ac:dyDescent="0.2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 x14ac:dyDescent="0.2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 x14ac:dyDescent="0.2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 x14ac:dyDescent="0.2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 x14ac:dyDescent="0.2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 x14ac:dyDescent="0.2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 x14ac:dyDescent="0.2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 x14ac:dyDescent="0.2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 x14ac:dyDescent="0.2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 x14ac:dyDescent="0.2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 x14ac:dyDescent="0.2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 x14ac:dyDescent="0.2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 x14ac:dyDescent="0.2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 x14ac:dyDescent="0.2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 x14ac:dyDescent="0.2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 x14ac:dyDescent="0.2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 x14ac:dyDescent="0.2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 x14ac:dyDescent="0.2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 x14ac:dyDescent="0.2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 x14ac:dyDescent="0.2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 x14ac:dyDescent="0.2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 x14ac:dyDescent="0.2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 x14ac:dyDescent="0.2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 x14ac:dyDescent="0.2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 x14ac:dyDescent="0.2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 x14ac:dyDescent="0.2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 x14ac:dyDescent="0.2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 x14ac:dyDescent="0.2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 x14ac:dyDescent="0.2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 x14ac:dyDescent="0.2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 x14ac:dyDescent="0.2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 x14ac:dyDescent="0.2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 x14ac:dyDescent="0.2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 x14ac:dyDescent="0.2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 x14ac:dyDescent="0.2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 x14ac:dyDescent="0.2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 x14ac:dyDescent="0.2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 x14ac:dyDescent="0.2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 x14ac:dyDescent="0.2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 x14ac:dyDescent="0.2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 x14ac:dyDescent="0.2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 x14ac:dyDescent="0.2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 x14ac:dyDescent="0.2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 x14ac:dyDescent="0.2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 x14ac:dyDescent="0.2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 x14ac:dyDescent="0.2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 x14ac:dyDescent="0.2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 x14ac:dyDescent="0.2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 x14ac:dyDescent="0.2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 x14ac:dyDescent="0.2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 x14ac:dyDescent="0.2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 x14ac:dyDescent="0.2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 x14ac:dyDescent="0.2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 x14ac:dyDescent="0.2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 x14ac:dyDescent="0.2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 x14ac:dyDescent="0.2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 x14ac:dyDescent="0.2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 x14ac:dyDescent="0.2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 x14ac:dyDescent="0.2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 x14ac:dyDescent="0.2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 x14ac:dyDescent="0.2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 x14ac:dyDescent="0.2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 x14ac:dyDescent="0.2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 x14ac:dyDescent="0.2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 x14ac:dyDescent="0.2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 x14ac:dyDescent="0.2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 x14ac:dyDescent="0.2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 x14ac:dyDescent="0.2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 x14ac:dyDescent="0.2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 x14ac:dyDescent="0.2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 x14ac:dyDescent="0.2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 x14ac:dyDescent="0.2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 x14ac:dyDescent="0.2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 x14ac:dyDescent="0.2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 x14ac:dyDescent="0.2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 x14ac:dyDescent="0.2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 x14ac:dyDescent="0.2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 x14ac:dyDescent="0.2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 x14ac:dyDescent="0.2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 x14ac:dyDescent="0.2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 x14ac:dyDescent="0.2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 x14ac:dyDescent="0.2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 x14ac:dyDescent="0.2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 x14ac:dyDescent="0.2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 x14ac:dyDescent="0.2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 x14ac:dyDescent="0.2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 x14ac:dyDescent="0.2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 x14ac:dyDescent="0.2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 x14ac:dyDescent="0.2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 x14ac:dyDescent="0.2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 x14ac:dyDescent="0.2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 x14ac:dyDescent="0.2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 x14ac:dyDescent="0.2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 x14ac:dyDescent="0.2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 x14ac:dyDescent="0.2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 x14ac:dyDescent="0.2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 x14ac:dyDescent="0.2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 x14ac:dyDescent="0.2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 x14ac:dyDescent="0.2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 x14ac:dyDescent="0.2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 x14ac:dyDescent="0.2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 x14ac:dyDescent="0.2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 x14ac:dyDescent="0.2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 x14ac:dyDescent="0.2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 x14ac:dyDescent="0.2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 x14ac:dyDescent="0.2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 x14ac:dyDescent="0.2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 x14ac:dyDescent="0.2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 x14ac:dyDescent="0.2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 x14ac:dyDescent="0.2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 x14ac:dyDescent="0.2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 x14ac:dyDescent="0.2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 x14ac:dyDescent="0.2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 x14ac:dyDescent="0.2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 x14ac:dyDescent="0.2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 x14ac:dyDescent="0.2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 x14ac:dyDescent="0.2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 x14ac:dyDescent="0.2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 x14ac:dyDescent="0.2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 x14ac:dyDescent="0.2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 x14ac:dyDescent="0.2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 x14ac:dyDescent="0.2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 x14ac:dyDescent="0.2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 x14ac:dyDescent="0.2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 x14ac:dyDescent="0.2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 x14ac:dyDescent="0.2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 x14ac:dyDescent="0.2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 x14ac:dyDescent="0.2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 x14ac:dyDescent="0.2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 x14ac:dyDescent="0.2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 x14ac:dyDescent="0.2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 x14ac:dyDescent="0.2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 x14ac:dyDescent="0.2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 x14ac:dyDescent="0.2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 x14ac:dyDescent="0.2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 x14ac:dyDescent="0.2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 x14ac:dyDescent="0.2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 x14ac:dyDescent="0.2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 x14ac:dyDescent="0.2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 x14ac:dyDescent="0.2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 x14ac:dyDescent="0.2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 x14ac:dyDescent="0.2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 x14ac:dyDescent="0.2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 x14ac:dyDescent="0.2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 x14ac:dyDescent="0.2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 x14ac:dyDescent="0.2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 x14ac:dyDescent="0.2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 x14ac:dyDescent="0.2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 x14ac:dyDescent="0.2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 x14ac:dyDescent="0.2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 x14ac:dyDescent="0.2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 x14ac:dyDescent="0.2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 x14ac:dyDescent="0.2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 x14ac:dyDescent="0.2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 x14ac:dyDescent="0.2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 x14ac:dyDescent="0.2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 x14ac:dyDescent="0.2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 x14ac:dyDescent="0.2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 x14ac:dyDescent="0.2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 x14ac:dyDescent="0.2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 x14ac:dyDescent="0.2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 x14ac:dyDescent="0.2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 x14ac:dyDescent="0.2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 x14ac:dyDescent="0.2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 x14ac:dyDescent="0.2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 x14ac:dyDescent="0.2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 x14ac:dyDescent="0.2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 x14ac:dyDescent="0.2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 x14ac:dyDescent="0.2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 x14ac:dyDescent="0.2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 x14ac:dyDescent="0.2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 x14ac:dyDescent="0.2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 x14ac:dyDescent="0.2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 x14ac:dyDescent="0.2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 x14ac:dyDescent="0.2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 x14ac:dyDescent="0.2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 x14ac:dyDescent="0.2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 x14ac:dyDescent="0.2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 x14ac:dyDescent="0.2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 x14ac:dyDescent="0.2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 x14ac:dyDescent="0.2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 x14ac:dyDescent="0.2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 x14ac:dyDescent="0.2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 x14ac:dyDescent="0.2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 x14ac:dyDescent="0.2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 x14ac:dyDescent="0.2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 x14ac:dyDescent="0.2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 x14ac:dyDescent="0.2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 x14ac:dyDescent="0.2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 x14ac:dyDescent="0.2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 x14ac:dyDescent="0.2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 x14ac:dyDescent="0.2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 x14ac:dyDescent="0.2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 x14ac:dyDescent="0.2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 x14ac:dyDescent="0.2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 x14ac:dyDescent="0.2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 x14ac:dyDescent="0.2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 x14ac:dyDescent="0.2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 x14ac:dyDescent="0.2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 x14ac:dyDescent="0.2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 x14ac:dyDescent="0.2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 x14ac:dyDescent="0.2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 x14ac:dyDescent="0.2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 x14ac:dyDescent="0.2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 x14ac:dyDescent="0.2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 x14ac:dyDescent="0.2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 x14ac:dyDescent="0.2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 x14ac:dyDescent="0.2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 x14ac:dyDescent="0.2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 x14ac:dyDescent="0.2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 x14ac:dyDescent="0.2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 x14ac:dyDescent="0.2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 x14ac:dyDescent="0.2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 x14ac:dyDescent="0.2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 x14ac:dyDescent="0.2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 x14ac:dyDescent="0.2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 x14ac:dyDescent="0.2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 x14ac:dyDescent="0.2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 x14ac:dyDescent="0.2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 x14ac:dyDescent="0.2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 x14ac:dyDescent="0.2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 x14ac:dyDescent="0.2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 x14ac:dyDescent="0.2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 x14ac:dyDescent="0.2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 x14ac:dyDescent="0.2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 x14ac:dyDescent="0.2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 x14ac:dyDescent="0.2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 x14ac:dyDescent="0.2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 x14ac:dyDescent="0.2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 x14ac:dyDescent="0.2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 x14ac:dyDescent="0.2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 x14ac:dyDescent="0.2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 x14ac:dyDescent="0.2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 x14ac:dyDescent="0.2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 x14ac:dyDescent="0.2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 x14ac:dyDescent="0.2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 x14ac:dyDescent="0.2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 x14ac:dyDescent="0.2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 x14ac:dyDescent="0.2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 x14ac:dyDescent="0.2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 x14ac:dyDescent="0.2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 x14ac:dyDescent="0.2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 x14ac:dyDescent="0.2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 x14ac:dyDescent="0.2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 x14ac:dyDescent="0.2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 x14ac:dyDescent="0.2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 x14ac:dyDescent="0.2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 x14ac:dyDescent="0.2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 x14ac:dyDescent="0.2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 x14ac:dyDescent="0.2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 x14ac:dyDescent="0.2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 x14ac:dyDescent="0.2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 x14ac:dyDescent="0.2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 x14ac:dyDescent="0.2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 x14ac:dyDescent="0.2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 x14ac:dyDescent="0.2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 x14ac:dyDescent="0.2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 x14ac:dyDescent="0.2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 x14ac:dyDescent="0.2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 x14ac:dyDescent="0.2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 x14ac:dyDescent="0.2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 x14ac:dyDescent="0.2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 x14ac:dyDescent="0.2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 x14ac:dyDescent="0.2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 x14ac:dyDescent="0.2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 x14ac:dyDescent="0.2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 x14ac:dyDescent="0.2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 x14ac:dyDescent="0.2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 x14ac:dyDescent="0.2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 x14ac:dyDescent="0.2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 x14ac:dyDescent="0.2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 x14ac:dyDescent="0.2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 x14ac:dyDescent="0.2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 x14ac:dyDescent="0.2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 x14ac:dyDescent="0.2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 x14ac:dyDescent="0.2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 x14ac:dyDescent="0.2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 x14ac:dyDescent="0.2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 x14ac:dyDescent="0.2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 x14ac:dyDescent="0.2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 x14ac:dyDescent="0.2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 x14ac:dyDescent="0.2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 x14ac:dyDescent="0.2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 x14ac:dyDescent="0.2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 x14ac:dyDescent="0.2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 x14ac:dyDescent="0.2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 x14ac:dyDescent="0.2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 x14ac:dyDescent="0.2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 x14ac:dyDescent="0.2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 x14ac:dyDescent="0.2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 x14ac:dyDescent="0.2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 x14ac:dyDescent="0.2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 x14ac:dyDescent="0.2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 x14ac:dyDescent="0.2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 x14ac:dyDescent="0.2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 x14ac:dyDescent="0.2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 x14ac:dyDescent="0.2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 x14ac:dyDescent="0.2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 x14ac:dyDescent="0.2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 x14ac:dyDescent="0.2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 x14ac:dyDescent="0.2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 x14ac:dyDescent="0.2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 x14ac:dyDescent="0.2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 x14ac:dyDescent="0.2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 x14ac:dyDescent="0.2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 x14ac:dyDescent="0.2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 x14ac:dyDescent="0.2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 x14ac:dyDescent="0.2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 x14ac:dyDescent="0.2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 x14ac:dyDescent="0.2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 x14ac:dyDescent="0.2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 x14ac:dyDescent="0.2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 x14ac:dyDescent="0.2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 x14ac:dyDescent="0.2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 x14ac:dyDescent="0.2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 x14ac:dyDescent="0.2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 x14ac:dyDescent="0.2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 x14ac:dyDescent="0.2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 x14ac:dyDescent="0.2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 x14ac:dyDescent="0.2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 x14ac:dyDescent="0.2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 x14ac:dyDescent="0.2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 x14ac:dyDescent="0.2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 x14ac:dyDescent="0.2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 x14ac:dyDescent="0.2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 x14ac:dyDescent="0.2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 x14ac:dyDescent="0.2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 x14ac:dyDescent="0.2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 x14ac:dyDescent="0.2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 x14ac:dyDescent="0.2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 x14ac:dyDescent="0.2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 x14ac:dyDescent="0.2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 x14ac:dyDescent="0.2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 x14ac:dyDescent="0.2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 x14ac:dyDescent="0.2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 x14ac:dyDescent="0.2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 x14ac:dyDescent="0.2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 x14ac:dyDescent="0.2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 x14ac:dyDescent="0.2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 x14ac:dyDescent="0.2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 x14ac:dyDescent="0.2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 x14ac:dyDescent="0.2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 x14ac:dyDescent="0.2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 x14ac:dyDescent="0.2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 x14ac:dyDescent="0.2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 x14ac:dyDescent="0.2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 x14ac:dyDescent="0.2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 x14ac:dyDescent="0.2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 x14ac:dyDescent="0.2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 x14ac:dyDescent="0.2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 x14ac:dyDescent="0.2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 x14ac:dyDescent="0.2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 x14ac:dyDescent="0.2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 x14ac:dyDescent="0.2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 x14ac:dyDescent="0.2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 x14ac:dyDescent="0.2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 x14ac:dyDescent="0.2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 x14ac:dyDescent="0.2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 x14ac:dyDescent="0.2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 x14ac:dyDescent="0.2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 x14ac:dyDescent="0.2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 x14ac:dyDescent="0.2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 x14ac:dyDescent="0.2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 x14ac:dyDescent="0.2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 x14ac:dyDescent="0.2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 x14ac:dyDescent="0.2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 x14ac:dyDescent="0.2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 x14ac:dyDescent="0.2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 x14ac:dyDescent="0.2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 x14ac:dyDescent="0.2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 x14ac:dyDescent="0.2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 x14ac:dyDescent="0.2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 x14ac:dyDescent="0.2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 x14ac:dyDescent="0.2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 x14ac:dyDescent="0.2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 x14ac:dyDescent="0.2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 x14ac:dyDescent="0.2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 x14ac:dyDescent="0.2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 x14ac:dyDescent="0.2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 x14ac:dyDescent="0.2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 x14ac:dyDescent="0.2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 x14ac:dyDescent="0.2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 x14ac:dyDescent="0.2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 x14ac:dyDescent="0.2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 x14ac:dyDescent="0.2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 x14ac:dyDescent="0.2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 x14ac:dyDescent="0.2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 x14ac:dyDescent="0.2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 x14ac:dyDescent="0.2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 x14ac:dyDescent="0.2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 x14ac:dyDescent="0.2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 x14ac:dyDescent="0.2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 x14ac:dyDescent="0.2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 x14ac:dyDescent="0.2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 x14ac:dyDescent="0.2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 x14ac:dyDescent="0.2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 x14ac:dyDescent="0.2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 x14ac:dyDescent="0.2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 x14ac:dyDescent="0.2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 x14ac:dyDescent="0.2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 x14ac:dyDescent="0.2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 x14ac:dyDescent="0.2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 x14ac:dyDescent="0.2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 x14ac:dyDescent="0.2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 x14ac:dyDescent="0.2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 x14ac:dyDescent="0.2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 x14ac:dyDescent="0.2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 x14ac:dyDescent="0.2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 x14ac:dyDescent="0.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 x14ac:dyDescent="0.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 x14ac:dyDescent="0.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 x14ac:dyDescent="0.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 x14ac:dyDescent="0.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 x14ac:dyDescent="0.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 x14ac:dyDescent="0.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 x14ac:dyDescent="0.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 x14ac:dyDescent="0.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 x14ac:dyDescent="0.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 x14ac:dyDescent="0.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 x14ac:dyDescent="0.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 x14ac:dyDescent="0.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 x14ac:dyDescent="0.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 x14ac:dyDescent="0.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 x14ac:dyDescent="0.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 x14ac:dyDescent="0.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 x14ac:dyDescent="0.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 x14ac:dyDescent="0.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 x14ac:dyDescent="0.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 x14ac:dyDescent="0.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 x14ac:dyDescent="0.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 x14ac:dyDescent="0.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 x14ac:dyDescent="0.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 x14ac:dyDescent="0.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 x14ac:dyDescent="0.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 x14ac:dyDescent="0.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 x14ac:dyDescent="0.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 x14ac:dyDescent="0.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 x14ac:dyDescent="0.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 x14ac:dyDescent="0.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 x14ac:dyDescent="0.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 x14ac:dyDescent="0.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 x14ac:dyDescent="0.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 x14ac:dyDescent="0.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 x14ac:dyDescent="0.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 x14ac:dyDescent="0.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 x14ac:dyDescent="0.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 x14ac:dyDescent="0.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 x14ac:dyDescent="0.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 x14ac:dyDescent="0.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 x14ac:dyDescent="0.2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Amir Shachar</cp:lastModifiedBy>
  <cp:lastPrinted>2021-05-27T06:23:48Z</cp:lastPrinted>
  <dcterms:created xsi:type="dcterms:W3CDTF">2016-08-07T08:05:35Z</dcterms:created>
  <dcterms:modified xsi:type="dcterms:W3CDTF">2026-10-18T11:29:54Z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