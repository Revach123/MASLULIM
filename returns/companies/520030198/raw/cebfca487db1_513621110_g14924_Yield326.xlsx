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fi-Filer\users\New_U\חטיבת השקעות\BO תפעול וחשבות ניע\מרכיבי תשואה\0326\מזרחי\"/>
    </mc:Choice>
  </mc:AlternateContent>
  <xr:revisionPtr revIDLastSave="0" documentId="13_ncr:1_{B738D8B2-349C-44CD-BBB3-F524B70218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</calcChain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<sst xmlns="http://schemas.openxmlformats.org/spreadsheetml/2006/main" count="92" uniqueCount="64">
  <si>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</si>
  <si>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</si>
  <si>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להשקעה עוקב מדדי מניות (513)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</si>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</sst>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9" fontId="2" fillId="4" borderId="7" xfId="0" applyNumberFormat="1" applyFont="1" applyFill="1" applyBorder="1" applyAlignment="1">
      <alignment horizontal="right"/>
    </xf>
    <xf numFmtId="169" fontId="3" fillId="4" borderId="7" xfId="0" applyNumberFormat="1" applyFont="1" applyFill="1" applyBorder="1" applyAlignment="1">
      <alignment horizontal="right"/>
    </xf>
    <xf numFmtId="169" fontId="3" fillId="4" borderId="8" xfId="0" applyNumberFormat="1" applyFont="1" applyFill="1" applyBorder="1" applyAlignment="1">
      <alignment horizontal="right"/>
    </xf>
    <xf numFmtId="169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9" fontId="3" fillId="4" borderId="4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9" fontId="2" fillId="5" borderId="7" xfId="0" applyNumberFormat="1" applyFont="1" applyFill="1" applyBorder="1" applyAlignment="1">
      <alignment horizontal="right"/>
    </xf>
    <xf numFmtId="169" fontId="2" fillId="5" borderId="1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169" fontId="3" fillId="5" borderId="1" xfId="0" applyNumberFormat="1" applyFont="1" applyFill="1" applyBorder="1" applyAlignment="1">
      <alignment horizontal="right"/>
    </xf>
    <xf numFmtId="169" fontId="3" fillId="5" borderId="8" xfId="0" applyNumberFormat="1" applyFont="1" applyFill="1" applyBorder="1" applyAlignment="1">
      <alignment horizontal="right"/>
    </xf>
    <xf numFmtId="169" fontId="3" fillId="5" borderId="6" xfId="0" applyNumberFormat="1" applyFont="1" applyFill="1" applyBorder="1" applyAlignment="1">
      <alignment horizontal="center" vertical="center" wrapText="1" readingOrder="2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9" fontId="3" fillId="5" borderId="4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9" fontId="2" fillId="4" borderId="6" xfId="0" applyNumberFormat="1" applyFont="1" applyFill="1" applyBorder="1" applyAlignment="1">
      <alignment horizontal="right"/>
    </xf>
    <xf numFmtId="169" fontId="2" fillId="4" borderId="4" xfId="0" applyNumberFormat="1" applyFont="1" applyFill="1" applyBorder="1" applyAlignment="1">
      <alignment horizontal="right"/>
    </xf>
    <xf numFmtId="169" fontId="3" fillId="4" borderId="5" xfId="0" applyNumberFormat="1" applyFont="1" applyFill="1" applyBorder="1" applyAlignment="1">
      <alignment horizontal="right"/>
    </xf>
    <xf numFmtId="169" fontId="2" fillId="5" borderId="6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2" fillId="5" borderId="4" xfId="0" applyNumberFormat="1" applyFont="1" applyFill="1" applyBorder="1" applyAlignment="1">
      <alignment horizontal="right"/>
    </xf>
    <xf numFmtId="169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topLeftCell="A34" zoomScale="145" zoomScaleNormal="145" workbookViewId="0">
      <selection activeCell="N42" sqref="N42"/>
    </sheetView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-2.245E-3</v>
      </c>
      <c r="D6" s="18">
        <v>0.11752</v>
      </c>
      <c r="E6" s="21">
        <v>7.4399999999999998E-4</v>
      </c>
      <c r="F6" s="30">
        <v>0.10603700000000001</v>
      </c>
      <c r="G6" s="12">
        <v>2.0600000000000002E-3</v>
      </c>
      <c r="H6" s="18">
        <v>0.104157</v>
      </c>
      <c r="I6" s="21">
        <v>-5.5209999999999999E-3</v>
      </c>
      <c r="J6" s="30">
        <v>9.9185999999999996E-2</v>
      </c>
      <c r="K6" s="12">
        <v>-3.3999999999999998E-3</v>
      </c>
      <c r="L6" s="18">
        <v>8.9010000000000006E-2</v>
      </c>
      <c r="M6" s="21">
        <v>6.5929999999999999E-3</v>
      </c>
      <c r="N6" s="30">
        <v>0.12770999999999999</v>
      </c>
      <c r="O6" s="12">
        <v>1.7060000000000001E-3</v>
      </c>
      <c r="P6" s="18">
        <v>5.5780999999999997E-2</v>
      </c>
      <c r="Q6" s="21">
        <v>-1.0679999999999999E-3</v>
      </c>
      <c r="R6" s="30">
        <v>5.3793000000000001E-2</v>
      </c>
      <c r="S6" s="12">
        <v>5.6800000000000004E-4</v>
      </c>
      <c r="T6" s="18">
        <v>4.2664000000000001E-2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-3.248E-3</v>
      </c>
      <c r="D7" s="18">
        <v>0.13086100000000001</v>
      </c>
      <c r="E7" s="21">
        <v>1.08E-3</v>
      </c>
      <c r="F7" s="30">
        <v>0.12087299999999999</v>
      </c>
      <c r="G7" s="12">
        <v>2.0590000000000001E-3</v>
      </c>
      <c r="H7" s="18">
        <v>0.125974</v>
      </c>
      <c r="I7" s="21">
        <v>-6.3150000000000003E-3</v>
      </c>
      <c r="J7" s="30">
        <v>0.102219</v>
      </c>
      <c r="K7" s="12">
        <v>-3.8180000000000002E-3</v>
      </c>
      <c r="L7" s="18">
        <v>9.6411999999999998E-2</v>
      </c>
      <c r="M7" s="21">
        <v>4.2310000000000004E-3</v>
      </c>
      <c r="N7" s="30">
        <v>9.7446000000000005E-2</v>
      </c>
      <c r="O7" s="12">
        <v>3.388E-3</v>
      </c>
      <c r="P7" s="18">
        <v>0.124515</v>
      </c>
      <c r="Q7" s="21">
        <v>-2.2169999999999998E-3</v>
      </c>
      <c r="R7" s="30">
        <v>9.6718999999999999E-2</v>
      </c>
      <c r="S7" s="12">
        <v>2.6099999999999999E-3</v>
      </c>
      <c r="T7" s="18">
        <v>0.110081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-7.0899999999999999E-4</v>
      </c>
      <c r="R10" s="30">
        <v>2.8473999999999999E-2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0</v>
      </c>
      <c r="D12" s="18">
        <v>0</v>
      </c>
      <c r="E12" s="21">
        <v>0</v>
      </c>
      <c r="F12" s="30">
        <v>0</v>
      </c>
      <c r="G12" s="12">
        <v>0</v>
      </c>
      <c r="H12" s="18">
        <v>0</v>
      </c>
      <c r="I12" s="21">
        <v>0</v>
      </c>
      <c r="J12" s="30">
        <v>0</v>
      </c>
      <c r="K12" s="12">
        <v>0</v>
      </c>
      <c r="L12" s="18">
        <v>0</v>
      </c>
      <c r="M12" s="21">
        <v>0</v>
      </c>
      <c r="N12" s="30">
        <v>0</v>
      </c>
      <c r="O12" s="12">
        <v>0</v>
      </c>
      <c r="P12" s="18">
        <v>0</v>
      </c>
      <c r="Q12" s="21">
        <v>0</v>
      </c>
      <c r="R12" s="30">
        <v>0</v>
      </c>
      <c r="S12" s="12">
        <v>0</v>
      </c>
      <c r="T12" s="18">
        <v>0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-1.3351E-2</v>
      </c>
      <c r="D13" s="18">
        <v>0.72848800000000002</v>
      </c>
      <c r="E13" s="21">
        <v>-1.8714999999999999E-2</v>
      </c>
      <c r="F13" s="30">
        <v>0.74335600000000002</v>
      </c>
      <c r="G13" s="12">
        <v>-4.2363999999999999E-2</v>
      </c>
      <c r="H13" s="18">
        <v>0.75990400000000002</v>
      </c>
      <c r="I13" s="21">
        <v>7.6067999999999997E-2</v>
      </c>
      <c r="J13" s="30">
        <v>0.77171699999999999</v>
      </c>
      <c r="K13" s="12">
        <v>6.2520000000000006E-2</v>
      </c>
      <c r="L13" s="18">
        <v>0.75606200000000001</v>
      </c>
      <c r="M13" s="21">
        <v>3.1650999999999999E-2</v>
      </c>
      <c r="N13" s="30">
        <v>0.74260700000000002</v>
      </c>
      <c r="O13" s="12">
        <v>-3.4209999999999997E-2</v>
      </c>
      <c r="P13" s="18">
        <v>0.84420300000000004</v>
      </c>
      <c r="Q13" s="21">
        <v>2.8070000000000001E-2</v>
      </c>
      <c r="R13" s="30">
        <v>0.84487800000000002</v>
      </c>
      <c r="S13" s="12">
        <v>4.3001999999999999E-2</v>
      </c>
      <c r="T13" s="18">
        <v>0.85532699999999995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3.5971000000000003E-2</v>
      </c>
      <c r="D17" s="18">
        <v>2.3174E-2</v>
      </c>
      <c r="E17" s="21">
        <v>-3.627E-3</v>
      </c>
      <c r="F17" s="30">
        <v>2.9759000000000001E-2</v>
      </c>
      <c r="G17" s="12">
        <v>-1.6955000000000001E-2</v>
      </c>
      <c r="H17" s="18">
        <v>9.9649999999999999E-3</v>
      </c>
      <c r="I17" s="21">
        <v>6.7215999999999998E-2</v>
      </c>
      <c r="J17" s="30">
        <v>2.6901999999999999E-2</v>
      </c>
      <c r="K17" s="12">
        <v>3.3718999999999999E-2</v>
      </c>
      <c r="L17" s="18">
        <v>5.8535999999999998E-2</v>
      </c>
      <c r="M17" s="21">
        <v>2.1683999999999998E-2</v>
      </c>
      <c r="N17" s="30">
        <v>3.2199999999999999E-2</v>
      </c>
      <c r="O17" s="12">
        <v>-3.8286000000000001E-2</v>
      </c>
      <c r="P17" s="18">
        <v>-2.4483000000000001E-2</v>
      </c>
      <c r="Q17" s="21">
        <v>3.1949999999999999E-3</v>
      </c>
      <c r="R17" s="30">
        <v>-2.385E-2</v>
      </c>
      <c r="S17" s="12">
        <v>9.3310000000000008E-3</v>
      </c>
      <c r="T17" s="18">
        <v>-8.0809999999999996E-3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9.3999999999999994E-5</v>
      </c>
      <c r="D24" s="18">
        <v>-4.3999999999999999E-5</v>
      </c>
      <c r="E24" s="21">
        <v>4.2499999999999998E-4</v>
      </c>
      <c r="F24" s="30">
        <v>-2.5000000000000001E-5</v>
      </c>
      <c r="G24" s="12">
        <v>1.1559999999999999E-3</v>
      </c>
      <c r="H24" s="18">
        <v>0</v>
      </c>
      <c r="I24" s="21">
        <v>-7.4200000000000004E-4</v>
      </c>
      <c r="J24" s="30">
        <v>-2.1999999999999999E-5</v>
      </c>
      <c r="K24" s="12">
        <v>-1.49E-3</v>
      </c>
      <c r="L24" s="18">
        <v>-2.0000000000000002E-5</v>
      </c>
      <c r="M24" s="21">
        <v>-1.8E-3</v>
      </c>
      <c r="N24" s="30">
        <v>3.8000000000000002E-5</v>
      </c>
      <c r="O24" s="12">
        <v>1.892E-3</v>
      </c>
      <c r="P24" s="18">
        <v>-1.5999999999999999E-5</v>
      </c>
      <c r="Q24" s="21">
        <v>1.3129999999999999E-3</v>
      </c>
      <c r="R24" s="30">
        <v>-1.2999999999999999E-5</v>
      </c>
      <c r="S24" s="12">
        <v>-2.503E-3</v>
      </c>
      <c r="T24" s="18">
        <v>9.0000000000000002E-6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1.7221E-2</v>
      </c>
      <c r="D25" s="19">
        <v>1</v>
      </c>
      <c r="E25" s="23">
        <v>-2.0091999999999999E-2</v>
      </c>
      <c r="F25" s="31">
        <v>1</v>
      </c>
      <c r="G25" s="13">
        <v>-5.4045000000000003E-2</v>
      </c>
      <c r="H25" s="19">
        <v>1</v>
      </c>
      <c r="I25" s="23">
        <v>0.13070499999999999</v>
      </c>
      <c r="J25" s="31">
        <v>1</v>
      </c>
      <c r="K25" s="13">
        <v>8.7530999999999998E-2</v>
      </c>
      <c r="L25" s="19">
        <v>1</v>
      </c>
      <c r="M25" s="23">
        <v>6.2357999999999997E-2</v>
      </c>
      <c r="N25" s="31">
        <v>1</v>
      </c>
      <c r="O25" s="13">
        <v>-6.5509999999999999E-2</v>
      </c>
      <c r="P25" s="19">
        <v>1</v>
      </c>
      <c r="Q25" s="23">
        <v>2.8583999999999998E-2</v>
      </c>
      <c r="R25" s="31">
        <v>1</v>
      </c>
      <c r="S25" s="13">
        <v>5.3008E-2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177.97721999999999</v>
      </c>
      <c r="D26" s="20"/>
      <c r="E26" s="16">
        <v>-243.76838000000001</v>
      </c>
      <c r="F26" s="32"/>
      <c r="G26" s="7">
        <v>-658.11882000000003</v>
      </c>
      <c r="H26" s="20"/>
      <c r="I26" s="16">
        <v>1563.4010800000001</v>
      </c>
      <c r="J26" s="32"/>
      <c r="K26" s="7">
        <v>1203.2556099999999</v>
      </c>
      <c r="L26" s="20"/>
      <c r="M26" s="16">
        <v>990.36362999999994</v>
      </c>
      <c r="N26" s="32"/>
      <c r="O26" s="7">
        <v>-1218.1277</v>
      </c>
      <c r="P26" s="20"/>
      <c r="Q26" s="16">
        <v>526.01800000000003</v>
      </c>
      <c r="R26" s="32"/>
      <c r="S26" s="7">
        <v>1365.3077699999999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-8.8389999999999996E-3</v>
      </c>
      <c r="D28" s="34">
        <v>0.37836999999999998</v>
      </c>
      <c r="E28" s="36">
        <v>-6.5399999999999998E-3</v>
      </c>
      <c r="F28" s="39">
        <v>0.44878400000000002</v>
      </c>
      <c r="G28" s="33">
        <v>-2.3175999999999999E-2</v>
      </c>
      <c r="H28" s="34">
        <v>0.46372600000000003</v>
      </c>
      <c r="I28" s="36">
        <v>4.895E-2</v>
      </c>
      <c r="J28" s="39">
        <v>0.39508300000000002</v>
      </c>
      <c r="K28" s="33">
        <v>4.2233E-2</v>
      </c>
      <c r="L28" s="34">
        <v>0.41516799999999998</v>
      </c>
      <c r="M28" s="36">
        <v>1.9526000000000002E-2</v>
      </c>
      <c r="N28" s="39">
        <v>0.46236899999999997</v>
      </c>
      <c r="O28" s="33">
        <v>-2.6065999999999999E-2</v>
      </c>
      <c r="P28" s="34">
        <v>0.45657799999999998</v>
      </c>
      <c r="Q28" s="36">
        <v>1.7909000000000001E-2</v>
      </c>
      <c r="R28" s="39">
        <v>0.42525600000000002</v>
      </c>
      <c r="S28" s="33">
        <v>2.0187E-2</v>
      </c>
      <c r="T28" s="34">
        <v>0.39485399999999998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2.6061000000000001E-2</v>
      </c>
      <c r="D29" s="18">
        <v>0.62163000000000002</v>
      </c>
      <c r="E29" s="21">
        <v>-1.3551000000000001E-2</v>
      </c>
      <c r="F29" s="30">
        <v>0.55121600000000004</v>
      </c>
      <c r="G29" s="12">
        <v>-3.0868E-2</v>
      </c>
      <c r="H29" s="18">
        <v>0.53627400000000003</v>
      </c>
      <c r="I29" s="21">
        <v>8.1754999999999994E-2</v>
      </c>
      <c r="J29" s="30">
        <v>0.60491700000000004</v>
      </c>
      <c r="K29" s="12">
        <v>4.5297999999999998E-2</v>
      </c>
      <c r="L29" s="18">
        <v>0.58483200000000002</v>
      </c>
      <c r="M29" s="21">
        <v>4.2832000000000002E-2</v>
      </c>
      <c r="N29" s="30">
        <v>0.53763099999999997</v>
      </c>
      <c r="O29" s="12">
        <v>-3.9444E-2</v>
      </c>
      <c r="P29" s="18">
        <v>0.54342199999999996</v>
      </c>
      <c r="Q29" s="21">
        <v>1.0673999999999999E-2</v>
      </c>
      <c r="R29" s="30">
        <v>0.57474400000000003</v>
      </c>
      <c r="S29" s="12">
        <v>3.2821000000000003E-2</v>
      </c>
      <c r="T29" s="18">
        <v>0.60514599999999996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1.7221E-2</v>
      </c>
      <c r="D30" s="35">
        <v>1</v>
      </c>
      <c r="E30" s="25">
        <v>-2.0091999999999999E-2</v>
      </c>
      <c r="F30" s="40">
        <v>1</v>
      </c>
      <c r="G30" s="14">
        <v>-5.4045000000000003E-2</v>
      </c>
      <c r="H30" s="35">
        <v>1</v>
      </c>
      <c r="I30" s="25">
        <v>0.13070499999999999</v>
      </c>
      <c r="J30" s="40">
        <v>1</v>
      </c>
      <c r="K30" s="14">
        <v>8.7530999999999998E-2</v>
      </c>
      <c r="L30" s="35">
        <v>1</v>
      </c>
      <c r="M30" s="25">
        <v>6.2357999999999997E-2</v>
      </c>
      <c r="N30" s="40">
        <v>1</v>
      </c>
      <c r="O30" s="14">
        <v>-6.5509999999999999E-2</v>
      </c>
      <c r="P30" s="35">
        <v>1</v>
      </c>
      <c r="Q30" s="25">
        <v>2.8583999999999998E-2</v>
      </c>
      <c r="R30" s="40">
        <v>1</v>
      </c>
      <c r="S30" s="14">
        <v>5.3008E-2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2.1233999999999999E-2</v>
      </c>
      <c r="D32" s="34">
        <v>0.92878700000000003</v>
      </c>
      <c r="E32" s="36">
        <v>-2.0750999999999999E-2</v>
      </c>
      <c r="F32" s="39">
        <v>0.93436799999999998</v>
      </c>
      <c r="G32" s="33">
        <v>-5.5003999999999997E-2</v>
      </c>
      <c r="H32" s="34">
        <v>0.92436399999999996</v>
      </c>
      <c r="I32" s="36">
        <v>0.13688</v>
      </c>
      <c r="J32" s="39">
        <v>0.91857800000000001</v>
      </c>
      <c r="K32" s="33">
        <v>9.1726000000000002E-2</v>
      </c>
      <c r="L32" s="34">
        <v>0.92594299999999996</v>
      </c>
      <c r="M32" s="36">
        <v>5.6501000000000003E-2</v>
      </c>
      <c r="N32" s="39">
        <v>0.91237599999999996</v>
      </c>
      <c r="O32" s="33">
        <v>-6.7442000000000002E-2</v>
      </c>
      <c r="P32" s="34">
        <v>0.973943</v>
      </c>
      <c r="Q32" s="36">
        <v>2.8568E-2</v>
      </c>
      <c r="R32" s="39">
        <v>0.97857000000000005</v>
      </c>
      <c r="S32" s="33">
        <v>5.2851000000000002E-2</v>
      </c>
      <c r="T32" s="34">
        <v>0.992954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-4.0130000000000001E-3</v>
      </c>
      <c r="D33" s="18">
        <v>7.1212999999999999E-2</v>
      </c>
      <c r="E33" s="21">
        <v>6.5899999999999997E-4</v>
      </c>
      <c r="F33" s="30">
        <v>6.5631999999999996E-2</v>
      </c>
      <c r="G33" s="12">
        <v>9.59E-4</v>
      </c>
      <c r="H33" s="18">
        <v>7.5635999999999995E-2</v>
      </c>
      <c r="I33" s="21">
        <v>-6.1739999999999998E-3</v>
      </c>
      <c r="J33" s="30">
        <v>8.1421999999999994E-2</v>
      </c>
      <c r="K33" s="12">
        <v>-4.1949999999999999E-3</v>
      </c>
      <c r="L33" s="18">
        <v>7.4056999999999998E-2</v>
      </c>
      <c r="M33" s="21">
        <v>5.8570000000000002E-3</v>
      </c>
      <c r="N33" s="30">
        <v>8.7623999999999994E-2</v>
      </c>
      <c r="O33" s="12">
        <v>1.9319999999999999E-3</v>
      </c>
      <c r="P33" s="18">
        <v>2.6057E-2</v>
      </c>
      <c r="Q33" s="21">
        <v>1.5E-5</v>
      </c>
      <c r="R33" s="30">
        <v>2.1430000000000001E-2</v>
      </c>
      <c r="S33" s="12">
        <v>1.5699999999999999E-4</v>
      </c>
      <c r="T33" s="18">
        <v>7.0460000000000002E-3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1.7221E-2</v>
      </c>
      <c r="D34" s="35">
        <v>1</v>
      </c>
      <c r="E34" s="25">
        <v>-2.0091999999999999E-2</v>
      </c>
      <c r="F34" s="40">
        <v>1</v>
      </c>
      <c r="G34" s="14">
        <v>-5.4045000000000003E-2</v>
      </c>
      <c r="H34" s="35">
        <v>1</v>
      </c>
      <c r="I34" s="25">
        <v>0.13070499999999999</v>
      </c>
      <c r="J34" s="40">
        <v>1</v>
      </c>
      <c r="K34" s="14">
        <v>8.7530999999999998E-2</v>
      </c>
      <c r="L34" s="35">
        <v>1</v>
      </c>
      <c r="M34" s="25">
        <v>6.2357999999999997E-2</v>
      </c>
      <c r="N34" s="40">
        <v>1</v>
      </c>
      <c r="O34" s="14">
        <v>-6.5509999999999999E-2</v>
      </c>
      <c r="P34" s="35">
        <v>1</v>
      </c>
      <c r="Q34" s="25">
        <v>2.8583999999999998E-2</v>
      </c>
      <c r="R34" s="40">
        <v>1</v>
      </c>
      <c r="S34" s="14">
        <v>5.3008E-2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5.5423421922329297E-4</v>
      </c>
      <c r="D37" s="18">
        <v>0.10904732369801599</v>
      </c>
      <c r="E37" s="21">
        <v>-1.8149991567792999E-3</v>
      </c>
      <c r="F37" s="30">
        <v>0.10763242033327899</v>
      </c>
      <c r="G37" s="12">
        <v>-6.12646053568366E-4</v>
      </c>
      <c r="H37" s="18">
        <v>8.1296758040174194E-2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-1.16978974642579E-4</v>
      </c>
      <c r="D38" s="18">
        <v>0.12578905132283699</v>
      </c>
      <c r="E38" s="21">
        <v>-6.0369464226569499E-3</v>
      </c>
      <c r="F38" s="30">
        <v>0.11047184693744699</v>
      </c>
      <c r="G38" s="12">
        <f>-0.228321959504496%+0.57%</f>
        <v>3.4167804049550395E-3</v>
      </c>
      <c r="H38" s="18">
        <v>0.110089038186831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-7.0899999999995999E-4</v>
      </c>
      <c r="H41" s="18">
        <v>4.2875041131687601E-3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0</v>
      </c>
      <c r="D43" s="18">
        <v>0</v>
      </c>
      <c r="E43" s="21">
        <v>0</v>
      </c>
      <c r="F43" s="30">
        <v>0</v>
      </c>
      <c r="G43" s="12">
        <v>0</v>
      </c>
      <c r="H43" s="18">
        <v>0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-7.2832277248013194E-2</v>
      </c>
      <c r="D44" s="18">
        <v>0.74427233044534902</v>
      </c>
      <c r="E44" s="21">
        <v>9.3623761987739806E-2</v>
      </c>
      <c r="F44" s="30">
        <v>0.75062489183728798</v>
      </c>
      <c r="G44" s="12">
        <v>0.13255283008959001</v>
      </c>
      <c r="H44" s="18">
        <v>0.79544851207091405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1.4712352727882299E-2</v>
      </c>
      <c r="D48" s="18">
        <v>2.0913491297902799E-2</v>
      </c>
      <c r="E48" s="21">
        <v>0.143705911896855</v>
      </c>
      <c r="F48" s="30">
        <v>3.1280443021903699E-2</v>
      </c>
      <c r="G48" s="12">
        <v>0.11372835141806199</v>
      </c>
      <c r="H48" s="18">
        <v>8.8858930224517893E-3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1.67563996018205E-3</v>
      </c>
      <c r="D55" s="18">
        <v>-2.2514761917456401E-5</v>
      </c>
      <c r="E55" s="21">
        <v>-2.35798644891094E-3</v>
      </c>
      <c r="F55" s="30">
        <v>-9.2021824191727096E-6</v>
      </c>
      <c r="G55" s="12">
        <v>-1.66317281934103E-3</v>
      </c>
      <c r="H55" s="18">
        <v>-7.3374613241034104E-6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-5.70881413328772E-2</v>
      </c>
      <c r="D56" s="19">
        <v>1</v>
      </c>
      <c r="E56" s="23">
        <v>0.23177943290376901</v>
      </c>
      <c r="F56" s="31">
        <v>1</v>
      </c>
      <c r="G56" s="13">
        <v>0.24674903804543599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-723.90998000000002</v>
      </c>
      <c r="D57" s="20"/>
      <c r="E57" s="16">
        <v>3033.1103400000002</v>
      </c>
      <c r="F57" s="32"/>
      <c r="G57" s="7">
        <v>3706.3084100000001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-3.8142108972422498E-2</v>
      </c>
      <c r="D59" s="34">
        <v>0.431489036873826</v>
      </c>
      <c r="E59" s="36">
        <v>7.2084026351315403E-2</v>
      </c>
      <c r="F59" s="39">
        <v>0.42898072355024502</v>
      </c>
      <c r="G59" s="33">
        <v>8.4294093210286705E-2</v>
      </c>
      <c r="H59" s="34">
        <v>0.42571156063433402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-1.9086410176203699E-2</v>
      </c>
      <c r="D60" s="18">
        <v>0.568510963126174</v>
      </c>
      <c r="E60" s="21">
        <v>0.15668241056300999</v>
      </c>
      <c r="F60" s="30">
        <v>0.57101927644975503</v>
      </c>
      <c r="G60" s="12">
        <v>0.15977294578944301</v>
      </c>
      <c r="H60" s="18">
        <v>0.57428843936566598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-5.70881413328772E-2</v>
      </c>
      <c r="D61" s="35">
        <v>1</v>
      </c>
      <c r="E61" s="25">
        <v>0.23177943290376901</v>
      </c>
      <c r="F61" s="40">
        <v>1</v>
      </c>
      <c r="G61" s="14">
        <v>0.24674903804543599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-5.4963957433123101E-2</v>
      </c>
      <c r="D63" s="34">
        <v>0.92918101125502695</v>
      </c>
      <c r="E63" s="36">
        <v>0.23921472293575999</v>
      </c>
      <c r="F63" s="39">
        <v>0.923292775876419</v>
      </c>
      <c r="G63" s="33">
        <v>0.25147546389018499</v>
      </c>
      <c r="H63" s="34">
        <v>0.95054217620160097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-2.40086358913993E-3</v>
      </c>
      <c r="D64" s="18">
        <v>7.0818988744973096E-2</v>
      </c>
      <c r="E64" s="21">
        <v>-6.93662723872968E-3</v>
      </c>
      <c r="F64" s="30">
        <v>7.6707224123581302E-2</v>
      </c>
      <c r="G64" s="12">
        <v>-4.8468895603263097E-3</v>
      </c>
      <c r="H64" s="18">
        <v>4.9457823798399199E-2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-5.70881413328772E-2</v>
      </c>
      <c r="D65" s="35">
        <v>1</v>
      </c>
      <c r="E65" s="25">
        <v>0.23177943290376901</v>
      </c>
      <c r="F65" s="40">
        <v>1</v>
      </c>
      <c r="G65" s="14">
        <v>0.24674903804543599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Alisa Rozenblat</cp:lastModifiedBy>
  <dcterms:modified xsi:type="dcterms:W3CDTF">2026-10-25T08:42:46Z</dcterms:modified>
</cp:coreProperties>
</file>