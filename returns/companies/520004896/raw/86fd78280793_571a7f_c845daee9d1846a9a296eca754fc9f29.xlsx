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3-2026\דוח מרכיבי תשואה- 30.9.2026- לאתר- מונגש\"/>
    </mc:Choice>
  </mc:AlternateContent>
  <xr:revisionPtr revIDLastSave="0" documentId="13_ncr:1_{A394C8C9-52FA-48E4-8231-B29BAF00429F}" xr6:coauthVersionLast="47" xr6:coauthVersionMax="47" xr10:uidLastSave="{00000000-0000-0000-0000-000000000000}"/>
  <workbookProtection workbookPassword="8F07" lockStructure="1"/>
  <bookViews>
    <workbookView xWindow="-120" yWindow="-120" windowWidth="29040" windowHeight="1572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3" i="6"/>
  <c r="B24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<sst xmlns="http://schemas.openxmlformats.org/spreadsheetml/2006/main" count="5755" uniqueCount="1430">
  <si>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</si>
  <si>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</si>
  <si>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</si>
  <si>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</si>
  <si>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</si>
  <si>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</si>
  <si>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</si>
  <si>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</si>
  <si>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</si>
  <si>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</si>
  <si>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</si>
  <si>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</si>
  <si>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</si>
  <si>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</si>
  <si>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</si>
  <si>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</si>
  <si>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</si>
  <si>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</si>
  <si>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</si>
  <si>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</si>
  <si>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</si>
  <si>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</si>
  <si>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</si>
  <si>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</si>
  <si>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</si>
  <si>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</si>
  <si>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</si>
  <si>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</si>
  <si>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</si>
  <si>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</si>
  <si>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</si>
  <si>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</si>
  <si>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</si>
  <si>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</si>
  <si>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</si>
  <si>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</si>
  <si>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</si>
  <si>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</si>
  <si>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</si>
  <si>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</si>
  <si>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</si>
  <si>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</si>
  <si>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</si>
  <si>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</si>
  <si>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</si>
  <si>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</si>
  <si>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</si>
  <si>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</si>
  <si>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</si>
  <si>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</si>
  <si>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</si>
  <si>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</si>
  <si>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</si>
  <si>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</si>
  <si>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</si>
  <si>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</si>
  <si>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</si>
  <si>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</si>
  <si>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</si>
  <si>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</si>
  <si>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</si>
  <si>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</si>
  <si>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</si>
  <si>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</si>
  <si>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</si>
  <si>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</si>
  <si>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</si>
  <si>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</si>
  <si>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</si>
  <si>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</si>
  <si>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</si>
  <si>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</si>
  <si>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</si>
  <si>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</si>
  <si>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</si>
  <si>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</si>
  <si>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</si>
  <si>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</si>
  <si>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</si>
  <si>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</si>
  <si>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</si>
  <si>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</si>
  <si>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</si>
  <si>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</si>
  <si>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</si>
  <si>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</si>
  <si>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</si>
  <si>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</si>
  <si>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</si>
  <si>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</si>
  <si>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</si>
  <si>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</si>
  <si>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</si>
  <si>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</si>
  <si>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</si>
  <si>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</si>
  <si>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</si>
  <si>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</si>
  <si>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</si>
  <si>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</si>
  <si>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</si>
  <si>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</si>
  <si>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</si>
  <si>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</si>
  <si>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</si>
  <si>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</si>
  <si>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</si>
  <si>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</si>
  <si>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</si>
  <si>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</si>
  <si>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</si>
  <si>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</si>
  <si>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</si>
  <si>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</si>
  <si>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</si>
  <si>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</si>
  <si>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</si>
  <si>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</si>
  <si>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</si>
  <si>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</si>
  <si>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</si>
  <si>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</si>
  <si>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</si>
  <si>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</si>
  <si>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</si>
  <si>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</si>
  <si>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</si>
  <si>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</si>
  <si>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</si>
  <si>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</si>
  <si>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</si>
  <si>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</si>
  <si>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</si>
  <si>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</si>
  <si>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</si>
  <si>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</si>
  <si>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</si>
  <si>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</si>
  <si>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</si>
  <si>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</si>
  <si>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</si>
  <si>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</si>
  <si>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</si>
  <si>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</si>
  <si>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</si>
  <si>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</si>
  <si>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</si>
  <si>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</si>
  <si>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</si>
  <si>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</si>
  <si>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</si>
  <si>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</si>
  <si>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</si>
  <si>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</si>
  <si>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</si>
  <si>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</si>
  <si>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</si>
  <si>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</si>
  <si>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</si>
  <si>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</si>
  <si>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</si>
  <si>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</si>
  <si>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</si>
  <si>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</si>
  <si>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</si>
  <si>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</si>
  <si>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</si>
  <si>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</si>
  <si>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</si>
  <si>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</si>
  <si>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</si>
  <si>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</si>
  <si>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</si>
  <si>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</si>
  <si>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</si>
  <si>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</si>
  <si>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</si>
  <si>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</si>
  <si>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</si>
  <si>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</si>
  <si>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</si>
  <si>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</si>
  <si>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</si>
  <si>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</si>
  <si>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</si>
  <si>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</si>
  <si>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</si>
  <si>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</si>
  <si>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</si>
  <si>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</si>
  <si>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</si>
  <si>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</si>
  <si>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</si>
  <si>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</si>
  <si>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</si>
  <si>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</si>
  <si>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</si>
  <si>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</si>
  <si>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</si>
  <si>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</si>
  <si>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</si>
  <si>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</si>
  <si>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</si>
  <si>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</si>
  <si>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</si>
  <si>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</si>
  <si>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</si>
  <si>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</si>
  <si>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</si>
  <si>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</si>
  <si>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</si>
  <si>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</si>
  <si>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</si>
  <si>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</si>
  <si>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</si>
  <si>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</si>
  <si>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</si>
  <si>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</si>
  <si>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</si>
  <si>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</si>
  <si>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</si>
  <si>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</si>
  <si>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</si>
  <si>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</si>
  <si>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</si>
  <si>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</si>
  <si>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</si>
  <si>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</si>
  <si>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</si>
  <si>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</si>
  <si>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</si>
  <si>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</si>
  <si>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</si>
  <si>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</si>
  <si>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</si>
  <si>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</si>
  <si>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</si>
  <si>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</si>
  <si>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</si>
  <si>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</si>
  <si>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</si>
  <si>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</si>
  <si>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</si>
  <si>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</si>
  <si>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</si>
  <si>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</si>
  <si>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</si>
  <si>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</si>
  <si>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</si>
  <si>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</si>
  <si>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</si>
  <si>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</si>
  <si>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</si>
  <si>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</si>
  <si>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</si>
  <si>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</si>
  <si>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</si>
  <si>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</si>
  <si>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</si>
  <si>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</si>
  <si>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</si>
  <si>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</si>
  <si>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</si>
  <si>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</si>
  <si>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</si>
  <si>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</si>
  <si>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</si>
  <si>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</si>
  <si>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</si>
  <si>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</si>
  <si>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</si>
  <si>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</si>
  <si>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</si>
  <si>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</si>
  <si>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</si>
  <si>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</si>
  <si>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</si>
  <si>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</si>
  <si>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</si>
  <si>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</si>
  <si>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</si>
  <si>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</si>
  <si>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</si>
  <si>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</si>
  <si>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</si>
  <si>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</si>
  <si>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</si>
  <si>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</si>
  <si>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</si>
  <si>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</si>
  <si>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</si>
  <si>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</si>
  <si>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</si>
  <si>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</si>
  <si>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</si>
  <si>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</si>
  <si>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</si>
  <si>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</si>
  <si>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</si>
  <si>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</si>
  <si>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</si>
  <si>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</si>
  <si>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</si>
  <si>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</si>
  <si>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</si>
  <si>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</si>
  <si>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</si>
  <si>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</si>
  <si>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</si>
  <si>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</si>
  <si>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</si>
  <si>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</si>
  <si>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</si>
  <si>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</si>
  <si>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</si>
  <si>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</si>
  <si>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</si>
  <si>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</si>
  <si>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</si>
  <si>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</si>
  <si>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</si>
  <si>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</si>
  <si>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</si>
  <si>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</si>
  <si>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</si>
  <si>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</si>
  <si>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</si>
  <si>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</si>
  <si>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</si>
  <si>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</si>
  <si>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</si>
  <si>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</si>
  <si>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</si>
  <si>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</si>
  <si>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</si>
  <si>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</si>
  <si>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</si>
  <si>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</si>
  <si>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</si>
  <si>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</si>
  <si>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</si>
  <si>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</si>
  <si>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</si>
  <si>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</si>
  <si>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</si>
  <si>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</si>
  <si>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</si>
  <si>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</si>
  <si>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</si>
  <si>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</si>
  <si>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</si>
  <si>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</si>
  <si>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</si>
  <si>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</si>
  <si>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</si>
  <si>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</si>
  <si>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</si>
  <si>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</si>
  <si>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</si>
  <si>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</si>
  <si>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</si>
  <si>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</si>
  <si>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</si>
  <si>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</si>
  <si>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</si>
  <si>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</si>
  <si>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</si>
  <si>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</si>
  <si>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</si>
  <si>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</si>
  <si>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</si>
  <si>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</si>
  <si>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</si>
  <si>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</si>
  <si>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</si>
  <si>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</si>
  <si>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</si>
  <si>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</si>
  <si>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</si>
  <si>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</si>
  <si>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</si>
  <si>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</si>
  <si>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</si>
  <si>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</si>
  <si>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</si>
  <si>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</si>
  <si>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</si>
  <si>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</si>
  <si>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</si>
  <si>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</si>
  <si>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</si>
  <si>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</si>
  <si>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</si>
  <si>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</si>
  <si>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</si>
  <si>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</si>
  <si>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</si>
  <si>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</si>
  <si>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</si>
  <si>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</si>
  <si>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</si>
  <si>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</si>
  <si>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</si>
  <si>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</si>
  <si>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</si>
  <si>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</si>
  <si>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</si>
  <si>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</si>
  <si>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</si>
  <si>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</si>
  <si>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</si>
  <si>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</si>
  <si>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</si>
  <si>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</si>
  <si>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</si>
  <si>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</si>
  <si>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</si>
  <si>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</si>
  <si>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</si>
  <si>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</si>
  <si>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</si>
  <si>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</si>
  <si>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</si>
  <si>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</si>
  <si>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</si>
  <si>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</si>
  <si>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</si>
  <si>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</si>
  <si>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</si>
  <si>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</si>
  <si>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</si>
  <si>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</si>
  <si>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</si>
  <si>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</si>
  <si>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</si>
  <si>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</si>
  <si>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</si>
  <si>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</si>
  <si>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</si>
  <si>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</si>
  <si>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</si>
  <si>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</si>
  <si>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</si>
  <si>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</si>
  <si>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</si>
  <si>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</si>
  <si>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</si>
  <si>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</si>
  <si>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</si>
  <si>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</si>
  <si>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</si>
  <si>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</si>
  <si>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</si>
  <si>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</si>
  <si>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</si>
  <si>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</si>
  <si>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</si>
  <si>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</si>
  <si>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</si>
  <si>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</si>
  <si>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</si>
  <si>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</si>
  <si>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</si>
  <si>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</si>
  <si>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</si>
  <si>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</si>
  <si>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</si>
  <si>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</si>
  <si>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</si>
  <si>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</si>
  <si>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</si>
  <si>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</si>
  <si>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</si>
  <si>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</si>
  <si>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</si>
  <si>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</si>
  <si>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</si>
  <si>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</si>
  <si>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</si>
  <si>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</si>
  <si>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</si>
  <si>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</si>
  <si>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</si>
  <si>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</si>
  <si>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</si>
  <si>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</si>
  <si>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</si>
  <si>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</si>
  <si>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</si>
  <si>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</si>
  <si>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</si>
  <si>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</si>
  <si>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</si>
  <si>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</si>
  <si>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</si>
  <si>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</si>
  <si>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</si>
  <si>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</si>
  <si>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</si>
  <si>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</si>
  <si>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</si>
  <si>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</si>
  <si>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</si>
  <si>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</si>
  <si>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</si>
  <si>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</si>
  <si>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</si>
  <si>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</si>
  <si>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</si>
  <si>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</si>
  <si>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</si>
  <si>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</si>
  <si>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</si>
  <si>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</si>
  <si>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</si>
  <si>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</si>
  <si>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</si>
  <si>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</si>
  <si>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</si>
  <si>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</si>
  <si>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</si>
  <si>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</si>
  <si>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</si>
  <si>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</si>
  <si>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</si>
  <si>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</si>
  <si>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</si>
  <si>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</si>
  <si>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</si>
  <si>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</si>
  <si>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</si>
  <si>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</si>
  <si>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</si>
  <si>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</si>
  <si>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</si>
  <si>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</si>
  <si>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</si>
  <si>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</si>
  <si>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</si>
  <si>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</si>
  <si>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</si>
  <si>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</si>
  <si>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</si>
  <si>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</si>
  <si>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</si>
  <si>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</si>
  <si>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</si>
  <si>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</si>
  <si>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</si>
  <si>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</si>
  <si>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</si>
  <si>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</si>
  <si>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</si>
  <si>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</si>
  <si>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</si>
  <si>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</si>
  <si>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</si>
  <si>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</si>
  <si>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</si>
  <si>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</si>
  <si>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</si>
  <si>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</si>
  <si>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</si>
  <si>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</si>
  <si>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</si>
  <si>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</si>
  <si>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</si>
  <si>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</si>
  <si>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</si>
  <si>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</si>
  <si>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</si>
  <si>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</si>
  <si>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</si>
  <si>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</si>
  <si>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</si>
  <si>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</si>
  <si>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</si>
  <si>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</si>
  <si>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</si>
  <si>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</si>
  <si>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</si>
  <si>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</si>
  <si>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</si>
  <si>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</si>
  <si>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</si>
  <si>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</si>
  <si>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</si>
  <si>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</si>
  <si>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</si>
  <si>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</si>
  <si>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</si>
  <si>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</si>
  <si>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</si>
  <si>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</si>
  <si>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</si>
  <si>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</si>
  <si>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</si>
  <si>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</si>
  <si>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</si>
  <si>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</si>
  <si>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</si>
  <si>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</si>
  <si>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</si>
  <si>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</si>
  <si>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</si>
  <si>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</si>
  <si>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</si>
  <si>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</si>
  <si>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</si>
  <si>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</si>
  <si>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</si>
  <si>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</si>
  <si>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</si>
  <si>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</si>
  <si>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</si>
  <si>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</si>
  <si>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</si>
  <si>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</si>
  <si>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</si>
  <si>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</si>
  <si>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</si>
  <si>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</si>
  <si>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</si>
  <si>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</si>
  <si>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</si>
  <si>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</si>
  <si>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</si>
  <si>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</si>
  <si>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</si>
  <si>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</si>
  <si>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</si>
  <si>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</si>
  <si>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</si>
  <si>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</si>
  <si>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</si>
  <si>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</si>
  <si>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</si>
  <si>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</si>
  <si>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</si>
  <si>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</si>
  <si>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</si>
  <si>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</si>
  <si>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</si>
  <si>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</si>
  <si>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</si>
  <si>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</si>
  <si>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</si>
  <si>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</si>
  <si>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</si>
  <si>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</si>
  <si>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</si>
  <si>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</si>
  <si>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</si>
  <si>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</si>
  <si>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</si>
  <si>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</si>
  <si>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</si>
  <si>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</si>
  <si>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</si>
  <si>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</si>
  <si>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</si>
  <si>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</si>
  <si>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</si>
  <si>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</si>
  <si>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</si>
  <si>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</si>
  <si>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</si>
  <si>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</si>
  <si>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</si>
  <si>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</si>
  <si>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</si>
  <si>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</si>
  <si>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</si>
  <si>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</si>
  <si>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</si>
  <si>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</si>
  <si>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</si>
  <si>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</si>
  <si>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</si>
  <si>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</si>
  <si>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</si>
  <si>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</si>
  <si>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</si>
  <si>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</si>
  <si>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</si>
  <si>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</si>
  <si>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</si>
  <si>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</si>
  <si>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</si>
  <si>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</si>
  <si>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</si>
  <si>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</si>
  <si>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</si>
  <si>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</si>
  <si>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</si>
  <si>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</si>
  <si>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</si>
  <si>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</si>
  <si>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</si>
  <si>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</si>
  <si>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</si>
  <si>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</si>
  <si>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</si>
  <si>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</si>
  <si>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</si>
  <si>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</si>
  <si>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</si>
  <si>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</si>
  <si>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</si>
  <si>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</si>
  <si>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</si>
  <si>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</si>
  <si>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</si>
  <si>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</si>
  <si>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</si>
  <si>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</si>
  <si>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</si>
  <si>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</si>
  <si>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</si>
  <si>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</si>
  <si>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</si>
  <si>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</si>
  <si>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</si>
  <si>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</si>
  <si>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</si>
  <si>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</si>
  <si>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</si>
  <si>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</si>
  <si>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</si>
  <si>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</si>
  <si>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</si>
  <si>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</si>
  <si>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</si>
  <si>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</si>
  <si>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</si>
  <si>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</si>
  <si>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</si>
  <si>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</si>
  <si>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</si>
  <si>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</si>
  <si>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</si>
  <si>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</si>
  <si>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</si>
  <si>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</si>
  <si>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</si>
  <si>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</si>
  <si>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</si>
  <si>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</si>
  <si>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</si>
  <si>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</si>
  <si>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</si>
  <si>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</si>
  <si>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</si>
  <si>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</si>
  <si>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</si>
  <si>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</si>
  <si>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</si>
  <si>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</si>
  <si>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</si>
  <si>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</si>
  <si>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</si>
  <si>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</si>
  <si>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</si>
  <si>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</si>
  <si>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</si>
  <si>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</si>
  <si>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</si>
  <si>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</si>
  <si>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</si>
  <si>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</si>
  <si>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</si>
  <si>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</si>
  <si>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</si>
  <si>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</si>
  <si>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</si>
  <si>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</si>
  <si>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</si>
  <si>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</si>
  <si>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</si>
  <si>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</si>
  <si>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</si>
  <si>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</si>
  <si>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</si>
  <si>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</si>
  <si>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</si>
  <si>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</si>
  <si>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</si>
  <si>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</si>
  <si>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</si>
  <si>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</si>
  <si>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</si>
  <si>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</si>
  <si>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</si>
  <si>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</si>
  <si>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</si>
  <si>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</si>
  <si>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</si>
  <si>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</si>
  <si>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</si>
  <si>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</si>
  <si>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</si>
  <si>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</si>
  <si>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</si>
  <si>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</si>
  <si>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</si>
  <si>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</si>
  <si>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</si>
  <si>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</si>
  <si>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</si>
  <si>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</si>
  <si>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</si>
  <si>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</si>
  <si>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</si>
  <si>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</si>
  <si>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</si>
  <si>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</si>
  <si>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</si>
  <si>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</si>
  <si>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</si>
  <si>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</si>
  <si>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</si>
  <si>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</si>
  <si>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</si>
  <si>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</si>
  <si>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</si>
  <si>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</si>
  <si>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</si>
  <si>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</si>
  <si>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</si>
  <si>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</si>
  <si>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</si>
  <si>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</si>
  <si>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</si>
  <si>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</si>
  <si>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</si>
  <si>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</si>
  <si>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</si>
  <si>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</si>
  <si>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</si>
  <si>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</si>
  <si>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</si>
  <si>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</si>
  <si>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</si>
  <si>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</si>
  <si>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</si>
  <si>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</si>
  <si>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</si>
  <si>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</si>
  <si>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</si>
  <si>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</si>
  <si>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</si>
  <si>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</si>
  <si>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</si>
  <si>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</si>
  <si>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</si>
  <si>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</si>
  <si>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</si>
  <si>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</si>
  <si>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</si>
  <si>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</si>
  <si>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</si>
  <si>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</si>
  <si>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</si>
  <si>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</si>
  <si>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</si>
  <si>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</si>
  <si>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</si>
  <si>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</si>
  <si>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</si>
  <si>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</si>
  <si>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</si>
  <si>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</si>
  <si>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</si>
  <si>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</si>
  <si>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</si>
  <si>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</si>
  <si>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</si>
  <si>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</si>
  <si>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</si>
  <si>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</si>
  <si>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</si>
  <si>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</si>
  <si>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</si>
  <si>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</si>
  <si>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</si>
  <si>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</si>
  <si>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</si>
  <si>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</si>
  <si>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</si>
  <si>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</si>
  <si>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</si>
  <si>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</si>
  <si>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</si>
  <si>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</si>
  <si>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</si>
  <si>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</si>
  <si>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</si>
  <si>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</si>
  <si>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</si>
  <si>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</si>
  <si>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</si>
  <si>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</si>
  <si>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</si>
  <si>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</si>
  <si>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</si>
  <si>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</si>
  <si>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</si>
  <si>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</si>
  <si>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</si>
  <si>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</si>
  <si>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</si>
  <si>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</si>
  <si>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</si>
  <si>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</si>
  <si>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</si>
  <si>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</si>
  <si>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</si>
  <si>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</si>
  <si>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</si>
  <si>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</si>
  <si>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</si>
  <si>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</si>
  <si>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</si>
  <si>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</si>
  <si>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</si>
  <si>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</si>
  <si>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</si>
  <si>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</si>
  <si>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</si>
  <si>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</si>
  <si>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</si>
  <si>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</si>
  <si>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</si>
  <si>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</si>
  <si>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</si>
  <si>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</si>
  <si>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</si>
  <si>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</si>
  <si>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</si>
  <si>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</si>
  <si>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</si>
  <si>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</si>
  <si>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</si>
  <si>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</si>
  <si>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</si>
  <si>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</si>
  <si>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</si>
  <si>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</si>
  <si>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</si>
  <si>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</si>
  <si>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</si>
  <si>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</si>
  <si>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</si>
  <si>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</si>
  <si>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</si>
  <si>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</si>
  <si>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</si>
  <si>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</si>
  <si>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</si>
  <si>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</si>
  <si>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</si>
  <si>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</si>
  <si>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</si>
  <si>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</si>
  <si>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</si>
  <si>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</si>
  <si>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</si>
  <si>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</si>
  <si>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</si>
  <si>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</si>
  <si>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</si>
  <si>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</si>
  <si>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</si>
  <si>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</si>
  <si>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</si>
  <si>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</si>
  <si>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</si>
  <si>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</si>
  <si>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</si>
  <si>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</si>
  <si>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</si>
  <si>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</si>
  <si>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</si>
  <si>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</si>
  <si>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</si>
  <si>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</si>
  <si>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</si>
  <si>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</si>
  <si>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</si>
  <si>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</si>
  <si>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</si>
  <si>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</si>
  <si>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</si>
  <si>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</si>
  <si>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</si>
  <si>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</si>
  <si>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</si>
  <si>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</si>
  <si>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</si>
  <si>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</si>
  <si>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</si>
  <si>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</si>
  <si>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</si>
  <si>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</si>
  <si>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</si>
  <si>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</si>
  <si>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</si>
  <si>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</si>
  <si>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</si>
  <si>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</si>
  <si>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</si>
  <si>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</si>
  <si>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</si>
  <si>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</si>
  <si>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</si>
  <si>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</si>
  <si>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</si>
  <si>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</si>
  <si>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</si>
  <si>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</si>
  <si>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</si>
  <si>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</si>
  <si>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</si>
  <si>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</si>
  <si>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</si>
  <si>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</si>
  <si>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</si>
  <si>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</si>
  <si>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</si>
  <si>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</si>
  <si>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</si>
  <si>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</si>
  <si>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</si>
  <si>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</si>
  <si>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</si>
  <si>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</si>
  <si>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</si>
  <si>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</si>
  <si>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</si>
  <si>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</si>
  <si>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</si>
  <si>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</si>
  <si>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</si>
  <si>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</si>
  <si>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</si>
  <si>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</si>
  <si>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</si>
  <si>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</si>
  <si>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</si>
  <si>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</si>
  <si>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</si>
  <si>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</si>
  <si>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</si>
  <si>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</si>
  <si>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</si>
  <si>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</si>
  <si>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</si>
  <si>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</si>
  <si>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</si>
  <si>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</si>
  <si>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</si>
  <si>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</si>
  <si>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</si>
  <si>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</si>
  <si>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</si>
  <si>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</si>
  <si>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</si>
  <si>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</si>
  <si>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</si>
  <si>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</si>
  <si>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</si>
  <si>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</si>
  <si>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</si>
  <si>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</si>
  <si>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</si>
  <si>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</si>
  <si>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</si>
  <si>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</si>
  <si>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</si>
  <si>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</si>
  <si>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</si>
  <si>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</si>
  <si>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</si>
  <si>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</si>
  <si>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</si>
  <si>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</si>
  <si>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</si>
  <si>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</si>
  <si>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</si>
  <si>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</si>
  <si>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</si>
  <si>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</si>
  <si>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</si>
  <si>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</si>
  <si>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</si>
  <si>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</si>
  <si>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</si>
  <si>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</si>
  <si>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</si>
  <si>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</si>
  <si>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</si>
  <si>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</si>
  <si>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</si>
  <si>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</si>
  <si>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</si>
  <si>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</si>
  <si>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</si>
  <si>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</si>
  <si>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</si>
  <si>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</si>
  <si>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</si>
  <si>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</si>
  <si>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</si>
  <si>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</si>
  <si>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</si>
  <si>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</si>
  <si>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</si>
  <si>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</si>
  <si>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</si>
  <si>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</si>
  <si>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</si>
  <si>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</si>
  <si>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</si>
  <si>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</si>
  <si>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</si>
  <si>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</si>
  <si>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</si>
  <si>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</si>
  <si>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</si>
  <si>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</si>
  <si>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</si>
  <si>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</si>
  <si>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</si>
  <si>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</si>
  <si>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</si>
  <si>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</si>
  <si>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</si>
  <si>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</si>
  <si>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</si>
  <si>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</si>
  <si>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</si>
  <si>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</si>
  <si>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</si>
  <si>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</si>
  <si>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</si>
  <si>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</si>
  <si>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</si>
  <si>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</si>
  <si>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</si>
  <si>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</si>
  <si>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</si>
  <si>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</si>
  <si>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</si>
  <si>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</si>
  <si>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</si>
  <si>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</si>
  <si>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</si>
  <si>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</si>
  <si>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</si>
  <si>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</si>
  <si>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</si>
  <si>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</si>
  <si>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</si>
  <si>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</si>
  <si>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</si>
  <si>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</si>
  <si>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</si>
  <si>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</si>
  <si>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</si>
  <si>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</si>
  <si>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</si>
  <si>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</si>
  <si>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</si>
  <si>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</si>
  <si>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</si>
  <si>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</si>
  <si>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</si>
  <si>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</si>
  <si>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</si>
  <si>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</si>
  <si>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</si>
  <si>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</si>
  <si>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</si>
  <si>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</si>
  <si>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</si>
  <si>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</si>
  <si>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</si>
  <si>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</si>
  <si>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</si>
  <si>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</si>
  <si>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</si>
  <si>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</si>
  <si>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</si>
  <si>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</si>
  <si>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</si>
  <si>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</si>
  <si>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</si>
  <si>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</si>
  <si>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</si>
  <si>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</si>
  <si>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</si>
  <si>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</si>
  <si>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</si>
  <si>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</si>
  <si>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</si>
  <si>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</si>
  <si>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</si>
  <si>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</si>
  <si>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</si>
  <si>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</si>
  <si>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</si>
  <si>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</si>
  <si>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</si>
  <si>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</si>
  <si>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</si>
  <si>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</si>
  <si>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</si>
  <si>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</si>
  <si>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</si>
  <si>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</si>
  <si>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</si>
  <si>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</si>
  <si>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</si>
  <si>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</si>
  <si>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</si>
  <si>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</si>
  <si>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</si>
  <si>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</si>
  <si>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</si>
  <si>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</si>
  <si>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</si>
  <si>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</si>
  <si>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</si>
  <si>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</si>
  <si>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</si>
  <si>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</si>
  <si>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</si>
  <si>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</si>
  <si>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</si>
  <si>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</si>
  <si>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</si>
  <si>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</si>
  <si>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</si>
  <si>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</si>
  <si>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</si>
  <si>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</si>
  <si>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</si>
  <si>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</si>
  <si>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</si>
  <si>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</si>
  <si>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</si>
  <si>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</si>
  <si>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</si>
  <si>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</si>
  <si>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</si>
  <si>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</si>
  <si>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</si>
  <si>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</si>
  <si>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</si>
  <si>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</si>
  <si>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</si>
  <si>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</si>
  <si>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</si>
  <si>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</si>
  <si>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</si>
  <si>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</si>
  <si>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</si>
  <si>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</si>
  <si>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</si>
  <si>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</si>
  <si>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</si>
  <si>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</si>
  <si>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</si>
  <si>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</si>
  <si>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</si>
  <si>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</si>
  <si>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</si>
  <si>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</si>
  <si>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</si>
  <si>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</si>
  <si>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</si>
  <si>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</si>
  <si>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</si>
  <si>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</si>
  <si>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</si>
  <si>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</si>
  <si>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</si>
  <si>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</si>
  <si>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</si>
  <si>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</si>
  <si>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</si>
  <si>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</si>
  <si>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</si>
  <si>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</si>
  <si>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</si>
  <si>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</si>
  <si>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</si>
  <si>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</si>
  <si>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</si>
  <si>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</si>
  <si>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</si>
  <si>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</si>
  <si>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</si>
  <si>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</si>
  <si>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</si>
  <si>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</si>
  <si>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</si>
  <si>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</si>
  <si>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</si>
  <si>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</si>
  <si>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</si>
  <si>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</si>
  <si>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</si>
  <si>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</si>
  <si>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</si>
  <si>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</si>
  <si>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</si>
  <si>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</si>
  <si>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</si>
  <si>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</si>
  <si>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</si>
  <si>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</si>
  <si>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</si>
  <si>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</si>
  <si>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</si>
  <si>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</si>
  <si>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</si>
  <si>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</si>
  <si>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</si>
  <si>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</si>
  <si>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</si>
  <si>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</si>
  <si>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</si>
  <si>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</si>
  <si>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</si>
  <si>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</si>
  <si>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</si>
  <si>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</si>
  <si>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</si>
  <si>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</si>
  <si>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</si>
  <si>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</si>
  <si>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</si>
  <si>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</si>
  <si>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</si>
  <si>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</si>
  <si>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</si>
  <si>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</si>
  <si>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</si>
  <si>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</si>
  <si>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</si>
  <si>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</si>
  <si>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</si>
  <si>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</si>
  <si>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</si>
  <si>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</si>
  <si>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</si>
  <si>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</si>
  <si>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</si>
  <si>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</si>
  <si>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</si>
  <si>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</si>
  <si>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</si>
  <si>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</si>
  <si>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</si>
  <si>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</si>
  <si>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</si>
  <si>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</si>
  <si>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</si>
  <si>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</si>
  <si>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</si>
  <si>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</si>
  <si>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</si>
  <si>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</si>
  <si>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</si>
  <si>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</si>
  <si>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</si>
  <si>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</si>
  <si>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</si>
  <si>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</si>
  <si>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</si>
  <si>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</si>
  <si>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</si>
  <si>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</si>
  <si>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</si>
  <si>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</si>
  <si>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</si>
  <si>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</si>
  <si>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</si>
  <si>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</si>
  <si>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</si>
  <si>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</si>
  <si>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</si>
  <si>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</si>
  <si>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</si>
  <si>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</si>
  <si>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</si>
  <si>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</si>
  <si>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</si>
  <si>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</si>
  <si>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</si>
  <si>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</si>
  <si>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</si>
  <si>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</si>
  <si>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</si>
  <si>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</si>
  <si>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</si>
  <si>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</si>
  <si>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</si>
  <si>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</si>
  <si>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</si>
  <si>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</si>
  <si>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</si>
  <si>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</si>
  <si>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</si>
  <si>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</si>
  <si>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</si>
  <si>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</si>
  <si>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</si>
  <si>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</si>
  <si>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</si>
  <si>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</si>
  <si>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</si>
  <si>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</si>
  <si>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תגמולים- מסלול עוקב מדדי מניות</t>
  </si>
  <si>
    <t>מגדל תגמולים- מסלול הלכתי</t>
  </si>
  <si>
    <t>מגדל תגמולים- מסלול מניות סחיר</t>
  </si>
  <si>
    <t>מגדל תגמולים- מסלול עוקב מדדי אג"ח</t>
  </si>
  <si>
    <t>30.09.26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</si>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</sst>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_(* #,##0_);_(* \(#,##0\);_(* &quot;-&quot;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 [$€-2]\ * #,##0.00_ ;_ [$€-2]\ * \-#,##0.00_ ;_ [$€-2]\ * &quot;-&quot;??_ "/>
    <numFmt numFmtId="176" formatCode="mmmm\ yyyy"/>
    <numFmt numFmtId="177" formatCode=";;;"/>
  </numFmts>
  <fonts count="29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3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6" fontId="6" fillId="0" borderId="0">
      <alignment horizontal="right"/>
      <protection hidden="1"/>
    </xf>
    <xf numFmtId="167" fontId="6" fillId="0" borderId="0">
      <alignment horizontal="right"/>
      <protection hidden="1"/>
    </xf>
    <xf numFmtId="166" fontId="6" fillId="0" borderId="0">
      <alignment horizontal="right"/>
      <protection hidden="1"/>
    </xf>
    <xf numFmtId="0" fontId="1" fillId="0" borderId="0"/>
    <xf numFmtId="168" fontId="6" fillId="0" borderId="0">
      <alignment horizontal="right"/>
      <protection hidden="1"/>
    </xf>
    <xf numFmtId="169" fontId="6" fillId="0" borderId="0">
      <alignment horizontal="right"/>
      <protection locked="0"/>
    </xf>
    <xf numFmtId="170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1" fontId="6" fillId="0" borderId="0">
      <alignment horizontal="right"/>
      <protection hidden="1"/>
    </xf>
    <xf numFmtId="172" fontId="6" fillId="0" borderId="0">
      <alignment horizontal="right"/>
      <protection hidden="1"/>
    </xf>
    <xf numFmtId="171" fontId="6" fillId="0" borderId="0">
      <alignment horizontal="right"/>
      <protection hidden="1"/>
    </xf>
    <xf numFmtId="173" fontId="6" fillId="0" borderId="0">
      <alignment horizontal="right"/>
      <protection hidden="1"/>
    </xf>
    <xf numFmtId="173" fontId="6" fillId="0" borderId="0">
      <alignment horizontal="right"/>
      <protection locked="0"/>
    </xf>
    <xf numFmtId="37" fontId="6" fillId="0" borderId="0">
      <alignment horizontal="right"/>
      <protection hidden="1"/>
    </xf>
    <xf numFmtId="171" fontId="6" fillId="0" borderId="0">
      <alignment horizontal="right"/>
      <protection hidden="1"/>
    </xf>
    <xf numFmtId="171" fontId="6" fillId="0" borderId="0">
      <alignment horizontal="right"/>
      <protection hidden="1"/>
    </xf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4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8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6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21" fillId="3" borderId="0" xfId="0" applyFont="1" applyFill="1" applyAlignment="1">
      <alignment vertical="top"/>
    </xf>
    <xf numFmtId="0" fontId="28" fillId="3" borderId="10" xfId="0" applyFont="1" applyFill="1" applyBorder="1" applyProtection="1">
      <protection locked="0"/>
    </xf>
    <xf numFmtId="0" fontId="28" fillId="3" borderId="19" xfId="0" applyFont="1" applyFill="1" applyBorder="1" applyProtection="1"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9" borderId="21" xfId="0" applyFont="1" applyFill="1" applyBorder="1" applyAlignment="1">
      <alignment horizontal="right" vertical="center"/>
    </xf>
    <xf numFmtId="0" fontId="3" fillId="14" borderId="22" xfId="0" applyFont="1" applyFill="1" applyBorder="1" applyAlignment="1">
      <alignment horizontal="center" vertical="center" wrapText="1"/>
    </xf>
    <xf numFmtId="0" fontId="3" fillId="14" borderId="23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3" fillId="9" borderId="24" xfId="0" applyFont="1" applyFill="1" applyBorder="1" applyAlignment="1">
      <alignment horizontal="center" vertical="center" wrapText="1"/>
    </xf>
    <xf numFmtId="0" fontId="2" fillId="2" borderId="25" xfId="0" applyFont="1" applyFill="1" applyBorder="1"/>
    <xf numFmtId="10" fontId="2" fillId="14" borderId="22" xfId="1" applyNumberFormat="1" applyFont="1" applyFill="1" applyBorder="1"/>
    <xf numFmtId="10" fontId="2" fillId="14" borderId="23" xfId="1" applyNumberFormat="1" applyFont="1" applyFill="1" applyBorder="1"/>
    <xf numFmtId="10" fontId="2" fillId="9" borderId="22" xfId="1" applyNumberFormat="1" applyFont="1" applyFill="1" applyBorder="1"/>
    <xf numFmtId="10" fontId="2" fillId="9" borderId="23" xfId="1" applyNumberFormat="1" applyFont="1" applyFill="1" applyBorder="1"/>
    <xf numFmtId="10" fontId="2" fillId="9" borderId="26" xfId="1" applyNumberFormat="1" applyFont="1" applyFill="1" applyBorder="1"/>
    <xf numFmtId="0" fontId="2" fillId="2" borderId="22" xfId="0" applyFont="1" applyFill="1" applyBorder="1" applyAlignment="1">
      <alignment wrapText="1"/>
    </xf>
    <xf numFmtId="0" fontId="2" fillId="2" borderId="22" xfId="0" applyFont="1" applyFill="1" applyBorder="1"/>
    <xf numFmtId="0" fontId="3" fillId="2" borderId="22" xfId="0" applyFont="1" applyFill="1" applyBorder="1"/>
    <xf numFmtId="10" fontId="3" fillId="14" borderId="22" xfId="1" applyNumberFormat="1" applyFont="1" applyFill="1" applyBorder="1"/>
    <xf numFmtId="10" fontId="3" fillId="14" borderId="23" xfId="1" applyNumberFormat="1" applyFont="1" applyFill="1" applyBorder="1"/>
    <xf numFmtId="10" fontId="3" fillId="9" borderId="22" xfId="1" applyNumberFormat="1" applyFont="1" applyFill="1" applyBorder="1"/>
    <xf numFmtId="10" fontId="3" fillId="9" borderId="23" xfId="1" applyNumberFormat="1" applyFont="1" applyFill="1" applyBorder="1"/>
    <xf numFmtId="10" fontId="3" fillId="9" borderId="26" xfId="1" applyNumberFormat="1" applyFont="1" applyFill="1" applyBorder="1"/>
    <xf numFmtId="0" fontId="3" fillId="3" borderId="25" xfId="0" applyFont="1" applyFill="1" applyBorder="1"/>
    <xf numFmtId="3" fontId="3" fillId="14" borderId="25" xfId="1" applyNumberFormat="1" applyFont="1" applyFill="1" applyBorder="1"/>
    <xf numFmtId="3" fontId="3" fillId="9" borderId="25" xfId="1" applyNumberFormat="1" applyFont="1" applyFill="1" applyBorder="1"/>
    <xf numFmtId="10" fontId="3" fillId="12" borderId="28" xfId="1" applyNumberFormat="1" applyFont="1" applyFill="1" applyBorder="1"/>
    <xf numFmtId="0" fontId="2" fillId="0" borderId="30" xfId="0" applyFont="1" applyBorder="1"/>
    <xf numFmtId="10" fontId="2" fillId="14" borderId="25" xfId="1" applyNumberFormat="1" applyFont="1" applyFill="1" applyBorder="1"/>
    <xf numFmtId="10" fontId="2" fillId="14" borderId="27" xfId="1" applyNumberFormat="1" applyFont="1" applyFill="1" applyBorder="1"/>
    <xf numFmtId="10" fontId="2" fillId="9" borderId="25" xfId="1" applyNumberFormat="1" applyFont="1" applyFill="1" applyBorder="1"/>
    <xf numFmtId="10" fontId="2" fillId="9" borderId="27" xfId="1" applyNumberFormat="1" applyFont="1" applyFill="1" applyBorder="1"/>
    <xf numFmtId="10" fontId="2" fillId="9" borderId="28" xfId="1" applyNumberFormat="1" applyFont="1" applyFill="1" applyBorder="1"/>
    <xf numFmtId="0" fontId="3" fillId="2" borderId="31" xfId="0" applyFont="1" applyFill="1" applyBorder="1"/>
    <xf numFmtId="10" fontId="3" fillId="14" borderId="31" xfId="1" applyNumberFormat="1" applyFont="1" applyFill="1" applyBorder="1"/>
    <xf numFmtId="10" fontId="3" fillId="14" borderId="32" xfId="1" applyNumberFormat="1" applyFont="1" applyFill="1" applyBorder="1"/>
    <xf numFmtId="10" fontId="3" fillId="9" borderId="31" xfId="1" applyNumberFormat="1" applyFont="1" applyFill="1" applyBorder="1"/>
    <xf numFmtId="10" fontId="3" fillId="9" borderId="32" xfId="1" applyNumberFormat="1" applyFont="1" applyFill="1" applyBorder="1"/>
    <xf numFmtId="10" fontId="3" fillId="9" borderId="8" xfId="1" applyNumberFormat="1" applyFont="1" applyFill="1" applyBorder="1"/>
    <xf numFmtId="0" fontId="3" fillId="19" borderId="25" xfId="0" applyFont="1" applyFill="1" applyBorder="1" applyAlignment="1">
      <alignment vertical="top"/>
    </xf>
    <xf numFmtId="0" fontId="3" fillId="14" borderId="25" xfId="0" applyFont="1" applyFill="1" applyBorder="1" applyAlignment="1">
      <alignment horizontal="center" vertical="top" wrapText="1"/>
    </xf>
    <xf numFmtId="0" fontId="3" fillId="14" borderId="27" xfId="0" applyFont="1" applyFill="1" applyBorder="1" applyAlignment="1">
      <alignment horizontal="center" vertical="top" wrapText="1"/>
    </xf>
    <xf numFmtId="0" fontId="3" fillId="9" borderId="25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0" fontId="3" fillId="9" borderId="28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177" fontId="2" fillId="0" borderId="20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8" xfId="1" applyNumberFormat="1" applyFont="1" applyFill="1" applyBorder="1"/>
    <xf numFmtId="177" fontId="2" fillId="0" borderId="30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79" t="s">
        <v>1429</v>
      </c>
      <c r="D1" s="8" t="s">
        <v>74</v>
      </c>
    </row>
    <row r="2" spans="1:4">
      <c r="A2" s="75" t="s">
        <v>64</v>
      </c>
      <c r="B2" s="9">
        <v>1</v>
      </c>
      <c r="C2" s="9" t="s">
        <v>65</v>
      </c>
      <c r="D2" s="10" t="s">
        <v>79</v>
      </c>
    </row>
    <row r="3" spans="1:4">
      <c r="A3" s="80"/>
      <c r="B3" s="9">
        <v>2</v>
      </c>
      <c r="C3" s="9" t="s">
        <v>66</v>
      </c>
      <c r="D3" s="10" t="s">
        <v>67</v>
      </c>
    </row>
    <row r="4" spans="1:4">
      <c r="A4" s="80"/>
      <c r="B4" s="9">
        <v>3</v>
      </c>
      <c r="C4" s="9" t="s">
        <v>68</v>
      </c>
      <c r="D4" s="10" t="s">
        <v>69</v>
      </c>
    </row>
    <row r="5" spans="1:4">
      <c r="A5" s="80"/>
      <c r="B5" s="76">
        <v>4</v>
      </c>
      <c r="C5" s="9" t="s">
        <v>70</v>
      </c>
      <c r="D5" s="10" t="s">
        <v>75</v>
      </c>
    </row>
    <row r="6" spans="1:4">
      <c r="A6" s="80"/>
      <c r="B6" s="81"/>
      <c r="C6" s="82"/>
      <c r="D6" s="58" t="s">
        <v>909</v>
      </c>
    </row>
    <row r="7" spans="1:4">
      <c r="A7" s="80"/>
      <c r="B7" s="81"/>
      <c r="C7" s="82"/>
      <c r="D7" s="57" t="s">
        <v>1384</v>
      </c>
    </row>
    <row r="8" spans="1:4">
      <c r="A8" s="80"/>
      <c r="B8" s="81"/>
      <c r="C8" s="82"/>
      <c r="D8" s="59" t="s">
        <v>1385</v>
      </c>
    </row>
    <row r="9" spans="1:4">
      <c r="A9" s="80"/>
      <c r="B9" s="81"/>
      <c r="C9" s="82"/>
      <c r="D9" s="10" t="s">
        <v>76</v>
      </c>
    </row>
    <row r="10" spans="1:4">
      <c r="A10" s="80"/>
      <c r="B10" s="81"/>
      <c r="C10" s="82"/>
      <c r="D10" s="58" t="s">
        <v>77</v>
      </c>
    </row>
    <row r="11" spans="1:4">
      <c r="A11" s="80"/>
      <c r="B11" s="81"/>
      <c r="C11" s="82"/>
      <c r="D11" s="57" t="s">
        <v>78</v>
      </c>
    </row>
    <row r="12" spans="1:4">
      <c r="A12" s="80"/>
      <c r="B12" s="81"/>
      <c r="C12" s="82"/>
      <c r="D12" s="10" t="s">
        <v>71</v>
      </c>
    </row>
    <row r="13" spans="1:4">
      <c r="A13" s="80"/>
      <c r="B13" s="81"/>
      <c r="C13" s="82"/>
      <c r="D13" s="10" t="s">
        <v>1377</v>
      </c>
    </row>
    <row r="14" spans="1:4">
      <c r="A14" s="80"/>
      <c r="B14" s="81"/>
      <c r="C14" s="82"/>
      <c r="D14" s="10" t="s">
        <v>1378</v>
      </c>
    </row>
    <row r="15" spans="1:4">
      <c r="A15" s="77" t="s">
        <v>905</v>
      </c>
      <c r="B15" s="9">
        <v>5</v>
      </c>
      <c r="C15" s="9" t="s">
        <v>72</v>
      </c>
      <c r="D15" s="10" t="s">
        <v>73</v>
      </c>
    </row>
    <row r="16" spans="1:4">
      <c r="A16" s="83"/>
      <c r="B16" s="9">
        <v>6</v>
      </c>
      <c r="C16" s="82"/>
      <c r="D16" s="9" t="s">
        <v>904</v>
      </c>
    </row>
    <row r="17" spans="1:4" ht="28.5">
      <c r="A17" s="84"/>
      <c r="B17" s="9">
        <v>7</v>
      </c>
      <c r="C17" s="82"/>
      <c r="D17" s="60" t="s">
        <v>1402</v>
      </c>
    </row>
    <row r="19" spans="1:4" ht="16.899999999999999" customHeight="1">
      <c r="A19" s="12" t="s">
        <v>885</v>
      </c>
      <c r="B19" s="30">
        <v>2026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9897</v>
      </c>
      <c r="C21" s="27"/>
    </row>
    <row r="22" spans="1:4" ht="15">
      <c r="A22" s="13" t="s">
        <v>886</v>
      </c>
      <c r="B22" s="30" t="s">
        <v>1428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 חסכון לילד - חוסכים המעדיפים סיכון בינוני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512237744_g9897_Yield326.xlsx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7"/>
      <c r="B1" s="3" t="s">
        <v>0</v>
      </c>
    </row>
    <row r="2" spans="1:31" ht="18.75">
      <c r="A2" s="127"/>
      <c r="B2" s="6" t="s">
        <v>821</v>
      </c>
      <c r="C2" s="25">
        <f>הנחיות!B21</f>
        <v>9897</v>
      </c>
      <c r="D2" s="78"/>
      <c r="E2" s="78"/>
    </row>
    <row r="3" spans="1:31" ht="18.75">
      <c r="A3" s="127"/>
      <c r="B3" s="7" t="s">
        <v>28</v>
      </c>
      <c r="C3" s="24" t="str">
        <f ca="1">הנחיות!B23</f>
        <v>מגדל  חסכון לילד - חוסכים המעדיפים סיכון בינוני</v>
      </c>
      <c r="D3" s="24"/>
    </row>
    <row r="4" spans="1:31" ht="18.75">
      <c r="A4" s="127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7"/>
      <c r="B5" s="7" t="s">
        <v>29</v>
      </c>
      <c r="C5" s="25">
        <f>הנחיות!B19</f>
        <v>2026</v>
      </c>
      <c r="D5" s="7" t="s">
        <v>903</v>
      </c>
      <c r="E5" s="25" t="str">
        <f>הנחיות!B22</f>
        <v>30.09.26</v>
      </c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4">
        <f>W5+1</f>
        <v>1</v>
      </c>
      <c r="Z5" s="4"/>
    </row>
    <row r="6" spans="1:31" s="20" customFormat="1" ht="47.45" customHeight="1">
      <c r="A6" s="129"/>
      <c r="B6" s="121" t="s">
        <v>26</v>
      </c>
      <c r="C6" s="122" t="s">
        <v>30</v>
      </c>
      <c r="D6" s="123" t="s">
        <v>31</v>
      </c>
      <c r="E6" s="124" t="s">
        <v>32</v>
      </c>
      <c r="F6" s="125" t="s">
        <v>33</v>
      </c>
      <c r="G6" s="122" t="s">
        <v>34</v>
      </c>
      <c r="H6" s="123" t="s">
        <v>35</v>
      </c>
      <c r="I6" s="124" t="s">
        <v>36</v>
      </c>
      <c r="J6" s="125" t="s">
        <v>37</v>
      </c>
      <c r="K6" s="122" t="s">
        <v>38</v>
      </c>
      <c r="L6" s="123" t="s">
        <v>39</v>
      </c>
      <c r="M6" s="124" t="s">
        <v>40</v>
      </c>
      <c r="N6" s="125" t="s">
        <v>41</v>
      </c>
      <c r="O6" s="122" t="s">
        <v>42</v>
      </c>
      <c r="P6" s="123" t="s">
        <v>43</v>
      </c>
      <c r="Q6" s="124" t="s">
        <v>44</v>
      </c>
      <c r="R6" s="125" t="s">
        <v>45</v>
      </c>
      <c r="S6" s="122" t="s">
        <v>46</v>
      </c>
      <c r="T6" s="123" t="s">
        <v>47</v>
      </c>
      <c r="U6" s="124" t="s">
        <v>48</v>
      </c>
      <c r="V6" s="125" t="s">
        <v>49</v>
      </c>
      <c r="W6" s="122" t="s">
        <v>50</v>
      </c>
      <c r="X6" s="123" t="s">
        <v>51</v>
      </c>
      <c r="Y6" s="124" t="s">
        <v>52</v>
      </c>
      <c r="Z6" s="126" t="s">
        <v>53</v>
      </c>
      <c r="AE6" s="21"/>
    </row>
    <row r="7" spans="1:31">
      <c r="A7" s="127"/>
      <c r="B7" s="91" t="s">
        <v>1</v>
      </c>
      <c r="C7" s="92">
        <v>-9.047821309112272E-4</v>
      </c>
      <c r="D7" s="93">
        <v>0.15835904709048898</v>
      </c>
      <c r="E7" s="94">
        <v>6.9918022289261375E-4</v>
      </c>
      <c r="F7" s="95">
        <v>0.16050839233277406</v>
      </c>
      <c r="G7" s="92">
        <v>1.4626281035784038E-3</v>
      </c>
      <c r="H7" s="93">
        <v>0.16444248560281222</v>
      </c>
      <c r="I7" s="94">
        <v>-2.4305503518023339E-3</v>
      </c>
      <c r="J7" s="95">
        <v>0.16392262436835398</v>
      </c>
      <c r="K7" s="92">
        <v>-7.9050998029323298E-4</v>
      </c>
      <c r="L7" s="93">
        <v>0.14935492631215452</v>
      </c>
      <c r="M7" s="94">
        <v>2.1311164647055568E-3</v>
      </c>
      <c r="N7" s="95">
        <v>0.15524027358113948</v>
      </c>
      <c r="O7" s="92">
        <v>1.8453243896156483E-3</v>
      </c>
      <c r="P7" s="93">
        <v>0.16805813736557895</v>
      </c>
      <c r="Q7" s="94">
        <v>-7.20980366072884E-4</v>
      </c>
      <c r="R7" s="95">
        <v>0.17000931056235755</v>
      </c>
      <c r="S7" s="92">
        <v>1.7402976230125669E-3</v>
      </c>
      <c r="T7" s="93">
        <v>0.17355403482172183</v>
      </c>
      <c r="U7" s="94" t="s">
        <v>1409</v>
      </c>
      <c r="V7" s="95" t="s">
        <v>1409</v>
      </c>
      <c r="W7" s="92" t="s">
        <v>1409</v>
      </c>
      <c r="X7" s="93" t="s">
        <v>1409</v>
      </c>
      <c r="Y7" s="94" t="s">
        <v>1409</v>
      </c>
      <c r="Z7" s="96" t="s">
        <v>1409</v>
      </c>
      <c r="AE7" s="2"/>
    </row>
    <row r="8" spans="1:31" ht="30">
      <c r="A8" s="127"/>
      <c r="B8" s="97" t="s">
        <v>908</v>
      </c>
      <c r="C8" s="92">
        <v>7.9091567196466197E-4</v>
      </c>
      <c r="D8" s="93">
        <v>0.13071703553277991</v>
      </c>
      <c r="E8" s="94">
        <v>2.8602882697411301E-4</v>
      </c>
      <c r="F8" s="95">
        <v>0.1311534475339711</v>
      </c>
      <c r="G8" s="92">
        <v>-1.5831196616333033E-3</v>
      </c>
      <c r="H8" s="93">
        <v>0.13266832540192555</v>
      </c>
      <c r="I8" s="94">
        <v>9.8820593345614401E-4</v>
      </c>
      <c r="J8" s="95">
        <v>0.13105386130845725</v>
      </c>
      <c r="K8" s="92">
        <v>2.2143311352497523E-3</v>
      </c>
      <c r="L8" s="93">
        <v>0.13100864478491756</v>
      </c>
      <c r="M8" s="94">
        <v>8.4919800144768747E-4</v>
      </c>
      <c r="N8" s="95">
        <v>0.13083709313170708</v>
      </c>
      <c r="O8" s="92">
        <v>-7.9364283397348587E-4</v>
      </c>
      <c r="P8" s="93">
        <v>0.12982934861864998</v>
      </c>
      <c r="Q8" s="94">
        <v>4.3058245269490412E-4</v>
      </c>
      <c r="R8" s="95">
        <v>0.13125948464542853</v>
      </c>
      <c r="S8" s="92">
        <v>-1.1968031379569681E-3</v>
      </c>
      <c r="T8" s="93">
        <v>0.12958699052012421</v>
      </c>
      <c r="U8" s="94" t="s">
        <v>1409</v>
      </c>
      <c r="V8" s="95" t="s">
        <v>1409</v>
      </c>
      <c r="W8" s="92" t="s">
        <v>1409</v>
      </c>
      <c r="X8" s="93" t="s">
        <v>1409</v>
      </c>
      <c r="Y8" s="94" t="s">
        <v>1409</v>
      </c>
      <c r="Z8" s="96" t="s">
        <v>1409</v>
      </c>
      <c r="AE8" s="2"/>
    </row>
    <row r="9" spans="1:31">
      <c r="A9" s="127"/>
      <c r="B9" s="98" t="s">
        <v>2</v>
      </c>
      <c r="C9" s="92">
        <v>0</v>
      </c>
      <c r="D9" s="93">
        <v>0</v>
      </c>
      <c r="E9" s="94">
        <v>0</v>
      </c>
      <c r="F9" s="95">
        <v>0</v>
      </c>
      <c r="G9" s="92">
        <v>0</v>
      </c>
      <c r="H9" s="93">
        <v>0</v>
      </c>
      <c r="I9" s="94">
        <v>0</v>
      </c>
      <c r="J9" s="95">
        <v>0</v>
      </c>
      <c r="K9" s="92">
        <v>0</v>
      </c>
      <c r="L9" s="93">
        <v>0</v>
      </c>
      <c r="M9" s="94">
        <v>0</v>
      </c>
      <c r="N9" s="95">
        <v>0</v>
      </c>
      <c r="O9" s="92">
        <v>0</v>
      </c>
      <c r="P9" s="93">
        <v>0</v>
      </c>
      <c r="Q9" s="94">
        <v>0</v>
      </c>
      <c r="R9" s="95">
        <v>0</v>
      </c>
      <c r="S9" s="92">
        <v>0</v>
      </c>
      <c r="T9" s="93">
        <v>0</v>
      </c>
      <c r="U9" s="94" t="s">
        <v>1409</v>
      </c>
      <c r="V9" s="95" t="s">
        <v>1409</v>
      </c>
      <c r="W9" s="92" t="s">
        <v>1409</v>
      </c>
      <c r="X9" s="93" t="s">
        <v>1409</v>
      </c>
      <c r="Y9" s="94" t="s">
        <v>1409</v>
      </c>
      <c r="Z9" s="96" t="s">
        <v>1409</v>
      </c>
      <c r="AE9" s="2"/>
    </row>
    <row r="10" spans="1:31">
      <c r="A10" s="127"/>
      <c r="B10" s="98" t="s">
        <v>3</v>
      </c>
      <c r="C10" s="92">
        <v>0</v>
      </c>
      <c r="D10" s="93">
        <v>0</v>
      </c>
      <c r="E10" s="94">
        <v>0</v>
      </c>
      <c r="F10" s="95">
        <v>0</v>
      </c>
      <c r="G10" s="92">
        <v>0</v>
      </c>
      <c r="H10" s="93">
        <v>0</v>
      </c>
      <c r="I10" s="94">
        <v>0</v>
      </c>
      <c r="J10" s="95">
        <v>0</v>
      </c>
      <c r="K10" s="92">
        <v>0</v>
      </c>
      <c r="L10" s="93">
        <v>0</v>
      </c>
      <c r="M10" s="94">
        <v>0</v>
      </c>
      <c r="N10" s="95">
        <v>0</v>
      </c>
      <c r="O10" s="92">
        <v>0</v>
      </c>
      <c r="P10" s="93">
        <v>0</v>
      </c>
      <c r="Q10" s="94">
        <v>0</v>
      </c>
      <c r="R10" s="95">
        <v>0</v>
      </c>
      <c r="S10" s="92">
        <v>0</v>
      </c>
      <c r="T10" s="93">
        <v>0</v>
      </c>
      <c r="U10" s="94" t="s">
        <v>1409</v>
      </c>
      <c r="V10" s="95" t="s">
        <v>1409</v>
      </c>
      <c r="W10" s="92" t="s">
        <v>1409</v>
      </c>
      <c r="X10" s="93" t="s">
        <v>1409</v>
      </c>
      <c r="Y10" s="94" t="s">
        <v>1409</v>
      </c>
      <c r="Z10" s="96" t="s">
        <v>1409</v>
      </c>
      <c r="AE10" s="2"/>
    </row>
    <row r="11" spans="1:31">
      <c r="A11" s="127"/>
      <c r="B11" s="98" t="s">
        <v>4</v>
      </c>
      <c r="C11" s="92">
        <v>1.571291368868169E-4</v>
      </c>
      <c r="D11" s="93">
        <v>0.16311177257258896</v>
      </c>
      <c r="E11" s="94">
        <v>6.6892141770833458E-5</v>
      </c>
      <c r="F11" s="95">
        <v>0.16364799268252897</v>
      </c>
      <c r="G11" s="92">
        <v>-6.7577609869782552E-4</v>
      </c>
      <c r="H11" s="93">
        <v>0.16298894289500052</v>
      </c>
      <c r="I11" s="94">
        <v>7.9688229450735303E-4</v>
      </c>
      <c r="J11" s="95">
        <v>0.16005394605928783</v>
      </c>
      <c r="K11" s="92">
        <v>1.2098103261894793E-3</v>
      </c>
      <c r="L11" s="93">
        <v>0.16062682744885268</v>
      </c>
      <c r="M11" s="94">
        <v>1.8949012707935773E-3</v>
      </c>
      <c r="N11" s="95">
        <v>0.16341567708369723</v>
      </c>
      <c r="O11" s="92">
        <v>4.6405094303875687E-4</v>
      </c>
      <c r="P11" s="93">
        <v>0.16217498298673727</v>
      </c>
      <c r="Q11" s="94">
        <v>2.3705474145298281E-5</v>
      </c>
      <c r="R11" s="95">
        <v>0.16244889689903222</v>
      </c>
      <c r="S11" s="92">
        <v>-4.4387405942132347E-4</v>
      </c>
      <c r="T11" s="93">
        <v>0.16281338369570258</v>
      </c>
      <c r="U11" s="94" t="s">
        <v>1409</v>
      </c>
      <c r="V11" s="95" t="s">
        <v>1409</v>
      </c>
      <c r="W11" s="92" t="s">
        <v>1409</v>
      </c>
      <c r="X11" s="93" t="s">
        <v>1409</v>
      </c>
      <c r="Y11" s="94" t="s">
        <v>1409</v>
      </c>
      <c r="Z11" s="96" t="s">
        <v>1409</v>
      </c>
      <c r="AE11" s="2"/>
    </row>
    <row r="12" spans="1:31">
      <c r="A12" s="127"/>
      <c r="B12" s="98" t="s">
        <v>5</v>
      </c>
      <c r="C12" s="92">
        <v>-1.287476781483439E-5</v>
      </c>
      <c r="D12" s="93">
        <v>6.5030884167818787E-3</v>
      </c>
      <c r="E12" s="94">
        <v>-3.4047480262599766E-6</v>
      </c>
      <c r="F12" s="95">
        <v>6.3408019438236461E-3</v>
      </c>
      <c r="G12" s="92">
        <v>-3.4332845736768571E-5</v>
      </c>
      <c r="H12" s="93">
        <v>6.2354077010531627E-3</v>
      </c>
      <c r="I12" s="94">
        <v>6.2071384612685839E-5</v>
      </c>
      <c r="J12" s="95">
        <v>6.0155627636964016E-3</v>
      </c>
      <c r="K12" s="92">
        <v>9.5350565596735896E-5</v>
      </c>
      <c r="L12" s="93">
        <v>5.94896254408964E-3</v>
      </c>
      <c r="M12" s="94">
        <v>2.6402694865779227E-5</v>
      </c>
      <c r="N12" s="95">
        <v>5.9740807754760025E-3</v>
      </c>
      <c r="O12" s="92">
        <v>-3.1979506881731081E-6</v>
      </c>
      <c r="P12" s="93">
        <v>5.5025448706606788E-3</v>
      </c>
      <c r="Q12" s="94">
        <v>2.9740749910259592E-5</v>
      </c>
      <c r="R12" s="95">
        <v>5.5506698367942852E-3</v>
      </c>
      <c r="S12" s="92">
        <v>-1.0832769303119716E-5</v>
      </c>
      <c r="T12" s="93">
        <v>5.5773016968979384E-3</v>
      </c>
      <c r="U12" s="94" t="s">
        <v>1409</v>
      </c>
      <c r="V12" s="95" t="s">
        <v>1409</v>
      </c>
      <c r="W12" s="92" t="s">
        <v>1409</v>
      </c>
      <c r="X12" s="93" t="s">
        <v>1409</v>
      </c>
      <c r="Y12" s="94" t="s">
        <v>1409</v>
      </c>
      <c r="Z12" s="96" t="s">
        <v>1409</v>
      </c>
      <c r="AE12" s="2"/>
    </row>
    <row r="13" spans="1:31">
      <c r="A13" s="127"/>
      <c r="B13" s="98" t="s">
        <v>6</v>
      </c>
      <c r="C13" s="92">
        <v>1.414658420069009E-2</v>
      </c>
      <c r="D13" s="93">
        <v>0.21957063469083718</v>
      </c>
      <c r="E13" s="94">
        <v>5.1170600881647143E-4</v>
      </c>
      <c r="F13" s="95">
        <v>0.22306366246589704</v>
      </c>
      <c r="G13" s="92">
        <v>-3.6602060857902968E-3</v>
      </c>
      <c r="H13" s="93">
        <v>0.23217343371970334</v>
      </c>
      <c r="I13" s="94">
        <v>1.6578543088253829E-2</v>
      </c>
      <c r="J13" s="95">
        <v>0.23545076667499526</v>
      </c>
      <c r="K13" s="92">
        <v>7.7892833488461119E-3</v>
      </c>
      <c r="L13" s="93">
        <v>0.2447880441287707</v>
      </c>
      <c r="M13" s="94">
        <v>-1.0317006707259498E-2</v>
      </c>
      <c r="N13" s="95">
        <v>0.24001915529847437</v>
      </c>
      <c r="O13" s="92">
        <v>-2.7770755964096473E-3</v>
      </c>
      <c r="P13" s="93">
        <v>0.23586257723914053</v>
      </c>
      <c r="Q13" s="94">
        <v>-4.0741389082326587E-5</v>
      </c>
      <c r="R13" s="95">
        <v>0.22509913636216047</v>
      </c>
      <c r="S13" s="92">
        <v>2.869309067322114E-3</v>
      </c>
      <c r="T13" s="93">
        <v>0.22073864837599091</v>
      </c>
      <c r="U13" s="94" t="s">
        <v>1409</v>
      </c>
      <c r="V13" s="95" t="s">
        <v>1409</v>
      </c>
      <c r="W13" s="92" t="s">
        <v>1409</v>
      </c>
      <c r="X13" s="93" t="s">
        <v>1409</v>
      </c>
      <c r="Y13" s="94" t="s">
        <v>1409</v>
      </c>
      <c r="Z13" s="96" t="s">
        <v>1409</v>
      </c>
      <c r="AE13" s="2"/>
    </row>
    <row r="14" spans="1:31">
      <c r="A14" s="127"/>
      <c r="B14" s="98" t="s">
        <v>62</v>
      </c>
      <c r="C14" s="92">
        <v>2.7656204913529847E-3</v>
      </c>
      <c r="D14" s="93">
        <v>0.13213977075799219</v>
      </c>
      <c r="E14" s="94">
        <v>2.4048862843369778E-3</v>
      </c>
      <c r="F14" s="95">
        <v>0.12965190053435988</v>
      </c>
      <c r="G14" s="92">
        <v>-7.4339316424155534E-3</v>
      </c>
      <c r="H14" s="93">
        <v>0.12248234160473125</v>
      </c>
      <c r="I14" s="94">
        <v>3.981250609367392E-3</v>
      </c>
      <c r="J14" s="95">
        <v>0.12130479311429393</v>
      </c>
      <c r="K14" s="92">
        <v>4.1395544106546586E-4</v>
      </c>
      <c r="L14" s="93">
        <v>0.11909735659208827</v>
      </c>
      <c r="M14" s="94">
        <v>2.7403403372118868E-3</v>
      </c>
      <c r="N14" s="95">
        <v>0.11830285183254019</v>
      </c>
      <c r="O14" s="92">
        <v>1.7368416867664411E-3</v>
      </c>
      <c r="P14" s="93">
        <v>0.11500505964488725</v>
      </c>
      <c r="Q14" s="94">
        <v>1.2515472195643708E-3</v>
      </c>
      <c r="R14" s="95">
        <v>0.11127899604087006</v>
      </c>
      <c r="S14" s="92">
        <v>4.3858634283987436E-4</v>
      </c>
      <c r="T14" s="93">
        <v>0.11025489909280799</v>
      </c>
      <c r="U14" s="94" t="s">
        <v>1409</v>
      </c>
      <c r="V14" s="95" t="s">
        <v>1409</v>
      </c>
      <c r="W14" s="92" t="s">
        <v>1409</v>
      </c>
      <c r="X14" s="93" t="s">
        <v>1409</v>
      </c>
      <c r="Y14" s="94" t="s">
        <v>1409</v>
      </c>
      <c r="Z14" s="96" t="s">
        <v>1409</v>
      </c>
      <c r="AE14" s="2"/>
    </row>
    <row r="15" spans="1:31">
      <c r="A15" s="127"/>
      <c r="B15" s="98" t="s">
        <v>7</v>
      </c>
      <c r="C15" s="92">
        <v>-1.4460617507551946E-4</v>
      </c>
      <c r="D15" s="93">
        <v>4.9590315280504142E-3</v>
      </c>
      <c r="E15" s="94">
        <v>7.8861267842270867E-5</v>
      </c>
      <c r="F15" s="95">
        <v>4.7030913333308893E-3</v>
      </c>
      <c r="G15" s="92">
        <v>-1.5442600244961263E-4</v>
      </c>
      <c r="H15" s="93">
        <v>4.6021069387518028E-3</v>
      </c>
      <c r="I15" s="94">
        <v>-1.3094817101156467E-4</v>
      </c>
      <c r="J15" s="95">
        <v>4.1798729711733547E-3</v>
      </c>
      <c r="K15" s="92">
        <v>-1.2844250007417474E-4</v>
      </c>
      <c r="L15" s="93">
        <v>3.4880241998900855E-3</v>
      </c>
      <c r="M15" s="94">
        <v>1.8289067355569449E-4</v>
      </c>
      <c r="N15" s="95">
        <v>3.3537108436801251E-3</v>
      </c>
      <c r="O15" s="92">
        <v>8.5481079805056732E-5</v>
      </c>
      <c r="P15" s="93">
        <v>3.3061755597034613E-3</v>
      </c>
      <c r="Q15" s="94">
        <v>-3.3428432131439172E-5</v>
      </c>
      <c r="R15" s="95">
        <v>3.2747191966979424E-3</v>
      </c>
      <c r="S15" s="92">
        <v>6.0666009017127233E-5</v>
      </c>
      <c r="T15" s="93">
        <v>3.5410413325437156E-3</v>
      </c>
      <c r="U15" s="94" t="s">
        <v>1409</v>
      </c>
      <c r="V15" s="95" t="s">
        <v>1409</v>
      </c>
      <c r="W15" s="92" t="s">
        <v>1409</v>
      </c>
      <c r="X15" s="93" t="s">
        <v>1409</v>
      </c>
      <c r="Y15" s="94" t="s">
        <v>1409</v>
      </c>
      <c r="Z15" s="96" t="s">
        <v>1409</v>
      </c>
      <c r="AE15" s="2"/>
    </row>
    <row r="16" spans="1:31">
      <c r="A16" s="127"/>
      <c r="B16" s="98" t="s">
        <v>8</v>
      </c>
      <c r="C16" s="92">
        <v>-2.0826088434604223E-3</v>
      </c>
      <c r="D16" s="93">
        <v>9.1315859693577819E-2</v>
      </c>
      <c r="E16" s="94">
        <v>8.4230598654539183E-4</v>
      </c>
      <c r="F16" s="95">
        <v>8.777713393526923E-2</v>
      </c>
      <c r="G16" s="92">
        <v>1.8099706704729182E-3</v>
      </c>
      <c r="H16" s="93">
        <v>8.7700582131163565E-2</v>
      </c>
      <c r="I16" s="94">
        <v>-4.4494651073483295E-3</v>
      </c>
      <c r="J16" s="95">
        <v>8.5267440733047206E-2</v>
      </c>
      <c r="K16" s="92">
        <v>-2.9430385543203945E-3</v>
      </c>
      <c r="L16" s="93">
        <v>8.0963824326551401E-2</v>
      </c>
      <c r="M16" s="94">
        <v>4.6407532541645072E-3</v>
      </c>
      <c r="N16" s="95">
        <v>8.638478347105133E-2</v>
      </c>
      <c r="O16" s="92">
        <v>2.9784017916353062E-3</v>
      </c>
      <c r="P16" s="93">
        <v>9.4473645917152585E-2</v>
      </c>
      <c r="Q16" s="94">
        <v>3.1483525567185317E-4</v>
      </c>
      <c r="R16" s="95">
        <v>9.8335933351283517E-2</v>
      </c>
      <c r="S16" s="92">
        <v>2.6432185671944031E-3</v>
      </c>
      <c r="T16" s="93">
        <v>0.10238805449033135</v>
      </c>
      <c r="U16" s="94" t="s">
        <v>1409</v>
      </c>
      <c r="V16" s="95" t="s">
        <v>1409</v>
      </c>
      <c r="W16" s="92" t="s">
        <v>1409</v>
      </c>
      <c r="X16" s="93" t="s">
        <v>1409</v>
      </c>
      <c r="Y16" s="94" t="s">
        <v>1409</v>
      </c>
      <c r="Z16" s="96" t="s">
        <v>1409</v>
      </c>
      <c r="AE16" s="2"/>
    </row>
    <row r="17" spans="1:31">
      <c r="A17" s="127"/>
      <c r="B17" s="98" t="s">
        <v>9</v>
      </c>
      <c r="C17" s="92">
        <v>1.1953623588133241E-5</v>
      </c>
      <c r="D17" s="93">
        <v>3.7365548815499784E-4</v>
      </c>
      <c r="E17" s="94">
        <v>1.8068555555806488E-5</v>
      </c>
      <c r="F17" s="95">
        <v>4.0761475681432133E-4</v>
      </c>
      <c r="G17" s="92">
        <v>9.8940186421028799E-5</v>
      </c>
      <c r="H17" s="93">
        <v>4.5359345075164214E-4</v>
      </c>
      <c r="I17" s="94">
        <v>4.9414140850016192E-5</v>
      </c>
      <c r="J17" s="95">
        <v>5.8150880983355146E-4</v>
      </c>
      <c r="K17" s="92">
        <v>7.0077137700607264E-5</v>
      </c>
      <c r="L17" s="93">
        <v>5.9251828021410994E-4</v>
      </c>
      <c r="M17" s="94">
        <v>-8.0988501961282969E-5</v>
      </c>
      <c r="N17" s="95">
        <v>5.8511021271751831E-4</v>
      </c>
      <c r="O17" s="92">
        <v>-1.2660892650063883E-5</v>
      </c>
      <c r="P17" s="93">
        <v>5.1786576143619866E-4</v>
      </c>
      <c r="Q17" s="94">
        <v>5.1933892252245442E-5</v>
      </c>
      <c r="R17" s="95">
        <v>6.062587061940616E-4</v>
      </c>
      <c r="S17" s="92">
        <v>-1.9093185154723474E-5</v>
      </c>
      <c r="T17" s="93">
        <v>6.1430527587738636E-4</v>
      </c>
      <c r="U17" s="94" t="s">
        <v>1409</v>
      </c>
      <c r="V17" s="95" t="s">
        <v>1409</v>
      </c>
      <c r="W17" s="92" t="s">
        <v>1409</v>
      </c>
      <c r="X17" s="93" t="s">
        <v>1409</v>
      </c>
      <c r="Y17" s="94" t="s">
        <v>1409</v>
      </c>
      <c r="Z17" s="96" t="s">
        <v>1409</v>
      </c>
      <c r="AE17" s="2"/>
    </row>
    <row r="18" spans="1:31">
      <c r="A18" s="127"/>
      <c r="B18" s="98" t="s">
        <v>10</v>
      </c>
      <c r="C18" s="92">
        <v>8.5306944198212161E-3</v>
      </c>
      <c r="D18" s="93">
        <v>1.0624525958457764E-2</v>
      </c>
      <c r="E18" s="94">
        <v>1.3021880371948851E-3</v>
      </c>
      <c r="F18" s="95">
        <v>1.3131073404570297E-2</v>
      </c>
      <c r="G18" s="92">
        <v>-1.2932349368736889E-2</v>
      </c>
      <c r="H18" s="93">
        <v>6.8602404131368295E-3</v>
      </c>
      <c r="I18" s="94">
        <v>2.4309332278356303E-2</v>
      </c>
      <c r="J18" s="95">
        <v>1.5006710765332724E-2</v>
      </c>
      <c r="K18" s="92">
        <v>1.3055999769968539E-2</v>
      </c>
      <c r="L18" s="93">
        <v>2.8727745014383906E-2</v>
      </c>
      <c r="M18" s="94">
        <v>-9.1429207903428369E-3</v>
      </c>
      <c r="N18" s="95">
        <v>1.8385598158102631E-2</v>
      </c>
      <c r="O18" s="92">
        <v>-9.1915418681637537E-3</v>
      </c>
      <c r="P18" s="93">
        <v>6.6715517603691491E-3</v>
      </c>
      <c r="Q18" s="94">
        <v>1.1163607916152734E-2</v>
      </c>
      <c r="R18" s="95">
        <v>1.1961897750559284E-2</v>
      </c>
      <c r="S18" s="92">
        <v>-5.1725329801310506E-3</v>
      </c>
      <c r="T18" s="93">
        <v>8.9793768714989154E-3</v>
      </c>
      <c r="U18" s="94" t="s">
        <v>1409</v>
      </c>
      <c r="V18" s="95" t="s">
        <v>1409</v>
      </c>
      <c r="W18" s="92" t="s">
        <v>1409</v>
      </c>
      <c r="X18" s="93" t="s">
        <v>1409</v>
      </c>
      <c r="Y18" s="94" t="s">
        <v>1409</v>
      </c>
      <c r="Z18" s="96" t="s">
        <v>1409</v>
      </c>
      <c r="AE18" s="2"/>
    </row>
    <row r="19" spans="1:31">
      <c r="A19" s="127"/>
      <c r="B19" s="98" t="s">
        <v>11</v>
      </c>
      <c r="C19" s="92">
        <v>1.9451744943001705E-4</v>
      </c>
      <c r="D19" s="93">
        <v>1.5840061752315322E-4</v>
      </c>
      <c r="E19" s="94">
        <v>5.9034212494375609E-5</v>
      </c>
      <c r="F19" s="95">
        <v>2.2234807915378436E-4</v>
      </c>
      <c r="G19" s="92">
        <v>-1.4253516422757349E-4</v>
      </c>
      <c r="H19" s="93">
        <v>1.3770739737464801E-4</v>
      </c>
      <c r="I19" s="94">
        <v>2.3624256815097244E-6</v>
      </c>
      <c r="J19" s="95">
        <v>5.3718388289032169E-5</v>
      </c>
      <c r="K19" s="92">
        <v>-5.3201256577645165E-5</v>
      </c>
      <c r="L19" s="93">
        <v>2.5199953906208811E-5</v>
      </c>
      <c r="M19" s="94">
        <v>7.3711248083005662E-5</v>
      </c>
      <c r="N19" s="95">
        <v>-2.8882132330276711E-6</v>
      </c>
      <c r="O19" s="92">
        <v>2.2152793464403356E-4</v>
      </c>
      <c r="P19" s="93">
        <v>7.5332319992824481E-6</v>
      </c>
      <c r="Q19" s="94">
        <v>-3.8378689310431804E-5</v>
      </c>
      <c r="R19" s="95">
        <v>6.473551372966117E-5</v>
      </c>
      <c r="S19" s="92">
        <v>1.205585200084532E-4</v>
      </c>
      <c r="T19" s="93">
        <v>1.0593191083086146E-4</v>
      </c>
      <c r="U19" s="94" t="s">
        <v>1409</v>
      </c>
      <c r="V19" s="95" t="s">
        <v>1409</v>
      </c>
      <c r="W19" s="92" t="s">
        <v>1409</v>
      </c>
      <c r="X19" s="93" t="s">
        <v>1409</v>
      </c>
      <c r="Y19" s="94" t="s">
        <v>1409</v>
      </c>
      <c r="Z19" s="96" t="s">
        <v>1409</v>
      </c>
    </row>
    <row r="20" spans="1:31">
      <c r="A20" s="127"/>
      <c r="B20" s="98" t="s">
        <v>12</v>
      </c>
      <c r="C20" s="92">
        <v>4.515569195754391E-6</v>
      </c>
      <c r="D20" s="93">
        <v>7.8212569331785383E-3</v>
      </c>
      <c r="E20" s="94">
        <v>1.6427867953372586E-5</v>
      </c>
      <c r="F20" s="95">
        <v>7.4561102243891949E-3</v>
      </c>
      <c r="G20" s="92">
        <v>-6.3665404187828397E-5</v>
      </c>
      <c r="H20" s="93">
        <v>8.5876791866697916E-3</v>
      </c>
      <c r="I20" s="94">
        <v>1.017909775181796E-4</v>
      </c>
      <c r="J20" s="95">
        <v>8.5766186033596082E-3</v>
      </c>
      <c r="K20" s="92">
        <v>9.4164687914946973E-5</v>
      </c>
      <c r="L20" s="93">
        <v>8.3139255892312885E-3</v>
      </c>
      <c r="M20" s="94">
        <v>4.0587452960437519E-5</v>
      </c>
      <c r="N20" s="95">
        <v>8.3654053316371286E-3</v>
      </c>
      <c r="O20" s="92">
        <v>4.7854714847406461E-5</v>
      </c>
      <c r="P20" s="93">
        <v>8.1184291289225999E-3</v>
      </c>
      <c r="Q20" s="94">
        <v>3.655890782941956E-5</v>
      </c>
      <c r="R20" s="95">
        <v>7.7445601357380416E-3</v>
      </c>
      <c r="S20" s="92">
        <v>4.294813224012509E-5</v>
      </c>
      <c r="T20" s="93">
        <v>7.2316155825740283E-3</v>
      </c>
      <c r="U20" s="94" t="s">
        <v>1409</v>
      </c>
      <c r="V20" s="95" t="s">
        <v>1409</v>
      </c>
      <c r="W20" s="92" t="s">
        <v>1409</v>
      </c>
      <c r="X20" s="93" t="s">
        <v>1409</v>
      </c>
      <c r="Y20" s="94" t="s">
        <v>1409</v>
      </c>
      <c r="Z20" s="96" t="s">
        <v>1409</v>
      </c>
    </row>
    <row r="21" spans="1:31">
      <c r="A21" s="127"/>
      <c r="B21" s="98" t="s">
        <v>13</v>
      </c>
      <c r="C21" s="92">
        <v>-1.1174912174289538E-5</v>
      </c>
      <c r="D21" s="93">
        <v>6.7676752296983334E-2</v>
      </c>
      <c r="E21" s="94">
        <v>1.0391132436187623E-4</v>
      </c>
      <c r="F21" s="95">
        <v>6.5308499078526844E-2</v>
      </c>
      <c r="G21" s="92">
        <v>-2.1905105622207775E-4</v>
      </c>
      <c r="H21" s="93">
        <v>6.3893950941518646E-2</v>
      </c>
      <c r="I21" s="94">
        <v>5.6000681409169341E-4</v>
      </c>
      <c r="J21" s="95">
        <v>6.1859097656650729E-2</v>
      </c>
      <c r="K21" s="92">
        <v>3.8504585241450854E-4</v>
      </c>
      <c r="L21" s="93">
        <v>6.0091679740081401E-2</v>
      </c>
      <c r="M21" s="94">
        <v>5.7689840870463064E-4</v>
      </c>
      <c r="N21" s="95">
        <v>6.169083665690276E-2</v>
      </c>
      <c r="O21" s="92">
        <v>3.4191810231996199E-4</v>
      </c>
      <c r="P21" s="93">
        <v>6.1553537520547326E-2</v>
      </c>
      <c r="Q21" s="94">
        <v>1.5805691914205414E-4</v>
      </c>
      <c r="R21" s="95">
        <v>6.1379996623261886E-2</v>
      </c>
      <c r="S21" s="92">
        <v>1.8486883933485309E-4</v>
      </c>
      <c r="T21" s="93">
        <v>6.3273758949413603E-2</v>
      </c>
      <c r="U21" s="94" t="s">
        <v>1409</v>
      </c>
      <c r="V21" s="95" t="s">
        <v>1409</v>
      </c>
      <c r="W21" s="92" t="s">
        <v>1409</v>
      </c>
      <c r="X21" s="93" t="s">
        <v>1409</v>
      </c>
      <c r="Y21" s="94" t="s">
        <v>1409</v>
      </c>
      <c r="Z21" s="96" t="s">
        <v>1409</v>
      </c>
    </row>
    <row r="22" spans="1:31">
      <c r="A22" s="127"/>
      <c r="B22" s="98" t="s">
        <v>14</v>
      </c>
      <c r="C22" s="92">
        <v>0</v>
      </c>
      <c r="D22" s="93">
        <v>0</v>
      </c>
      <c r="E22" s="94">
        <v>0</v>
      </c>
      <c r="F22" s="95">
        <v>0</v>
      </c>
      <c r="G22" s="92">
        <v>0</v>
      </c>
      <c r="H22" s="93">
        <v>0</v>
      </c>
      <c r="I22" s="94">
        <v>0</v>
      </c>
      <c r="J22" s="95">
        <v>0</v>
      </c>
      <c r="K22" s="92">
        <v>0</v>
      </c>
      <c r="L22" s="93">
        <v>0</v>
      </c>
      <c r="M22" s="94">
        <v>0</v>
      </c>
      <c r="N22" s="95">
        <v>0</v>
      </c>
      <c r="O22" s="92">
        <v>0</v>
      </c>
      <c r="P22" s="93">
        <v>0</v>
      </c>
      <c r="Q22" s="94">
        <v>0</v>
      </c>
      <c r="R22" s="95">
        <v>0</v>
      </c>
      <c r="S22" s="92">
        <v>0</v>
      </c>
      <c r="T22" s="93">
        <v>0</v>
      </c>
      <c r="U22" s="94" t="s">
        <v>1409</v>
      </c>
      <c r="V22" s="95" t="s">
        <v>1409</v>
      </c>
      <c r="W22" s="92" t="s">
        <v>1409</v>
      </c>
      <c r="X22" s="93" t="s">
        <v>1409</v>
      </c>
      <c r="Y22" s="94" t="s">
        <v>1409</v>
      </c>
      <c r="Z22" s="96" t="s">
        <v>1409</v>
      </c>
    </row>
    <row r="23" spans="1:31">
      <c r="A23" s="127"/>
      <c r="B23" s="98" t="s">
        <v>15</v>
      </c>
      <c r="C23" s="92">
        <v>0</v>
      </c>
      <c r="D23" s="93">
        <v>0</v>
      </c>
      <c r="E23" s="94">
        <v>0</v>
      </c>
      <c r="F23" s="95">
        <v>0</v>
      </c>
      <c r="G23" s="92">
        <v>0</v>
      </c>
      <c r="H23" s="93">
        <v>0</v>
      </c>
      <c r="I23" s="94">
        <v>0</v>
      </c>
      <c r="J23" s="95">
        <v>0</v>
      </c>
      <c r="K23" s="92">
        <v>0</v>
      </c>
      <c r="L23" s="93">
        <v>0</v>
      </c>
      <c r="M23" s="94">
        <v>0</v>
      </c>
      <c r="N23" s="95">
        <v>0</v>
      </c>
      <c r="O23" s="92">
        <v>0</v>
      </c>
      <c r="P23" s="93">
        <v>0</v>
      </c>
      <c r="Q23" s="94">
        <v>0</v>
      </c>
      <c r="R23" s="95">
        <v>0</v>
      </c>
      <c r="S23" s="92">
        <v>0</v>
      </c>
      <c r="T23" s="93">
        <v>0</v>
      </c>
      <c r="U23" s="94" t="s">
        <v>1409</v>
      </c>
      <c r="V23" s="95" t="s">
        <v>1409</v>
      </c>
      <c r="W23" s="92" t="s">
        <v>1409</v>
      </c>
      <c r="X23" s="93" t="s">
        <v>1409</v>
      </c>
      <c r="Y23" s="94" t="s">
        <v>1409</v>
      </c>
      <c r="Z23" s="96" t="s">
        <v>1409</v>
      </c>
    </row>
    <row r="24" spans="1:31">
      <c r="A24" s="127"/>
      <c r="B24" s="98" t="s">
        <v>16</v>
      </c>
      <c r="C24" s="92">
        <v>3.9401796548069972E-6</v>
      </c>
      <c r="D24" s="93">
        <v>6.7361601029431823E-3</v>
      </c>
      <c r="E24" s="94">
        <v>1.2624456073724501E-5</v>
      </c>
      <c r="F24" s="95">
        <v>6.6633184134209517E-3</v>
      </c>
      <c r="G24" s="92">
        <v>4.0670502725574625E-5</v>
      </c>
      <c r="H24" s="93">
        <v>6.7532518919977171E-3</v>
      </c>
      <c r="I24" s="94">
        <v>2.8762163543705603E-5</v>
      </c>
      <c r="J24" s="95">
        <v>6.6972481546827972E-3</v>
      </c>
      <c r="K24" s="92">
        <v>2.2663740959625992E-5</v>
      </c>
      <c r="L24" s="93">
        <v>6.9860335576759176E-3</v>
      </c>
      <c r="M24" s="94">
        <v>5.9444426080594251E-5</v>
      </c>
      <c r="N24" s="95">
        <v>7.4715296332281697E-3</v>
      </c>
      <c r="O24" s="92">
        <v>2.4401892125139989E-6</v>
      </c>
      <c r="P24" s="93">
        <v>8.9186103942148747E-3</v>
      </c>
      <c r="Q24" s="94">
        <v>4.121552908378889E-5</v>
      </c>
      <c r="R24" s="95">
        <v>9.5066072068758795E-3</v>
      </c>
      <c r="S24" s="92">
        <v>3.9302716104332676E-5</v>
      </c>
      <c r="T24" s="93">
        <v>9.8642742596275063E-3</v>
      </c>
      <c r="U24" s="94" t="s">
        <v>1409</v>
      </c>
      <c r="V24" s="95" t="s">
        <v>1409</v>
      </c>
      <c r="W24" s="92" t="s">
        <v>1409</v>
      </c>
      <c r="X24" s="93" t="s">
        <v>1409</v>
      </c>
      <c r="Y24" s="94" t="s">
        <v>1409</v>
      </c>
      <c r="Z24" s="96" t="s">
        <v>1409</v>
      </c>
    </row>
    <row r="25" spans="1:31">
      <c r="A25" s="127"/>
      <c r="B25" s="98" t="s">
        <v>17</v>
      </c>
      <c r="C25" s="92">
        <v>6.681468518123943E-7</v>
      </c>
      <c r="D25" s="93">
        <v>-6.6991680338455924E-5</v>
      </c>
      <c r="E25" s="94">
        <v>2.701852135461559E-7</v>
      </c>
      <c r="F25" s="95">
        <v>-3.5386718830334669E-5</v>
      </c>
      <c r="G25" s="92">
        <v>1.0238689980445038E-7</v>
      </c>
      <c r="H25" s="93">
        <v>1.9950723409544013E-5</v>
      </c>
      <c r="I25" s="94">
        <v>6.2604992342004952E-7</v>
      </c>
      <c r="J25" s="95">
        <v>-2.3770371454190772E-5</v>
      </c>
      <c r="K25" s="92">
        <v>6.2822535967586247E-7</v>
      </c>
      <c r="L25" s="93">
        <v>-1.3712472807388822E-5</v>
      </c>
      <c r="M25" s="94">
        <v>-4.343830097387551E-7</v>
      </c>
      <c r="N25" s="95">
        <v>-2.3217797120731186E-5</v>
      </c>
      <c r="O25" s="92">
        <v>0</v>
      </c>
      <c r="P25" s="93">
        <v>0</v>
      </c>
      <c r="Q25" s="94">
        <v>-3.9950089849844716E-5</v>
      </c>
      <c r="R25" s="95">
        <v>1.4787971690166616E-3</v>
      </c>
      <c r="S25" s="92">
        <v>3.1629984893336379E-5</v>
      </c>
      <c r="T25" s="93">
        <v>1.4763831240571003E-3</v>
      </c>
      <c r="U25" s="94" t="s">
        <v>1409</v>
      </c>
      <c r="V25" s="95" t="s">
        <v>1409</v>
      </c>
      <c r="W25" s="92" t="s">
        <v>1409</v>
      </c>
      <c r="X25" s="93" t="s">
        <v>1409</v>
      </c>
      <c r="Y25" s="94" t="s">
        <v>1409</v>
      </c>
      <c r="Z25" s="96" t="s">
        <v>1409</v>
      </c>
    </row>
    <row r="26" spans="1:31">
      <c r="A26" s="127"/>
      <c r="B26" s="99" t="s">
        <v>18</v>
      </c>
      <c r="C26" s="100">
        <v>2.3450492060000001E-2</v>
      </c>
      <c r="D26" s="101">
        <v>1</v>
      </c>
      <c r="E26" s="102">
        <v>6.3989806300000004E-3</v>
      </c>
      <c r="F26" s="103">
        <v>1</v>
      </c>
      <c r="G26" s="100">
        <v>-2.3487081480000001E-2</v>
      </c>
      <c r="H26" s="101">
        <v>1.0000000000000002</v>
      </c>
      <c r="I26" s="102">
        <v>4.0448284530000003E-2</v>
      </c>
      <c r="J26" s="103">
        <v>0.99999999999999967</v>
      </c>
      <c r="K26" s="100">
        <v>2.1436117939999999E-2</v>
      </c>
      <c r="L26" s="101">
        <v>1.0000000000000004</v>
      </c>
      <c r="M26" s="102">
        <v>-6.3251061499999999E-3</v>
      </c>
      <c r="N26" s="103">
        <v>1.0000000000000004</v>
      </c>
      <c r="O26" s="100">
        <v>-5.0542783100000002E-3</v>
      </c>
      <c r="P26" s="101">
        <v>1.0000000000000002</v>
      </c>
      <c r="Q26" s="102">
        <v>1.2628305350000001E-2</v>
      </c>
      <c r="R26" s="103">
        <v>1</v>
      </c>
      <c r="S26" s="100">
        <v>1.32824967E-3</v>
      </c>
      <c r="T26" s="101">
        <v>1</v>
      </c>
      <c r="U26" s="102" t="s">
        <v>1409</v>
      </c>
      <c r="V26" s="103" t="s">
        <v>1409</v>
      </c>
      <c r="W26" s="100" t="s">
        <v>1409</v>
      </c>
      <c r="X26" s="101" t="s">
        <v>1409</v>
      </c>
      <c r="Y26" s="102" t="s">
        <v>1409</v>
      </c>
      <c r="Z26" s="104" t="s">
        <v>1409</v>
      </c>
    </row>
    <row r="27" spans="1:31">
      <c r="A27" s="127"/>
      <c r="B27" s="105" t="s">
        <v>24</v>
      </c>
      <c r="C27" s="106">
        <v>3385.52124</v>
      </c>
      <c r="D27" s="130"/>
      <c r="E27" s="107">
        <v>938.61582000000055</v>
      </c>
      <c r="F27" s="130"/>
      <c r="G27" s="106">
        <v>-3519.0861899999995</v>
      </c>
      <c r="H27" s="130"/>
      <c r="I27" s="107">
        <v>5915.8521400000027</v>
      </c>
      <c r="J27" s="130"/>
      <c r="K27" s="106">
        <v>3270.8013999999994</v>
      </c>
      <c r="L27" s="130"/>
      <c r="M27" s="107">
        <v>-984.04853999999978</v>
      </c>
      <c r="N27" s="130"/>
      <c r="O27" s="106">
        <v>-782.37241999999992</v>
      </c>
      <c r="P27" s="130"/>
      <c r="Q27" s="107">
        <v>1948.2279399999993</v>
      </c>
      <c r="R27" s="130"/>
      <c r="S27" s="106">
        <v>201.74684000000013</v>
      </c>
      <c r="T27" s="130"/>
      <c r="U27" s="107" t="s">
        <v>1409</v>
      </c>
      <c r="V27" s="130"/>
      <c r="W27" s="106" t="s">
        <v>1409</v>
      </c>
      <c r="X27" s="130"/>
      <c r="Y27" s="107" t="s">
        <v>1409</v>
      </c>
      <c r="Z27" s="108"/>
    </row>
    <row r="28" spans="1:31">
      <c r="A28" s="127"/>
      <c r="B28" s="131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P28" s="132"/>
      <c r="Q28" s="132"/>
      <c r="R28" s="132"/>
      <c r="S28" s="132"/>
      <c r="T28" s="132"/>
      <c r="U28" s="132"/>
      <c r="V28" s="132"/>
      <c r="W28" s="132"/>
      <c r="X28" s="132"/>
      <c r="Y28" s="132"/>
      <c r="Z28" s="109"/>
    </row>
    <row r="29" spans="1:31">
      <c r="A29" s="127"/>
      <c r="B29" s="91" t="s">
        <v>19</v>
      </c>
      <c r="C29" s="110">
        <v>1.8566879304731842E-2</v>
      </c>
      <c r="D29" s="111">
        <v>0.71751935120367383</v>
      </c>
      <c r="E29" s="112">
        <v>3.0121040340407358E-3</v>
      </c>
      <c r="F29" s="113">
        <v>0.72279560276229649</v>
      </c>
      <c r="G29" s="110">
        <v>-4.4695593566772456E-3</v>
      </c>
      <c r="H29" s="111">
        <v>0.72990802194259607</v>
      </c>
      <c r="I29" s="112">
        <v>2.5309042918404783E-2</v>
      </c>
      <c r="J29" s="113">
        <v>0.72453826947654409</v>
      </c>
      <c r="K29" s="110">
        <v>1.7224626053065548E-2</v>
      </c>
      <c r="L29" s="111">
        <v>0.71626992619275576</v>
      </c>
      <c r="M29" s="112">
        <v>-2.280892501838978E-2</v>
      </c>
      <c r="N29" s="113">
        <v>0.71117464707782274</v>
      </c>
      <c r="O29" s="110">
        <v>-1.6489678117684453E-3</v>
      </c>
      <c r="P29" s="111">
        <v>0.71460837288348678</v>
      </c>
      <c r="Q29" s="112">
        <v>5.0722357893312189E-3</v>
      </c>
      <c r="R29" s="113">
        <v>0.70599816423718431</v>
      </c>
      <c r="S29" s="110">
        <v>-3.3441915949153603E-3</v>
      </c>
      <c r="T29" s="111">
        <v>0.70342314851818832</v>
      </c>
      <c r="U29" s="112" t="s">
        <v>1409</v>
      </c>
      <c r="V29" s="113" t="s">
        <v>1409</v>
      </c>
      <c r="W29" s="110" t="s">
        <v>1409</v>
      </c>
      <c r="X29" s="111" t="s">
        <v>1409</v>
      </c>
      <c r="Y29" s="112" t="s">
        <v>1409</v>
      </c>
      <c r="Z29" s="114" t="s">
        <v>1409</v>
      </c>
    </row>
    <row r="30" spans="1:31">
      <c r="A30" s="127"/>
      <c r="B30" s="98" t="s">
        <v>20</v>
      </c>
      <c r="C30" s="92">
        <v>4.8836127552681708E-3</v>
      </c>
      <c r="D30" s="93">
        <v>0.28248064879632623</v>
      </c>
      <c r="E30" s="94">
        <v>3.3868765959592672E-3</v>
      </c>
      <c r="F30" s="95">
        <v>0.27720439723770357</v>
      </c>
      <c r="G30" s="92">
        <v>-1.9017522123322743E-2</v>
      </c>
      <c r="H30" s="93">
        <v>0.27009197805740387</v>
      </c>
      <c r="I30" s="94">
        <v>1.5139351440407546E-2</v>
      </c>
      <c r="J30" s="95">
        <v>0.27546173052345591</v>
      </c>
      <c r="K30" s="92">
        <v>4.2114823742322475E-3</v>
      </c>
      <c r="L30" s="93">
        <v>0.28373007380724424</v>
      </c>
      <c r="M30" s="94">
        <v>1.6483878389655846E-2</v>
      </c>
      <c r="N30" s="95">
        <v>0.28882535292217731</v>
      </c>
      <c r="O30" s="92">
        <v>-3.4052089581580493E-3</v>
      </c>
      <c r="P30" s="93">
        <v>0.28539162711651317</v>
      </c>
      <c r="Q30" s="94">
        <v>7.55606555809864E-3</v>
      </c>
      <c r="R30" s="95">
        <v>0.2940018357628158</v>
      </c>
      <c r="S30" s="92">
        <v>4.6724534265368241E-3</v>
      </c>
      <c r="T30" s="93">
        <v>0.29657685148181168</v>
      </c>
      <c r="U30" s="94" t="s">
        <v>1409</v>
      </c>
      <c r="V30" s="95" t="s">
        <v>1409</v>
      </c>
      <c r="W30" s="92" t="s">
        <v>1409</v>
      </c>
      <c r="X30" s="93" t="s">
        <v>1409</v>
      </c>
      <c r="Y30" s="94" t="s">
        <v>1409</v>
      </c>
      <c r="Z30" s="96" t="s">
        <v>1409</v>
      </c>
    </row>
    <row r="31" spans="1:31">
      <c r="A31" s="127"/>
      <c r="B31" s="99" t="s">
        <v>18</v>
      </c>
      <c r="C31" s="100">
        <v>2.3450492060000001E-2</v>
      </c>
      <c r="D31" s="101">
        <v>1</v>
      </c>
      <c r="E31" s="102">
        <v>6.3989806300000004E-3</v>
      </c>
      <c r="F31" s="103">
        <v>1</v>
      </c>
      <c r="G31" s="100">
        <v>-2.3487081480000001E-2</v>
      </c>
      <c r="H31" s="101">
        <v>1.0000000000000002</v>
      </c>
      <c r="I31" s="102">
        <v>4.0448284530000003E-2</v>
      </c>
      <c r="J31" s="103">
        <v>0.99999999999999967</v>
      </c>
      <c r="K31" s="100">
        <v>2.1436117939999999E-2</v>
      </c>
      <c r="L31" s="101">
        <v>1.0000000000000004</v>
      </c>
      <c r="M31" s="102">
        <v>-6.3251061499999999E-3</v>
      </c>
      <c r="N31" s="103">
        <v>1.0000000000000004</v>
      </c>
      <c r="O31" s="100">
        <v>-5.0542783100000002E-3</v>
      </c>
      <c r="P31" s="101">
        <v>1.0000000000000002</v>
      </c>
      <c r="Q31" s="102">
        <v>1.2628305350000001E-2</v>
      </c>
      <c r="R31" s="103">
        <v>1</v>
      </c>
      <c r="S31" s="100">
        <v>1.32824967E-3</v>
      </c>
      <c r="T31" s="101">
        <v>1</v>
      </c>
      <c r="U31" s="102" t="s">
        <v>1409</v>
      </c>
      <c r="V31" s="103" t="s">
        <v>1409</v>
      </c>
      <c r="W31" s="100" t="s">
        <v>1409</v>
      </c>
      <c r="X31" s="101" t="s">
        <v>1409</v>
      </c>
      <c r="Y31" s="102" t="s">
        <v>1409</v>
      </c>
      <c r="Z31" s="104" t="s">
        <v>1409</v>
      </c>
    </row>
    <row r="32" spans="1:31">
      <c r="A32" s="127"/>
      <c r="B32" s="131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  <c r="R32" s="132"/>
      <c r="S32" s="132"/>
      <c r="T32" s="132"/>
      <c r="U32" s="132"/>
      <c r="V32" s="132"/>
      <c r="W32" s="132"/>
      <c r="X32" s="132"/>
      <c r="Y32" s="132"/>
      <c r="Z32" s="109"/>
    </row>
    <row r="33" spans="1:26">
      <c r="A33" s="127"/>
      <c r="B33" s="91" t="s">
        <v>21</v>
      </c>
      <c r="C33" s="110">
        <v>2.062288349911005E-2</v>
      </c>
      <c r="D33" s="111">
        <v>0.79620148483842623</v>
      </c>
      <c r="E33" s="112">
        <v>5.2221543206132344E-3</v>
      </c>
      <c r="F33" s="113">
        <v>0.80061134893109698</v>
      </c>
      <c r="G33" s="110">
        <v>-2.191982899305181E-2</v>
      </c>
      <c r="H33" s="111">
        <v>0.80174886557821035</v>
      </c>
      <c r="I33" s="112">
        <v>3.2713290897807612E-2</v>
      </c>
      <c r="J33" s="113">
        <v>0.80324158941066115</v>
      </c>
      <c r="K33" s="110">
        <v>1.6567066152033023E-2</v>
      </c>
      <c r="L33" s="111">
        <v>0.80319965417027328</v>
      </c>
      <c r="M33" s="112">
        <v>-4.4757031758344331E-3</v>
      </c>
      <c r="N33" s="113">
        <v>0.7995944273523703</v>
      </c>
      <c r="O33" s="110">
        <v>-3.3186626372572799E-3</v>
      </c>
      <c r="P33" s="111">
        <v>0.79423505965147589</v>
      </c>
      <c r="Q33" s="112">
        <v>5.7410590182881693E-3</v>
      </c>
      <c r="R33" s="113">
        <v>0.78878830248570719</v>
      </c>
      <c r="S33" s="110">
        <v>2.0268869113251346E-3</v>
      </c>
      <c r="T33" s="111">
        <v>0.78471185740316107</v>
      </c>
      <c r="U33" s="112" t="s">
        <v>1409</v>
      </c>
      <c r="V33" s="113" t="s">
        <v>1409</v>
      </c>
      <c r="W33" s="110" t="s">
        <v>1409</v>
      </c>
      <c r="X33" s="111" t="s">
        <v>1409</v>
      </c>
      <c r="Y33" s="112" t="s">
        <v>1409</v>
      </c>
      <c r="Z33" s="114" t="s">
        <v>1409</v>
      </c>
    </row>
    <row r="34" spans="1:26">
      <c r="A34" s="127"/>
      <c r="B34" s="98" t="s">
        <v>22</v>
      </c>
      <c r="C34" s="92">
        <v>2.8276085608899527E-3</v>
      </c>
      <c r="D34" s="93">
        <v>0.20379851516157374</v>
      </c>
      <c r="E34" s="94">
        <v>1.1768263093867688E-3</v>
      </c>
      <c r="F34" s="95">
        <v>0.19938865106890311</v>
      </c>
      <c r="G34" s="92">
        <v>-1.5672524869481778E-3</v>
      </c>
      <c r="H34" s="93">
        <v>0.19825113442178965</v>
      </c>
      <c r="I34" s="94">
        <v>7.7351107842084481E-3</v>
      </c>
      <c r="J34" s="95">
        <v>0.19675841058933885</v>
      </c>
      <c r="K34" s="92">
        <v>4.8690517879669852E-3</v>
      </c>
      <c r="L34" s="93">
        <v>0.1968003458297268</v>
      </c>
      <c r="M34" s="94">
        <v>-1.8494029741655726E-3</v>
      </c>
      <c r="N34" s="95">
        <v>0.2004055726476297</v>
      </c>
      <c r="O34" s="92">
        <v>-1.7355001938162678E-3</v>
      </c>
      <c r="P34" s="93">
        <v>0.20576494034852402</v>
      </c>
      <c r="Q34" s="94">
        <v>6.8872463317118347E-3</v>
      </c>
      <c r="R34" s="95">
        <v>0.21121169751429289</v>
      </c>
      <c r="S34" s="92">
        <v>-6.9863724132513696E-4</v>
      </c>
      <c r="T34" s="93">
        <v>0.21528814259683898</v>
      </c>
      <c r="U34" s="94" t="s">
        <v>1409</v>
      </c>
      <c r="V34" s="95" t="s">
        <v>1409</v>
      </c>
      <c r="W34" s="92" t="s">
        <v>1409</v>
      </c>
      <c r="X34" s="93" t="s">
        <v>1409</v>
      </c>
      <c r="Y34" s="94" t="s">
        <v>1409</v>
      </c>
      <c r="Z34" s="96" t="s">
        <v>1409</v>
      </c>
    </row>
    <row r="35" spans="1:26">
      <c r="A35" s="127"/>
      <c r="B35" s="115" t="s">
        <v>18</v>
      </c>
      <c r="C35" s="116">
        <v>2.3450492060000001E-2</v>
      </c>
      <c r="D35" s="117">
        <v>1</v>
      </c>
      <c r="E35" s="118">
        <v>6.3989806300000004E-3</v>
      </c>
      <c r="F35" s="119">
        <v>1</v>
      </c>
      <c r="G35" s="116">
        <v>-2.3487081480000001E-2</v>
      </c>
      <c r="H35" s="117">
        <v>1.0000000000000002</v>
      </c>
      <c r="I35" s="118">
        <v>4.0448284530000003E-2</v>
      </c>
      <c r="J35" s="119">
        <v>0.99999999999999967</v>
      </c>
      <c r="K35" s="116">
        <v>2.1436117939999999E-2</v>
      </c>
      <c r="L35" s="117">
        <v>1.0000000000000004</v>
      </c>
      <c r="M35" s="118">
        <v>-6.3251061499999999E-3</v>
      </c>
      <c r="N35" s="119">
        <v>1.0000000000000004</v>
      </c>
      <c r="O35" s="116">
        <v>-5.0542783100000002E-3</v>
      </c>
      <c r="P35" s="117">
        <v>1.0000000000000002</v>
      </c>
      <c r="Q35" s="118">
        <v>1.2628305350000001E-2</v>
      </c>
      <c r="R35" s="119">
        <v>1</v>
      </c>
      <c r="S35" s="116">
        <v>1.32824967E-3</v>
      </c>
      <c r="T35" s="117">
        <v>1</v>
      </c>
      <c r="U35" s="118" t="s">
        <v>1409</v>
      </c>
      <c r="V35" s="119" t="s">
        <v>1409</v>
      </c>
      <c r="W35" s="116" t="s">
        <v>1409</v>
      </c>
      <c r="X35" s="117" t="s">
        <v>1409</v>
      </c>
      <c r="Y35" s="118" t="s">
        <v>1409</v>
      </c>
      <c r="Z35" s="120" t="s">
        <v>1409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7"/>
      <c r="B37" s="85" t="s">
        <v>23</v>
      </c>
      <c r="C37" s="86" t="s">
        <v>54</v>
      </c>
      <c r="D37" s="87" t="s">
        <v>55</v>
      </c>
      <c r="E37" s="88" t="s">
        <v>56</v>
      </c>
      <c r="F37" s="89" t="s">
        <v>57</v>
      </c>
      <c r="G37" s="86" t="s">
        <v>58</v>
      </c>
      <c r="H37" s="87" t="s">
        <v>59</v>
      </c>
      <c r="I37" s="88" t="s">
        <v>60</v>
      </c>
      <c r="J37" s="90" t="s">
        <v>61</v>
      </c>
      <c r="K37" s="133" t="s">
        <v>1429</v>
      </c>
      <c r="L37" s="133" t="s">
        <v>1429</v>
      </c>
      <c r="M37" s="133" t="s">
        <v>1429</v>
      </c>
      <c r="N37" s="133" t="s">
        <v>1429</v>
      </c>
      <c r="O37" s="133" t="s">
        <v>1429</v>
      </c>
      <c r="P37" s="133" t="s">
        <v>1429</v>
      </c>
      <c r="Q37" s="133" t="s">
        <v>1429</v>
      </c>
      <c r="R37" s="133" t="s">
        <v>1429</v>
      </c>
      <c r="S37" s="133" t="s">
        <v>1429</v>
      </c>
      <c r="T37" s="133" t="s">
        <v>1429</v>
      </c>
      <c r="U37" s="133" t="s">
        <v>1429</v>
      </c>
      <c r="V37" s="133" t="s">
        <v>1429</v>
      </c>
      <c r="W37" s="133" t="s">
        <v>1429</v>
      </c>
      <c r="X37" s="133" t="s">
        <v>1429</v>
      </c>
      <c r="Y37" s="133" t="s">
        <v>1429</v>
      </c>
      <c r="Z37" s="33"/>
    </row>
    <row r="38" spans="1:26">
      <c r="A38" s="127"/>
      <c r="B38" s="91" t="s">
        <v>1</v>
      </c>
      <c r="C38" s="92">
        <v>1.1991469793019985E-3</v>
      </c>
      <c r="D38" s="93">
        <v>0.16110330834202508</v>
      </c>
      <c r="E38" s="94">
        <v>2.4808367349837449E-4</v>
      </c>
      <c r="F38" s="95">
        <v>0.15863795821462054</v>
      </c>
      <c r="G38" s="92">
        <v>3.227310033956622E-3</v>
      </c>
      <c r="H38" s="93">
        <v>0.16260547022637573</v>
      </c>
      <c r="I38" s="94" t="s">
        <v>1409</v>
      </c>
      <c r="J38" s="96" t="s">
        <v>1409</v>
      </c>
      <c r="K38" s="133" t="s">
        <v>1429</v>
      </c>
      <c r="L38" s="133" t="s">
        <v>1429</v>
      </c>
      <c r="M38" s="133" t="s">
        <v>1429</v>
      </c>
      <c r="N38" s="133" t="s">
        <v>1429</v>
      </c>
      <c r="O38" s="133" t="s">
        <v>1429</v>
      </c>
      <c r="P38" s="133" t="s">
        <v>1429</v>
      </c>
      <c r="Q38" s="133" t="s">
        <v>1429</v>
      </c>
      <c r="R38" s="133" t="s">
        <v>1429</v>
      </c>
      <c r="S38" s="133" t="s">
        <v>1429</v>
      </c>
      <c r="T38" s="133" t="s">
        <v>1429</v>
      </c>
      <c r="U38" s="133" t="s">
        <v>1429</v>
      </c>
      <c r="V38" s="133" t="s">
        <v>1429</v>
      </c>
      <c r="W38" s="133" t="s">
        <v>1429</v>
      </c>
      <c r="X38" s="133" t="s">
        <v>1429</v>
      </c>
      <c r="Y38" s="133" t="s">
        <v>1429</v>
      </c>
      <c r="Z38" s="33"/>
    </row>
    <row r="39" spans="1:26" ht="30">
      <c r="A39" s="127"/>
      <c r="B39" s="97" t="s">
        <v>908</v>
      </c>
      <c r="C39" s="92">
        <v>-5.5413992586240491E-4</v>
      </c>
      <c r="D39" s="93">
        <v>0.1315129361562255</v>
      </c>
      <c r="E39" s="94">
        <v>3.6199394298119286E-3</v>
      </c>
      <c r="F39" s="95">
        <v>0.13123973461562641</v>
      </c>
      <c r="G39" s="92">
        <v>2.1440444861070599E-3</v>
      </c>
      <c r="H39" s="93">
        <v>0.13090158127532903</v>
      </c>
      <c r="I39" s="94" t="s">
        <v>1409</v>
      </c>
      <c r="J39" s="96" t="s">
        <v>1409</v>
      </c>
      <c r="K39" s="133" t="s">
        <v>1429</v>
      </c>
      <c r="L39" s="133" t="s">
        <v>1429</v>
      </c>
      <c r="M39" s="133" t="s">
        <v>1429</v>
      </c>
      <c r="N39" s="133" t="s">
        <v>1429</v>
      </c>
      <c r="O39" s="133" t="s">
        <v>1429</v>
      </c>
      <c r="P39" s="133" t="s">
        <v>1429</v>
      </c>
      <c r="Q39" s="133" t="s">
        <v>1429</v>
      </c>
      <c r="R39" s="133" t="s">
        <v>1429</v>
      </c>
      <c r="S39" s="133" t="s">
        <v>1429</v>
      </c>
      <c r="T39" s="133" t="s">
        <v>1429</v>
      </c>
      <c r="U39" s="133" t="s">
        <v>1429</v>
      </c>
      <c r="V39" s="133" t="s">
        <v>1429</v>
      </c>
      <c r="W39" s="133" t="s">
        <v>1429</v>
      </c>
      <c r="X39" s="133" t="s">
        <v>1429</v>
      </c>
      <c r="Y39" s="133" t="s">
        <v>1429</v>
      </c>
      <c r="Z39" s="33"/>
    </row>
    <row r="40" spans="1:26">
      <c r="A40" s="127"/>
      <c r="B40" s="98" t="s">
        <v>2</v>
      </c>
      <c r="C40" s="92">
        <v>0</v>
      </c>
      <c r="D40" s="93">
        <v>0</v>
      </c>
      <c r="E40" s="94">
        <v>0</v>
      </c>
      <c r="F40" s="95">
        <v>0</v>
      </c>
      <c r="G40" s="92">
        <v>0</v>
      </c>
      <c r="H40" s="93">
        <v>0</v>
      </c>
      <c r="I40" s="94" t="s">
        <v>1409</v>
      </c>
      <c r="J40" s="96" t="s">
        <v>1409</v>
      </c>
      <c r="K40" s="133" t="s">
        <v>1429</v>
      </c>
      <c r="L40" s="133" t="s">
        <v>1429</v>
      </c>
      <c r="M40" s="133" t="s">
        <v>1429</v>
      </c>
      <c r="N40" s="133" t="s">
        <v>1429</v>
      </c>
      <c r="O40" s="133" t="s">
        <v>1429</v>
      </c>
      <c r="P40" s="133" t="s">
        <v>1429</v>
      </c>
      <c r="Q40" s="133" t="s">
        <v>1429</v>
      </c>
      <c r="R40" s="133" t="s">
        <v>1429</v>
      </c>
      <c r="S40" s="133" t="s">
        <v>1429</v>
      </c>
      <c r="T40" s="133" t="s">
        <v>1429</v>
      </c>
      <c r="U40" s="133" t="s">
        <v>1429</v>
      </c>
      <c r="V40" s="133" t="s">
        <v>1429</v>
      </c>
      <c r="W40" s="133" t="s">
        <v>1429</v>
      </c>
      <c r="X40" s="133" t="s">
        <v>1429</v>
      </c>
      <c r="Y40" s="133" t="s">
        <v>1429</v>
      </c>
      <c r="Z40" s="33"/>
    </row>
    <row r="41" spans="1:26">
      <c r="A41" s="127"/>
      <c r="B41" s="98" t="s">
        <v>3</v>
      </c>
      <c r="C41" s="92">
        <v>0</v>
      </c>
      <c r="D41" s="93">
        <v>0</v>
      </c>
      <c r="E41" s="94">
        <v>0</v>
      </c>
      <c r="F41" s="95">
        <v>0</v>
      </c>
      <c r="G41" s="92">
        <v>0</v>
      </c>
      <c r="H41" s="93">
        <v>0</v>
      </c>
      <c r="I41" s="94" t="s">
        <v>1409</v>
      </c>
      <c r="J41" s="96" t="s">
        <v>1409</v>
      </c>
      <c r="K41" s="133" t="s">
        <v>1429</v>
      </c>
      <c r="L41" s="133" t="s">
        <v>1429</v>
      </c>
      <c r="M41" s="133" t="s">
        <v>1429</v>
      </c>
      <c r="N41" s="133" t="s">
        <v>1429</v>
      </c>
      <c r="O41" s="133" t="s">
        <v>1429</v>
      </c>
      <c r="P41" s="133" t="s">
        <v>1429</v>
      </c>
      <c r="Q41" s="133" t="s">
        <v>1429</v>
      </c>
      <c r="R41" s="133" t="s">
        <v>1429</v>
      </c>
      <c r="S41" s="133" t="s">
        <v>1429</v>
      </c>
      <c r="T41" s="133" t="s">
        <v>1429</v>
      </c>
      <c r="U41" s="133" t="s">
        <v>1429</v>
      </c>
      <c r="V41" s="133" t="s">
        <v>1429</v>
      </c>
      <c r="W41" s="133" t="s">
        <v>1429</v>
      </c>
      <c r="X41" s="133" t="s">
        <v>1429</v>
      </c>
      <c r="Y41" s="133" t="s">
        <v>1429</v>
      </c>
      <c r="Z41" s="33"/>
    </row>
    <row r="42" spans="1:26">
      <c r="A42" s="127"/>
      <c r="B42" s="98" t="s">
        <v>4</v>
      </c>
      <c r="C42" s="92">
        <v>-5.0959930670934793E-4</v>
      </c>
      <c r="D42" s="93">
        <v>0.16324956938337284</v>
      </c>
      <c r="E42" s="94">
        <v>3.5429925315034519E-3</v>
      </c>
      <c r="F42" s="95">
        <v>0.1623075264569927</v>
      </c>
      <c r="G42" s="92">
        <v>3.6979829086884459E-3</v>
      </c>
      <c r="H42" s="93">
        <v>0.16236471359149204</v>
      </c>
      <c r="I42" s="94" t="s">
        <v>1409</v>
      </c>
      <c r="J42" s="96" t="s">
        <v>1409</v>
      </c>
      <c r="K42" s="133" t="s">
        <v>1429</v>
      </c>
      <c r="L42" s="133" t="s">
        <v>1429</v>
      </c>
      <c r="M42" s="133" t="s">
        <v>1429</v>
      </c>
      <c r="N42" s="133" t="s">
        <v>1429</v>
      </c>
      <c r="O42" s="133" t="s">
        <v>1429</v>
      </c>
      <c r="P42" s="133" t="s">
        <v>1429</v>
      </c>
      <c r="Q42" s="133" t="s">
        <v>1429</v>
      </c>
      <c r="R42" s="133" t="s">
        <v>1429</v>
      </c>
      <c r="S42" s="133" t="s">
        <v>1429</v>
      </c>
      <c r="T42" s="133" t="s">
        <v>1429</v>
      </c>
      <c r="U42" s="133" t="s">
        <v>1429</v>
      </c>
      <c r="V42" s="133" t="s">
        <v>1429</v>
      </c>
      <c r="W42" s="133" t="s">
        <v>1429</v>
      </c>
      <c r="X42" s="133" t="s">
        <v>1429</v>
      </c>
      <c r="Y42" s="133" t="s">
        <v>1429</v>
      </c>
      <c r="Z42" s="33"/>
    </row>
    <row r="43" spans="1:26">
      <c r="A43" s="127"/>
      <c r="B43" s="98" t="s">
        <v>5</v>
      </c>
      <c r="C43" s="92">
        <v>-5.2859736620193665E-5</v>
      </c>
      <c r="D43" s="93">
        <v>6.3597660205528955E-3</v>
      </c>
      <c r="E43" s="94">
        <v>1.3664581662898963E-4</v>
      </c>
      <c r="F43" s="95">
        <v>6.1696506908201221E-3</v>
      </c>
      <c r="G43" s="92">
        <v>1.5632142543204431E-4</v>
      </c>
      <c r="H43" s="93">
        <v>5.9609356165859599E-3</v>
      </c>
      <c r="I43" s="94" t="s">
        <v>1409</v>
      </c>
      <c r="J43" s="96" t="s">
        <v>1409</v>
      </c>
      <c r="K43" s="133" t="s">
        <v>1429</v>
      </c>
      <c r="L43" s="133" t="s">
        <v>1429</v>
      </c>
      <c r="M43" s="133" t="s">
        <v>1429</v>
      </c>
      <c r="N43" s="133" t="s">
        <v>1429</v>
      </c>
      <c r="O43" s="133" t="s">
        <v>1429</v>
      </c>
      <c r="P43" s="133" t="s">
        <v>1429</v>
      </c>
      <c r="Q43" s="133" t="s">
        <v>1429</v>
      </c>
      <c r="R43" s="133" t="s">
        <v>1429</v>
      </c>
      <c r="S43" s="133" t="s">
        <v>1429</v>
      </c>
      <c r="T43" s="133" t="s">
        <v>1429</v>
      </c>
      <c r="U43" s="133" t="s">
        <v>1429</v>
      </c>
      <c r="V43" s="133" t="s">
        <v>1429</v>
      </c>
      <c r="W43" s="133" t="s">
        <v>1429</v>
      </c>
      <c r="X43" s="133" t="s">
        <v>1429</v>
      </c>
      <c r="Y43" s="133" t="s">
        <v>1429</v>
      </c>
      <c r="Z43" s="33"/>
    </row>
    <row r="44" spans="1:26">
      <c r="A44" s="127"/>
      <c r="B44" s="98" t="s">
        <v>6</v>
      </c>
      <c r="C44" s="92">
        <v>1.0872136368377069E-2</v>
      </c>
      <c r="D44" s="93">
        <v>0.22493591029214585</v>
      </c>
      <c r="E44" s="94">
        <v>2.5160734686362322E-2</v>
      </c>
      <c r="F44" s="95">
        <v>0.23251094949644627</v>
      </c>
      <c r="G44" s="92">
        <v>2.5362304404720995E-2</v>
      </c>
      <c r="H44" s="93">
        <v>0.23075178432844107</v>
      </c>
      <c r="I44" s="94" t="s">
        <v>1409</v>
      </c>
      <c r="J44" s="96" t="s">
        <v>1409</v>
      </c>
      <c r="K44" s="133" t="s">
        <v>1429</v>
      </c>
      <c r="L44" s="133" t="s">
        <v>1429</v>
      </c>
      <c r="M44" s="133" t="s">
        <v>1429</v>
      </c>
      <c r="N44" s="133" t="s">
        <v>1429</v>
      </c>
      <c r="O44" s="133" t="s">
        <v>1429</v>
      </c>
      <c r="P44" s="133" t="s">
        <v>1429</v>
      </c>
      <c r="Q44" s="133" t="s">
        <v>1429</v>
      </c>
      <c r="R44" s="133" t="s">
        <v>1429</v>
      </c>
      <c r="S44" s="133" t="s">
        <v>1429</v>
      </c>
      <c r="T44" s="133" t="s">
        <v>1429</v>
      </c>
      <c r="U44" s="133" t="s">
        <v>1429</v>
      </c>
      <c r="V44" s="133" t="s">
        <v>1429</v>
      </c>
      <c r="W44" s="133" t="s">
        <v>1429</v>
      </c>
      <c r="X44" s="133" t="s">
        <v>1429</v>
      </c>
      <c r="Y44" s="133" t="s">
        <v>1429</v>
      </c>
      <c r="Z44" s="33"/>
    </row>
    <row r="45" spans="1:26">
      <c r="A45" s="127"/>
      <c r="B45" s="98" t="s">
        <v>62</v>
      </c>
      <c r="C45" s="92">
        <v>-2.3405367709126213E-3</v>
      </c>
      <c r="D45" s="93">
        <v>0.12809133763236111</v>
      </c>
      <c r="E45" s="94">
        <v>4.9064596409655941E-3</v>
      </c>
      <c r="F45" s="95">
        <v>0.1238298357393343</v>
      </c>
      <c r="G45" s="92">
        <v>8.4334526565425626E-3</v>
      </c>
      <c r="H45" s="93">
        <v>0.11994644102384124</v>
      </c>
      <c r="I45" s="94" t="s">
        <v>1409</v>
      </c>
      <c r="J45" s="96" t="s">
        <v>1409</v>
      </c>
      <c r="K45" s="133" t="s">
        <v>1429</v>
      </c>
      <c r="L45" s="133" t="s">
        <v>1429</v>
      </c>
      <c r="M45" s="133" t="s">
        <v>1429</v>
      </c>
      <c r="N45" s="133" t="s">
        <v>1429</v>
      </c>
      <c r="O45" s="133" t="s">
        <v>1429</v>
      </c>
      <c r="P45" s="133" t="s">
        <v>1429</v>
      </c>
      <c r="Q45" s="133" t="s">
        <v>1429</v>
      </c>
      <c r="R45" s="133" t="s">
        <v>1429</v>
      </c>
      <c r="S45" s="133" t="s">
        <v>1429</v>
      </c>
      <c r="T45" s="133" t="s">
        <v>1429</v>
      </c>
      <c r="U45" s="133" t="s">
        <v>1429</v>
      </c>
      <c r="V45" s="133" t="s">
        <v>1429</v>
      </c>
      <c r="W45" s="133" t="s">
        <v>1429</v>
      </c>
      <c r="X45" s="133" t="s">
        <v>1429</v>
      </c>
      <c r="Y45" s="133" t="s">
        <v>1429</v>
      </c>
      <c r="Z45" s="33"/>
    </row>
    <row r="46" spans="1:26">
      <c r="A46" s="127"/>
      <c r="B46" s="98" t="s">
        <v>7</v>
      </c>
      <c r="C46" s="92">
        <v>-2.2185281162537759E-4</v>
      </c>
      <c r="D46" s="93">
        <v>4.7547432667110348E-3</v>
      </c>
      <c r="E46" s="94">
        <v>-2.943415175221311E-4</v>
      </c>
      <c r="F46" s="95">
        <v>4.2143063024794453E-3</v>
      </c>
      <c r="G46" s="92">
        <v>-1.791190563177495E-4</v>
      </c>
      <c r="H46" s="93">
        <v>3.9341971004246438E-3</v>
      </c>
      <c r="I46" s="94" t="s">
        <v>1409</v>
      </c>
      <c r="J46" s="96" t="s">
        <v>1409</v>
      </c>
      <c r="K46" s="133" t="s">
        <v>1429</v>
      </c>
      <c r="L46" s="133" t="s">
        <v>1429</v>
      </c>
      <c r="M46" s="133" t="s">
        <v>1429</v>
      </c>
      <c r="N46" s="133" t="s">
        <v>1429</v>
      </c>
      <c r="O46" s="133" t="s">
        <v>1429</v>
      </c>
      <c r="P46" s="133" t="s">
        <v>1429</v>
      </c>
      <c r="Q46" s="133" t="s">
        <v>1429</v>
      </c>
      <c r="R46" s="133" t="s">
        <v>1429</v>
      </c>
      <c r="S46" s="133" t="s">
        <v>1429</v>
      </c>
      <c r="T46" s="133" t="s">
        <v>1429</v>
      </c>
      <c r="U46" s="133" t="s">
        <v>1429</v>
      </c>
      <c r="V46" s="133" t="s">
        <v>1429</v>
      </c>
      <c r="W46" s="133" t="s">
        <v>1429</v>
      </c>
      <c r="X46" s="133" t="s">
        <v>1429</v>
      </c>
      <c r="Y46" s="133" t="s">
        <v>1429</v>
      </c>
      <c r="Z46" s="33"/>
    </row>
    <row r="47" spans="1:26">
      <c r="A47" s="127"/>
      <c r="B47" s="98" t="s">
        <v>8</v>
      </c>
      <c r="C47" s="92">
        <v>5.3423114603431748E-4</v>
      </c>
      <c r="D47" s="93">
        <v>8.8931191920003538E-2</v>
      </c>
      <c r="E47" s="94">
        <v>-2.1606467889862977E-3</v>
      </c>
      <c r="F47" s="95">
        <v>8.6568270715110085E-2</v>
      </c>
      <c r="G47" s="92">
        <v>3.8364649163507413E-3</v>
      </c>
      <c r="H47" s="93">
        <v>9.0511917561047553E-2</v>
      </c>
      <c r="I47" s="94" t="s">
        <v>1409</v>
      </c>
      <c r="J47" s="96" t="s">
        <v>1409</v>
      </c>
      <c r="K47" s="133" t="s">
        <v>1429</v>
      </c>
      <c r="L47" s="133" t="s">
        <v>1429</v>
      </c>
      <c r="M47" s="133" t="s">
        <v>1429</v>
      </c>
      <c r="N47" s="133" t="s">
        <v>1429</v>
      </c>
      <c r="O47" s="133" t="s">
        <v>1429</v>
      </c>
      <c r="P47" s="133" t="s">
        <v>1429</v>
      </c>
      <c r="Q47" s="133" t="s">
        <v>1429</v>
      </c>
      <c r="R47" s="133" t="s">
        <v>1429</v>
      </c>
      <c r="S47" s="133" t="s">
        <v>1429</v>
      </c>
      <c r="T47" s="133" t="s">
        <v>1429</v>
      </c>
      <c r="U47" s="133" t="s">
        <v>1429</v>
      </c>
      <c r="V47" s="133" t="s">
        <v>1429</v>
      </c>
      <c r="W47" s="133" t="s">
        <v>1429</v>
      </c>
      <c r="X47" s="133" t="s">
        <v>1429</v>
      </c>
      <c r="Y47" s="133" t="s">
        <v>1429</v>
      </c>
      <c r="Z47" s="33"/>
    </row>
    <row r="48" spans="1:26">
      <c r="A48" s="127"/>
      <c r="B48" s="98" t="s">
        <v>9</v>
      </c>
      <c r="C48" s="92">
        <v>1.2882005677722428E-4</v>
      </c>
      <c r="D48" s="93">
        <v>4.1162123190698714E-4</v>
      </c>
      <c r="E48" s="94">
        <v>1.6774467079657315E-4</v>
      </c>
      <c r="F48" s="95">
        <v>4.9900016641435689E-4</v>
      </c>
      <c r="G48" s="92">
        <v>1.8830128262897834E-4</v>
      </c>
      <c r="H48" s="93">
        <v>5.2582563799930969E-4</v>
      </c>
      <c r="I48" s="94" t="s">
        <v>1409</v>
      </c>
      <c r="J48" s="96" t="s">
        <v>1409</v>
      </c>
      <c r="K48" s="133" t="s">
        <v>1429</v>
      </c>
      <c r="L48" s="133" t="s">
        <v>1429</v>
      </c>
      <c r="M48" s="133" t="s">
        <v>1429</v>
      </c>
      <c r="N48" s="133" t="s">
        <v>1429</v>
      </c>
      <c r="O48" s="133" t="s">
        <v>1429</v>
      </c>
      <c r="P48" s="133" t="s">
        <v>1429</v>
      </c>
      <c r="Q48" s="133" t="s">
        <v>1429</v>
      </c>
      <c r="R48" s="133" t="s">
        <v>1429</v>
      </c>
      <c r="S48" s="133" t="s">
        <v>1429</v>
      </c>
      <c r="T48" s="133" t="s">
        <v>1429</v>
      </c>
      <c r="U48" s="133" t="s">
        <v>1429</v>
      </c>
      <c r="V48" s="133" t="s">
        <v>1429</v>
      </c>
      <c r="W48" s="133" t="s">
        <v>1429</v>
      </c>
      <c r="X48" s="133" t="s">
        <v>1429</v>
      </c>
      <c r="Y48" s="133" t="s">
        <v>1429</v>
      </c>
      <c r="Z48" s="33"/>
    </row>
    <row r="49" spans="1:26">
      <c r="A49" s="127"/>
      <c r="B49" s="98" t="s">
        <v>10</v>
      </c>
      <c r="C49" s="92">
        <v>-3.219271520959056E-3</v>
      </c>
      <c r="D49" s="93">
        <v>1.0205279925388297E-2</v>
      </c>
      <c r="E49" s="94">
        <v>2.4897531161830577E-2</v>
      </c>
      <c r="F49" s="95">
        <v>1.5455982285664025E-2</v>
      </c>
      <c r="G49" s="92">
        <v>2.151032617238573E-2</v>
      </c>
      <c r="H49" s="93">
        <v>1.3372080010712389E-2</v>
      </c>
      <c r="I49" s="94" t="s">
        <v>1409</v>
      </c>
      <c r="J49" s="96" t="s">
        <v>1409</v>
      </c>
      <c r="K49" s="133" t="s">
        <v>1429</v>
      </c>
      <c r="L49" s="133" t="s">
        <v>1429</v>
      </c>
      <c r="M49" s="133" t="s">
        <v>1429</v>
      </c>
      <c r="N49" s="133" t="s">
        <v>1429</v>
      </c>
      <c r="O49" s="133" t="s">
        <v>1429</v>
      </c>
      <c r="P49" s="133" t="s">
        <v>1429</v>
      </c>
      <c r="Q49" s="133" t="s">
        <v>1429</v>
      </c>
      <c r="R49" s="133" t="s">
        <v>1429</v>
      </c>
      <c r="S49" s="133" t="s">
        <v>1429</v>
      </c>
      <c r="T49" s="133" t="s">
        <v>1429</v>
      </c>
      <c r="U49" s="133" t="s">
        <v>1429</v>
      </c>
      <c r="V49" s="133" t="s">
        <v>1429</v>
      </c>
      <c r="W49" s="133" t="s">
        <v>1429</v>
      </c>
      <c r="X49" s="133" t="s">
        <v>1429</v>
      </c>
      <c r="Y49" s="133" t="s">
        <v>1429</v>
      </c>
      <c r="Z49" s="33"/>
    </row>
    <row r="50" spans="1:26">
      <c r="A50" s="127"/>
      <c r="B50" s="98" t="s">
        <v>11</v>
      </c>
      <c r="C50" s="92">
        <v>1.1093075322795437E-4</v>
      </c>
      <c r="D50" s="93">
        <v>1.7281869801719519E-4</v>
      </c>
      <c r="E50" s="94">
        <v>1.3391804004411967E-4</v>
      </c>
      <c r="F50" s="95">
        <v>9.9081037168966481E-5</v>
      </c>
      <c r="G50" s="92">
        <v>4.377314445669545E-4</v>
      </c>
      <c r="H50" s="93">
        <v>8.5854097730400441E-5</v>
      </c>
      <c r="I50" s="94" t="s">
        <v>1409</v>
      </c>
      <c r="J50" s="96" t="s">
        <v>1409</v>
      </c>
      <c r="K50" s="133" t="s">
        <v>1429</v>
      </c>
      <c r="L50" s="133" t="s">
        <v>1429</v>
      </c>
      <c r="M50" s="133" t="s">
        <v>1429</v>
      </c>
      <c r="N50" s="133" t="s">
        <v>1429</v>
      </c>
      <c r="O50" s="133" t="s">
        <v>1429</v>
      </c>
      <c r="P50" s="133" t="s">
        <v>1429</v>
      </c>
      <c r="Q50" s="133" t="s">
        <v>1429</v>
      </c>
      <c r="R50" s="133" t="s">
        <v>1429</v>
      </c>
      <c r="S50" s="133" t="s">
        <v>1429</v>
      </c>
      <c r="T50" s="133" t="s">
        <v>1429</v>
      </c>
      <c r="U50" s="133" t="s">
        <v>1429</v>
      </c>
      <c r="V50" s="133" t="s">
        <v>1429</v>
      </c>
      <c r="W50" s="133" t="s">
        <v>1429</v>
      </c>
      <c r="X50" s="133" t="s">
        <v>1429</v>
      </c>
      <c r="Y50" s="133" t="s">
        <v>1429</v>
      </c>
      <c r="Z50" s="33"/>
    </row>
    <row r="51" spans="1:26">
      <c r="A51" s="127"/>
      <c r="B51" s="98" t="s">
        <v>12</v>
      </c>
      <c r="C51" s="92">
        <v>-4.5535074666675488E-5</v>
      </c>
      <c r="D51" s="93">
        <v>7.9550154480791755E-3</v>
      </c>
      <c r="E51" s="94">
        <v>1.983816365913381E-4</v>
      </c>
      <c r="F51" s="95">
        <v>8.1868326447442578E-3</v>
      </c>
      <c r="G51" s="92">
        <v>3.3117486101243951E-4</v>
      </c>
      <c r="H51" s="93">
        <v>8.0239556350778021E-3</v>
      </c>
      <c r="I51" s="94" t="s">
        <v>1409</v>
      </c>
      <c r="J51" s="96" t="s">
        <v>1409</v>
      </c>
      <c r="K51" s="133" t="s">
        <v>1429</v>
      </c>
      <c r="L51" s="133" t="s">
        <v>1429</v>
      </c>
      <c r="M51" s="133" t="s">
        <v>1429</v>
      </c>
      <c r="N51" s="133" t="s">
        <v>1429</v>
      </c>
      <c r="O51" s="133" t="s">
        <v>1429</v>
      </c>
      <c r="P51" s="133" t="s">
        <v>1429</v>
      </c>
      <c r="Q51" s="133" t="s">
        <v>1429</v>
      </c>
      <c r="R51" s="133" t="s">
        <v>1429</v>
      </c>
      <c r="S51" s="133" t="s">
        <v>1429</v>
      </c>
      <c r="T51" s="133" t="s">
        <v>1429</v>
      </c>
      <c r="U51" s="133" t="s">
        <v>1429</v>
      </c>
      <c r="V51" s="133" t="s">
        <v>1429</v>
      </c>
      <c r="W51" s="133" t="s">
        <v>1429</v>
      </c>
      <c r="X51" s="133" t="s">
        <v>1429</v>
      </c>
      <c r="Y51" s="133" t="s">
        <v>1429</v>
      </c>
      <c r="Z51" s="33"/>
    </row>
    <row r="52" spans="1:26">
      <c r="A52" s="127"/>
      <c r="B52" s="98" t="s">
        <v>13</v>
      </c>
      <c r="C52" s="92">
        <v>-1.495329931256505E-4</v>
      </c>
      <c r="D52" s="93">
        <v>6.5626400772342941E-2</v>
      </c>
      <c r="E52" s="94">
        <v>1.4314639799985335E-3</v>
      </c>
      <c r="F52" s="95">
        <v>6.342013606177728E-2</v>
      </c>
      <c r="G52" s="92">
        <v>2.160259989850808E-3</v>
      </c>
      <c r="H52" s="93">
        <v>6.2969789940431842E-2</v>
      </c>
      <c r="I52" s="94" t="s">
        <v>1409</v>
      </c>
      <c r="J52" s="96" t="s">
        <v>1409</v>
      </c>
      <c r="K52" s="133" t="s">
        <v>1429</v>
      </c>
      <c r="L52" s="133" t="s">
        <v>1429</v>
      </c>
      <c r="M52" s="133" t="s">
        <v>1429</v>
      </c>
      <c r="N52" s="133" t="s">
        <v>1429</v>
      </c>
      <c r="O52" s="133" t="s">
        <v>1429</v>
      </c>
      <c r="P52" s="133" t="s">
        <v>1429</v>
      </c>
      <c r="Q52" s="133" t="s">
        <v>1429</v>
      </c>
      <c r="R52" s="133" t="s">
        <v>1429</v>
      </c>
      <c r="S52" s="133" t="s">
        <v>1429</v>
      </c>
      <c r="T52" s="133" t="s">
        <v>1429</v>
      </c>
      <c r="U52" s="133" t="s">
        <v>1429</v>
      </c>
      <c r="V52" s="133" t="s">
        <v>1429</v>
      </c>
      <c r="W52" s="133" t="s">
        <v>1429</v>
      </c>
      <c r="X52" s="133" t="s">
        <v>1429</v>
      </c>
      <c r="Y52" s="133" t="s">
        <v>1429</v>
      </c>
      <c r="Z52" s="33"/>
    </row>
    <row r="53" spans="1:26">
      <c r="A53" s="127"/>
      <c r="B53" s="98" t="s">
        <v>14</v>
      </c>
      <c r="C53" s="92">
        <v>0</v>
      </c>
      <c r="D53" s="93">
        <v>0</v>
      </c>
      <c r="E53" s="94">
        <v>0</v>
      </c>
      <c r="F53" s="95">
        <v>0</v>
      </c>
      <c r="G53" s="92">
        <v>0</v>
      </c>
      <c r="H53" s="93">
        <v>0</v>
      </c>
      <c r="I53" s="94" t="s">
        <v>1409</v>
      </c>
      <c r="J53" s="96" t="s">
        <v>1409</v>
      </c>
      <c r="K53" s="133" t="s">
        <v>1429</v>
      </c>
      <c r="L53" s="133" t="s">
        <v>1429</v>
      </c>
      <c r="M53" s="133" t="s">
        <v>1429</v>
      </c>
      <c r="N53" s="133" t="s">
        <v>1429</v>
      </c>
      <c r="O53" s="133" t="s">
        <v>1429</v>
      </c>
      <c r="P53" s="133" t="s">
        <v>1429</v>
      </c>
      <c r="Q53" s="133" t="s">
        <v>1429</v>
      </c>
      <c r="R53" s="133" t="s">
        <v>1429</v>
      </c>
      <c r="S53" s="133" t="s">
        <v>1429</v>
      </c>
      <c r="T53" s="133" t="s">
        <v>1429</v>
      </c>
      <c r="U53" s="133" t="s">
        <v>1429</v>
      </c>
      <c r="V53" s="133" t="s">
        <v>1429</v>
      </c>
      <c r="W53" s="133" t="s">
        <v>1429</v>
      </c>
      <c r="X53" s="133" t="s">
        <v>1429</v>
      </c>
      <c r="Y53" s="133" t="s">
        <v>1429</v>
      </c>
      <c r="Z53" s="33"/>
    </row>
    <row r="54" spans="1:26">
      <c r="A54" s="127"/>
      <c r="B54" s="98" t="s">
        <v>15</v>
      </c>
      <c r="C54" s="92">
        <v>0</v>
      </c>
      <c r="D54" s="93">
        <v>0</v>
      </c>
      <c r="E54" s="94">
        <v>0</v>
      </c>
      <c r="F54" s="95">
        <v>0</v>
      </c>
      <c r="G54" s="92">
        <v>0</v>
      </c>
      <c r="H54" s="93">
        <v>0</v>
      </c>
      <c r="I54" s="94" t="s">
        <v>1409</v>
      </c>
      <c r="J54" s="96" t="s">
        <v>1409</v>
      </c>
      <c r="K54" s="133" t="s">
        <v>1429</v>
      </c>
      <c r="L54" s="133" t="s">
        <v>1429</v>
      </c>
      <c r="M54" s="133" t="s">
        <v>1429</v>
      </c>
      <c r="N54" s="133" t="s">
        <v>1429</v>
      </c>
      <c r="O54" s="133" t="s">
        <v>1429</v>
      </c>
      <c r="P54" s="133" t="s">
        <v>1429</v>
      </c>
      <c r="Q54" s="133" t="s">
        <v>1429</v>
      </c>
      <c r="R54" s="133" t="s">
        <v>1429</v>
      </c>
      <c r="S54" s="133" t="s">
        <v>1429</v>
      </c>
      <c r="T54" s="133" t="s">
        <v>1429</v>
      </c>
      <c r="U54" s="133" t="s">
        <v>1429</v>
      </c>
      <c r="V54" s="133" t="s">
        <v>1429</v>
      </c>
      <c r="W54" s="133" t="s">
        <v>1429</v>
      </c>
      <c r="X54" s="133" t="s">
        <v>1429</v>
      </c>
      <c r="Y54" s="133" t="s">
        <v>1429</v>
      </c>
      <c r="Z54" s="33"/>
    </row>
    <row r="55" spans="1:26">
      <c r="A55" s="127"/>
      <c r="B55" s="98" t="s">
        <v>16</v>
      </c>
      <c r="C55" s="92">
        <v>5.4861409204505081E-5</v>
      </c>
      <c r="D55" s="93">
        <v>6.717576802787284E-3</v>
      </c>
      <c r="E55" s="94">
        <v>1.719461257498019E-4</v>
      </c>
      <c r="F55" s="95">
        <v>6.8845902923247888E-3</v>
      </c>
      <c r="G55" s="92">
        <v>2.6068516611025752E-4</v>
      </c>
      <c r="H55" s="93">
        <v>7.7330037349629989E-3</v>
      </c>
      <c r="I55" s="94" t="s">
        <v>1409</v>
      </c>
      <c r="J55" s="96" t="s">
        <v>1409</v>
      </c>
      <c r="K55" s="133" t="s">
        <v>1429</v>
      </c>
      <c r="L55" s="133" t="s">
        <v>1429</v>
      </c>
      <c r="M55" s="133" t="s">
        <v>1429</v>
      </c>
      <c r="N55" s="133" t="s">
        <v>1429</v>
      </c>
      <c r="O55" s="133" t="s">
        <v>1429</v>
      </c>
      <c r="P55" s="133" t="s">
        <v>1429</v>
      </c>
      <c r="Q55" s="133" t="s">
        <v>1429</v>
      </c>
      <c r="R55" s="133" t="s">
        <v>1429</v>
      </c>
      <c r="S55" s="133" t="s">
        <v>1429</v>
      </c>
      <c r="T55" s="133" t="s">
        <v>1429</v>
      </c>
      <c r="U55" s="133" t="s">
        <v>1429</v>
      </c>
      <c r="V55" s="133" t="s">
        <v>1429</v>
      </c>
      <c r="W55" s="133" t="s">
        <v>1429</v>
      </c>
      <c r="X55" s="133" t="s">
        <v>1429</v>
      </c>
      <c r="Y55" s="133" t="s">
        <v>1429</v>
      </c>
      <c r="Z55" s="33"/>
    </row>
    <row r="56" spans="1:26">
      <c r="A56" s="127"/>
      <c r="B56" s="98" t="s">
        <v>17</v>
      </c>
      <c r="C56" s="92">
        <v>1.0504311078393936E-6</v>
      </c>
      <c r="D56" s="93">
        <v>-2.747589191974886E-5</v>
      </c>
      <c r="E56" s="94">
        <v>1.8473419028673872E-6</v>
      </c>
      <c r="F56" s="95">
        <v>-2.385471952359289E-5</v>
      </c>
      <c r="G56" s="92">
        <v>-6.0730993679381274E-6</v>
      </c>
      <c r="H56" s="93">
        <v>3.124502195480227E-4</v>
      </c>
      <c r="I56" s="94" t="s">
        <v>1409</v>
      </c>
      <c r="J56" s="96" t="s">
        <v>1409</v>
      </c>
      <c r="K56" s="133" t="s">
        <v>1429</v>
      </c>
      <c r="L56" s="133" t="s">
        <v>1429</v>
      </c>
      <c r="M56" s="133" t="s">
        <v>1429</v>
      </c>
      <c r="N56" s="133" t="s">
        <v>1429</v>
      </c>
      <c r="O56" s="133" t="s">
        <v>1429</v>
      </c>
      <c r="P56" s="133" t="s">
        <v>1429</v>
      </c>
      <c r="Q56" s="133" t="s">
        <v>1429</v>
      </c>
      <c r="R56" s="133" t="s">
        <v>1429</v>
      </c>
      <c r="S56" s="133" t="s">
        <v>1429</v>
      </c>
      <c r="T56" s="133" t="s">
        <v>1429</v>
      </c>
      <c r="U56" s="133" t="s">
        <v>1429</v>
      </c>
      <c r="V56" s="133" t="s">
        <v>1429</v>
      </c>
      <c r="W56" s="133" t="s">
        <v>1429</v>
      </c>
      <c r="X56" s="133" t="s">
        <v>1429</v>
      </c>
      <c r="Y56" s="133" t="s">
        <v>1429</v>
      </c>
      <c r="Z56" s="33"/>
    </row>
    <row r="57" spans="1:26">
      <c r="A57" s="127"/>
      <c r="B57" s="99" t="s">
        <v>25</v>
      </c>
      <c r="C57" s="100">
        <v>5.8078490035495811E-3</v>
      </c>
      <c r="D57" s="101">
        <v>1.0000000000000002</v>
      </c>
      <c r="E57" s="102">
        <v>6.2162700429176043E-2</v>
      </c>
      <c r="F57" s="103">
        <v>0.99999999999999989</v>
      </c>
      <c r="G57" s="100">
        <v>7.1561167592667951E-2</v>
      </c>
      <c r="H57" s="101">
        <v>1.0000000000000002</v>
      </c>
      <c r="I57" s="102" t="s">
        <v>1409</v>
      </c>
      <c r="J57" s="104" t="s">
        <v>1409</v>
      </c>
      <c r="K57" s="133" t="s">
        <v>1429</v>
      </c>
      <c r="L57" s="133" t="s">
        <v>1429</v>
      </c>
      <c r="M57" s="133" t="s">
        <v>1429</v>
      </c>
      <c r="N57" s="133" t="s">
        <v>1429</v>
      </c>
      <c r="O57" s="133" t="s">
        <v>1429</v>
      </c>
      <c r="P57" s="133" t="s">
        <v>1429</v>
      </c>
      <c r="Q57" s="133" t="s">
        <v>1429</v>
      </c>
      <c r="R57" s="133" t="s">
        <v>1429</v>
      </c>
      <c r="S57" s="133" t="s">
        <v>1429</v>
      </c>
      <c r="T57" s="133" t="s">
        <v>1429</v>
      </c>
      <c r="U57" s="133" t="s">
        <v>1429</v>
      </c>
      <c r="V57" s="133" t="s">
        <v>1429</v>
      </c>
      <c r="W57" s="133" t="s">
        <v>1429</v>
      </c>
      <c r="X57" s="133" t="s">
        <v>1429</v>
      </c>
      <c r="Y57" s="133" t="s">
        <v>1429</v>
      </c>
      <c r="Z57" s="33"/>
    </row>
    <row r="58" spans="1:26">
      <c r="A58" s="127"/>
      <c r="B58" s="105" t="s">
        <v>24</v>
      </c>
      <c r="C58" s="106">
        <v>805.0508700000014</v>
      </c>
      <c r="D58" s="130"/>
      <c r="E58" s="107">
        <v>9007.6558700000023</v>
      </c>
      <c r="F58" s="130"/>
      <c r="G58" s="106">
        <v>10375.258230000001</v>
      </c>
      <c r="H58" s="130"/>
      <c r="I58" s="107" t="s">
        <v>1409</v>
      </c>
      <c r="J58" s="134"/>
      <c r="K58" s="133" t="s">
        <v>1429</v>
      </c>
      <c r="L58" s="133" t="s">
        <v>1429</v>
      </c>
      <c r="M58" s="133" t="s">
        <v>1429</v>
      </c>
      <c r="N58" s="133" t="s">
        <v>1429</v>
      </c>
      <c r="O58" s="133" t="s">
        <v>1429</v>
      </c>
      <c r="P58" s="133" t="s">
        <v>1429</v>
      </c>
      <c r="Q58" s="133" t="s">
        <v>1429</v>
      </c>
      <c r="R58" s="133" t="s">
        <v>1429</v>
      </c>
      <c r="S58" s="133" t="s">
        <v>1429</v>
      </c>
      <c r="T58" s="133" t="s">
        <v>1429</v>
      </c>
      <c r="U58" s="133" t="s">
        <v>1429</v>
      </c>
      <c r="V58" s="133" t="s">
        <v>1429</v>
      </c>
      <c r="W58" s="133" t="s">
        <v>1429</v>
      </c>
      <c r="X58" s="133" t="s">
        <v>1429</v>
      </c>
      <c r="Y58" s="133" t="s">
        <v>1429</v>
      </c>
      <c r="Z58" s="33"/>
    </row>
    <row r="59" spans="1:26">
      <c r="A59" s="127"/>
      <c r="B59" s="131"/>
      <c r="C59" s="132"/>
      <c r="D59" s="132"/>
      <c r="E59" s="132"/>
      <c r="F59" s="132"/>
      <c r="G59" s="132"/>
      <c r="H59" s="132"/>
      <c r="I59" s="132"/>
      <c r="J59" s="135"/>
      <c r="K59" s="133" t="s">
        <v>1429</v>
      </c>
      <c r="L59" s="133" t="s">
        <v>1429</v>
      </c>
      <c r="M59" s="133" t="s">
        <v>1429</v>
      </c>
      <c r="N59" s="133" t="s">
        <v>1429</v>
      </c>
      <c r="O59" s="133" t="s">
        <v>1429</v>
      </c>
      <c r="P59" s="133" t="s">
        <v>1429</v>
      </c>
      <c r="Q59" s="133" t="s">
        <v>1429</v>
      </c>
      <c r="R59" s="133" t="s">
        <v>1429</v>
      </c>
      <c r="S59" s="133" t="s">
        <v>1429</v>
      </c>
      <c r="T59" s="133" t="s">
        <v>1429</v>
      </c>
      <c r="U59" s="133" t="s">
        <v>1429</v>
      </c>
      <c r="V59" s="133" t="s">
        <v>1429</v>
      </c>
      <c r="W59" s="133" t="s">
        <v>1429</v>
      </c>
      <c r="X59" s="133" t="s">
        <v>1429</v>
      </c>
      <c r="Y59" s="133" t="s">
        <v>1429</v>
      </c>
      <c r="Z59" s="33"/>
    </row>
    <row r="60" spans="1:26">
      <c r="A60" s="127"/>
      <c r="B60" s="91" t="s">
        <v>19</v>
      </c>
      <c r="C60" s="110">
        <v>1.6799029218314915E-2</v>
      </c>
      <c r="D60" s="111">
        <v>0.72340765863618872</v>
      </c>
      <c r="E60" s="112">
        <v>3.7044878289449107E-2</v>
      </c>
      <c r="F60" s="113">
        <v>0.72036763644261492</v>
      </c>
      <c r="G60" s="110">
        <v>3.7318746880518165E-2</v>
      </c>
      <c r="H60" s="111">
        <v>0.71624838936606094</v>
      </c>
      <c r="I60" s="112" t="s">
        <v>1409</v>
      </c>
      <c r="J60" s="114" t="s">
        <v>1409</v>
      </c>
      <c r="K60" s="133" t="s">
        <v>1429</v>
      </c>
      <c r="L60" s="133" t="s">
        <v>1429</v>
      </c>
      <c r="M60" s="133" t="s">
        <v>1429</v>
      </c>
      <c r="N60" s="133" t="s">
        <v>1429</v>
      </c>
      <c r="O60" s="133" t="s">
        <v>1429</v>
      </c>
      <c r="P60" s="133" t="s">
        <v>1429</v>
      </c>
      <c r="Q60" s="133" t="s">
        <v>1429</v>
      </c>
      <c r="R60" s="133" t="s">
        <v>1429</v>
      </c>
      <c r="S60" s="133" t="s">
        <v>1429</v>
      </c>
      <c r="T60" s="133" t="s">
        <v>1429</v>
      </c>
      <c r="U60" s="133" t="s">
        <v>1429</v>
      </c>
      <c r="V60" s="133" t="s">
        <v>1429</v>
      </c>
      <c r="W60" s="133" t="s">
        <v>1429</v>
      </c>
      <c r="X60" s="133" t="s">
        <v>1429</v>
      </c>
      <c r="Y60" s="133" t="s">
        <v>1429</v>
      </c>
      <c r="Z60" s="33"/>
    </row>
    <row r="61" spans="1:26">
      <c r="A61" s="127"/>
      <c r="B61" s="98" t="s">
        <v>20</v>
      </c>
      <c r="C61" s="92">
        <v>-1.0991180214765334E-2</v>
      </c>
      <c r="D61" s="93">
        <v>0.27659234136381122</v>
      </c>
      <c r="E61" s="94">
        <v>2.5117822139726936E-2</v>
      </c>
      <c r="F61" s="95">
        <v>0.27963236355738519</v>
      </c>
      <c r="G61" s="92">
        <v>3.4242420712149786E-2</v>
      </c>
      <c r="H61" s="93">
        <v>0.28375161063393906</v>
      </c>
      <c r="I61" s="94" t="s">
        <v>1409</v>
      </c>
      <c r="J61" s="96" t="s">
        <v>1409</v>
      </c>
      <c r="K61" s="133" t="s">
        <v>1429</v>
      </c>
      <c r="L61" s="133" t="s">
        <v>1429</v>
      </c>
      <c r="M61" s="133" t="s">
        <v>1429</v>
      </c>
      <c r="N61" s="133" t="s">
        <v>1429</v>
      </c>
      <c r="O61" s="133" t="s">
        <v>1429</v>
      </c>
      <c r="P61" s="133" t="s">
        <v>1429</v>
      </c>
      <c r="Q61" s="133" t="s">
        <v>1429</v>
      </c>
      <c r="R61" s="133" t="s">
        <v>1429</v>
      </c>
      <c r="S61" s="133" t="s">
        <v>1429</v>
      </c>
      <c r="T61" s="133" t="s">
        <v>1429</v>
      </c>
      <c r="U61" s="133" t="s">
        <v>1429</v>
      </c>
      <c r="V61" s="133" t="s">
        <v>1429</v>
      </c>
      <c r="W61" s="133" t="s">
        <v>1429</v>
      </c>
      <c r="X61" s="133" t="s">
        <v>1429</v>
      </c>
      <c r="Y61" s="133" t="s">
        <v>1429</v>
      </c>
      <c r="Z61" s="33"/>
    </row>
    <row r="62" spans="1:26">
      <c r="A62" s="127"/>
      <c r="B62" s="99" t="s">
        <v>25</v>
      </c>
      <c r="C62" s="100">
        <v>5.8078490035495811E-3</v>
      </c>
      <c r="D62" s="101">
        <v>1</v>
      </c>
      <c r="E62" s="102">
        <v>6.2162700429176043E-2</v>
      </c>
      <c r="F62" s="103">
        <v>1</v>
      </c>
      <c r="G62" s="100">
        <v>7.1561167592667951E-2</v>
      </c>
      <c r="H62" s="101">
        <v>1</v>
      </c>
      <c r="I62" s="102" t="s">
        <v>1409</v>
      </c>
      <c r="J62" s="104" t="s">
        <v>1409</v>
      </c>
      <c r="K62" s="133" t="s">
        <v>1429</v>
      </c>
      <c r="L62" s="133" t="s">
        <v>1429</v>
      </c>
      <c r="M62" s="133" t="s">
        <v>1429</v>
      </c>
      <c r="N62" s="133" t="s">
        <v>1429</v>
      </c>
      <c r="O62" s="133" t="s">
        <v>1429</v>
      </c>
      <c r="P62" s="133" t="s">
        <v>1429</v>
      </c>
      <c r="Q62" s="133" t="s">
        <v>1429</v>
      </c>
      <c r="R62" s="133" t="s">
        <v>1429</v>
      </c>
      <c r="S62" s="133" t="s">
        <v>1429</v>
      </c>
      <c r="T62" s="133" t="s">
        <v>1429</v>
      </c>
      <c r="U62" s="133" t="s">
        <v>1429</v>
      </c>
      <c r="V62" s="133" t="s">
        <v>1429</v>
      </c>
      <c r="W62" s="133" t="s">
        <v>1429</v>
      </c>
      <c r="X62" s="133" t="s">
        <v>1429</v>
      </c>
      <c r="Y62" s="133" t="s">
        <v>1429</v>
      </c>
      <c r="Z62" s="33"/>
    </row>
    <row r="63" spans="1:26">
      <c r="A63" s="127"/>
      <c r="B63" s="131"/>
      <c r="C63" s="132"/>
      <c r="D63" s="132"/>
      <c r="E63" s="132"/>
      <c r="F63" s="132"/>
      <c r="G63" s="132"/>
      <c r="H63" s="132"/>
      <c r="I63" s="132"/>
      <c r="J63" s="135"/>
      <c r="K63" s="133" t="s">
        <v>1429</v>
      </c>
      <c r="L63" s="133" t="s">
        <v>1429</v>
      </c>
      <c r="M63" s="133" t="s">
        <v>1429</v>
      </c>
      <c r="N63" s="133" t="s">
        <v>1429</v>
      </c>
      <c r="O63" s="133" t="s">
        <v>1429</v>
      </c>
      <c r="P63" s="133" t="s">
        <v>1429</v>
      </c>
      <c r="Q63" s="133" t="s">
        <v>1429</v>
      </c>
      <c r="R63" s="133" t="s">
        <v>1429</v>
      </c>
      <c r="S63" s="133" t="s">
        <v>1429</v>
      </c>
      <c r="T63" s="133" t="s">
        <v>1429</v>
      </c>
      <c r="U63" s="133" t="s">
        <v>1429</v>
      </c>
      <c r="V63" s="133" t="s">
        <v>1429</v>
      </c>
      <c r="W63" s="133" t="s">
        <v>1429</v>
      </c>
      <c r="X63" s="133" t="s">
        <v>1429</v>
      </c>
      <c r="Y63" s="133" t="s">
        <v>1429</v>
      </c>
      <c r="Z63" s="33"/>
    </row>
    <row r="64" spans="1:26">
      <c r="A64" s="127"/>
      <c r="B64" s="91" t="s">
        <v>21</v>
      </c>
      <c r="C64" s="110">
        <v>3.3917445410752475E-3</v>
      </c>
      <c r="D64" s="111">
        <v>0.79952056644924452</v>
      </c>
      <c r="E64" s="112">
        <v>4.8895509278487001E-2</v>
      </c>
      <c r="F64" s="113">
        <v>0.80076622838017297</v>
      </c>
      <c r="G64" s="110">
        <v>5.3746024605150759E-2</v>
      </c>
      <c r="H64" s="111">
        <v>0.79692584331348693</v>
      </c>
      <c r="I64" s="112" t="s">
        <v>1409</v>
      </c>
      <c r="J64" s="114" t="s">
        <v>1409</v>
      </c>
      <c r="K64" s="133" t="s">
        <v>1429</v>
      </c>
      <c r="L64" s="133" t="s">
        <v>1429</v>
      </c>
      <c r="M64" s="133" t="s">
        <v>1429</v>
      </c>
      <c r="N64" s="133" t="s">
        <v>1429</v>
      </c>
      <c r="O64" s="133" t="s">
        <v>1429</v>
      </c>
      <c r="P64" s="133" t="s">
        <v>1429</v>
      </c>
      <c r="Q64" s="133" t="s">
        <v>1429</v>
      </c>
      <c r="R64" s="133" t="s">
        <v>1429</v>
      </c>
      <c r="S64" s="133" t="s">
        <v>1429</v>
      </c>
      <c r="T64" s="133" t="s">
        <v>1429</v>
      </c>
      <c r="U64" s="133" t="s">
        <v>1429</v>
      </c>
      <c r="V64" s="133" t="s">
        <v>1429</v>
      </c>
      <c r="W64" s="133" t="s">
        <v>1429</v>
      </c>
      <c r="X64" s="133" t="s">
        <v>1429</v>
      </c>
      <c r="Y64" s="133" t="s">
        <v>1429</v>
      </c>
      <c r="Z64" s="33"/>
    </row>
    <row r="65" spans="1:26">
      <c r="A65" s="127"/>
      <c r="B65" s="98" t="s">
        <v>22</v>
      </c>
      <c r="C65" s="92">
        <v>2.4161044624743337E-3</v>
      </c>
      <c r="D65" s="93">
        <v>0.20047943355075551</v>
      </c>
      <c r="E65" s="94">
        <v>1.3267191150689044E-2</v>
      </c>
      <c r="F65" s="95">
        <v>0.199233771619827</v>
      </c>
      <c r="G65" s="92">
        <v>1.7815142987517189E-2</v>
      </c>
      <c r="H65" s="93">
        <v>0.20307415668651307</v>
      </c>
      <c r="I65" s="94" t="s">
        <v>1409</v>
      </c>
      <c r="J65" s="96" t="s">
        <v>1409</v>
      </c>
      <c r="K65" s="133" t="s">
        <v>1429</v>
      </c>
      <c r="L65" s="133" t="s">
        <v>1429</v>
      </c>
      <c r="M65" s="133" t="s">
        <v>1429</v>
      </c>
      <c r="N65" s="133" t="s">
        <v>1429</v>
      </c>
      <c r="O65" s="133" t="s">
        <v>1429</v>
      </c>
      <c r="P65" s="133" t="s">
        <v>1429</v>
      </c>
      <c r="Q65" s="133" t="s">
        <v>1429</v>
      </c>
      <c r="R65" s="133" t="s">
        <v>1429</v>
      </c>
      <c r="S65" s="133" t="s">
        <v>1429</v>
      </c>
      <c r="T65" s="133" t="s">
        <v>1429</v>
      </c>
      <c r="U65" s="133" t="s">
        <v>1429</v>
      </c>
      <c r="V65" s="133" t="s">
        <v>1429</v>
      </c>
      <c r="W65" s="133" t="s">
        <v>1429</v>
      </c>
      <c r="X65" s="133" t="s">
        <v>1429</v>
      </c>
      <c r="Y65" s="133" t="s">
        <v>1429</v>
      </c>
      <c r="Z65" s="33"/>
    </row>
    <row r="66" spans="1:26">
      <c r="A66" s="127"/>
      <c r="B66" s="115" t="s">
        <v>25</v>
      </c>
      <c r="C66" s="116">
        <v>5.8078490035495811E-3</v>
      </c>
      <c r="D66" s="117">
        <v>1</v>
      </c>
      <c r="E66" s="118">
        <v>6.2162700429176043E-2</v>
      </c>
      <c r="F66" s="119">
        <v>1</v>
      </c>
      <c r="G66" s="116">
        <v>7.1561167592667951E-2</v>
      </c>
      <c r="H66" s="117">
        <v>1</v>
      </c>
      <c r="I66" s="118" t="s">
        <v>1409</v>
      </c>
      <c r="J66" s="120" t="s">
        <v>1409</v>
      </c>
      <c r="K66" s="133" t="s">
        <v>1429</v>
      </c>
      <c r="L66" s="133" t="s">
        <v>1429</v>
      </c>
      <c r="M66" s="133" t="s">
        <v>1429</v>
      </c>
      <c r="N66" s="133" t="s">
        <v>1429</v>
      </c>
      <c r="O66" s="133" t="s">
        <v>1429</v>
      </c>
      <c r="P66" s="133" t="s">
        <v>1429</v>
      </c>
      <c r="Q66" s="133" t="s">
        <v>1429</v>
      </c>
      <c r="R66" s="133" t="s">
        <v>1429</v>
      </c>
      <c r="S66" s="133" t="s">
        <v>1429</v>
      </c>
      <c r="T66" s="133" t="s">
        <v>1429</v>
      </c>
      <c r="U66" s="133" t="s">
        <v>1429</v>
      </c>
      <c r="V66" s="133" t="s">
        <v>1429</v>
      </c>
      <c r="W66" s="133" t="s">
        <v>1429</v>
      </c>
      <c r="X66" s="133" t="s">
        <v>1429</v>
      </c>
      <c r="Y66" s="133" t="s">
        <v>1429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26</v>
      </c>
      <c r="AC3" s="16">
        <f>VLOOKUP(הנחיות!B22,AA5:AB9,2,0)</f>
        <v>3</v>
      </c>
    </row>
    <row r="4" spans="1:33" ht="28.5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2026</v>
      </c>
      <c r="AE4" t="s">
        <v>901</v>
      </c>
    </row>
    <row r="5" spans="1:33" ht="28.5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1375</v>
      </c>
      <c r="AF9" t="s">
        <v>1376</v>
      </c>
      <c r="AG9" t="s">
        <v>1250</v>
      </c>
    </row>
    <row r="10" spans="1:33" ht="28.5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72">
        <v>9895</v>
      </c>
      <c r="H62" s="72" t="s">
        <v>86</v>
      </c>
      <c r="I62" s="72" t="s">
        <v>115</v>
      </c>
      <c r="J62" s="72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72">
        <v>9898</v>
      </c>
      <c r="H63" s="72" t="s">
        <v>86</v>
      </c>
      <c r="I63" s="72" t="s">
        <v>117</v>
      </c>
      <c r="J63" s="72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72">
        <v>9897</v>
      </c>
      <c r="H64" s="72" t="s">
        <v>86</v>
      </c>
      <c r="I64" s="72" t="s">
        <v>118</v>
      </c>
      <c r="J64" s="72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72">
        <v>9896</v>
      </c>
      <c r="H65" s="72" t="s">
        <v>86</v>
      </c>
      <c r="I65" s="72" t="s">
        <v>119</v>
      </c>
      <c r="J65" s="72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>
      <c r="A186" s="53">
        <v>14406</v>
      </c>
      <c r="B186" s="55" t="s">
        <v>86</v>
      </c>
      <c r="C186" s="55" t="s">
        <v>1398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>
      <c r="A191" s="53">
        <v>14425</v>
      </c>
      <c r="B191" s="55" t="s">
        <v>86</v>
      </c>
      <c r="C191" s="55" t="s">
        <v>1397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>
      <c r="A192" s="53">
        <v>14169</v>
      </c>
      <c r="B192" s="55" t="s">
        <v>86</v>
      </c>
      <c r="C192" s="55" t="s">
        <v>1401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>
      <c r="A193" s="53">
        <v>14168</v>
      </c>
      <c r="B193" s="55" t="s">
        <v>86</v>
      </c>
      <c r="C193" s="55" t="s">
        <v>1399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>
      <c r="A194" s="53">
        <v>14306</v>
      </c>
      <c r="B194" s="55" t="s">
        <v>86</v>
      </c>
      <c r="C194" s="55" t="s">
        <v>1400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t="28.5">
      <c r="A195" s="53">
        <v>14925</v>
      </c>
      <c r="B195" s="55" t="s">
        <v>86</v>
      </c>
      <c r="C195" s="55" t="s">
        <v>1407</v>
      </c>
      <c r="D195" s="62" t="s">
        <v>828</v>
      </c>
      <c r="E195" s="63">
        <v>520004896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>
      <c r="A196" s="53">
        <v>14926</v>
      </c>
      <c r="B196" s="55" t="s">
        <v>86</v>
      </c>
      <c r="C196" s="55" t="s">
        <v>1408</v>
      </c>
      <c r="D196" s="62" t="s">
        <v>828</v>
      </c>
      <c r="E196" s="63">
        <v>520004896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t="28.5">
      <c r="A197" s="53">
        <v>15060</v>
      </c>
      <c r="B197" s="55" t="s">
        <v>86</v>
      </c>
      <c r="C197" s="55" t="s">
        <v>1405</v>
      </c>
      <c r="D197" s="62" t="s">
        <v>828</v>
      </c>
      <c r="E197" s="63">
        <v>520004896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t="28.5">
      <c r="A198" s="53">
        <v>15062</v>
      </c>
      <c r="B198" s="55" t="s">
        <v>86</v>
      </c>
      <c r="C198" s="55" t="s">
        <v>1406</v>
      </c>
      <c r="D198" s="62" t="s">
        <v>828</v>
      </c>
      <c r="E198" s="63">
        <v>520004896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t="28.5">
      <c r="A199" s="53">
        <v>15463</v>
      </c>
      <c r="B199" s="55" t="s">
        <v>86</v>
      </c>
      <c r="C199" s="55" t="s">
        <v>1410</v>
      </c>
      <c r="D199" s="62" t="s">
        <v>828</v>
      </c>
      <c r="E199" s="63">
        <v>520004896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t="28.5">
      <c r="A200" s="53">
        <v>15464</v>
      </c>
      <c r="B200" s="55" t="s">
        <v>86</v>
      </c>
      <c r="C200" s="55" t="s">
        <v>1411</v>
      </c>
      <c r="D200" s="62" t="s">
        <v>828</v>
      </c>
      <c r="E200" s="63">
        <v>520004896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14929</v>
      </c>
      <c r="N286" s="67" t="s">
        <v>86</v>
      </c>
      <c r="O286" s="67" t="s">
        <v>1403</v>
      </c>
      <c r="P286" s="68" t="s">
        <v>116</v>
      </c>
      <c r="Q286" s="69">
        <v>512237744</v>
      </c>
      <c r="R286" s="61" t="s">
        <v>179</v>
      </c>
    </row>
    <row r="287" spans="7:18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14930</v>
      </c>
      <c r="N287" s="67" t="s">
        <v>86</v>
      </c>
      <c r="O287" s="67" t="s">
        <v>1404</v>
      </c>
      <c r="P287" s="68" t="s">
        <v>116</v>
      </c>
      <c r="Q287" s="69">
        <v>512237744</v>
      </c>
      <c r="R287" s="61" t="s">
        <v>179</v>
      </c>
    </row>
    <row r="288" spans="7:18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15525</v>
      </c>
      <c r="N288" s="67" t="s">
        <v>86</v>
      </c>
      <c r="O288" s="67" t="s">
        <v>1412</v>
      </c>
      <c r="P288" s="68" t="s">
        <v>116</v>
      </c>
      <c r="Q288" s="69">
        <v>512237744</v>
      </c>
      <c r="R288" s="61" t="s">
        <v>179</v>
      </c>
    </row>
    <row r="289" spans="7:18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15524</v>
      </c>
      <c r="N289" s="67" t="s">
        <v>86</v>
      </c>
      <c r="O289" s="67" t="s">
        <v>1413</v>
      </c>
      <c r="P289" s="68" t="s">
        <v>116</v>
      </c>
      <c r="Q289" s="69">
        <v>512237744</v>
      </c>
      <c r="R289" s="61" t="s">
        <v>179</v>
      </c>
    </row>
    <row r="290" spans="7:18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15527</v>
      </c>
      <c r="N290" s="67" t="s">
        <v>86</v>
      </c>
      <c r="O290" s="67" t="s">
        <v>1414</v>
      </c>
      <c r="P290" s="68" t="s">
        <v>116</v>
      </c>
      <c r="Q290" s="69">
        <v>512237744</v>
      </c>
      <c r="R290" s="61" t="s">
        <v>179</v>
      </c>
    </row>
    <row r="291" spans="7:18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15526</v>
      </c>
      <c r="N291" s="67" t="s">
        <v>86</v>
      </c>
      <c r="O291" s="67" t="s">
        <v>1415</v>
      </c>
      <c r="P291" s="68" t="s">
        <v>116</v>
      </c>
      <c r="Q291" s="69">
        <v>512237744</v>
      </c>
      <c r="R291" s="61" t="s">
        <v>179</v>
      </c>
    </row>
    <row r="292" spans="7:18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1396</v>
      </c>
      <c r="P292" s="67" t="s">
        <v>83</v>
      </c>
      <c r="Q292" s="66">
        <v>123456789</v>
      </c>
      <c r="R292" s="61" t="s">
        <v>179</v>
      </c>
    </row>
    <row r="293" spans="7:18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1396</v>
      </c>
      <c r="P293" s="67" t="s">
        <v>83</v>
      </c>
      <c r="Q293" s="66">
        <v>123456789</v>
      </c>
      <c r="R293" s="61" t="s">
        <v>179</v>
      </c>
    </row>
    <row r="294" spans="7:18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1396</v>
      </c>
      <c r="P294" s="67" t="s">
        <v>83</v>
      </c>
      <c r="Q294" s="66">
        <v>123456789</v>
      </c>
      <c r="R294" s="61" t="s">
        <v>179</v>
      </c>
    </row>
    <row r="295" spans="7:18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1396</v>
      </c>
      <c r="P295" s="67" t="s">
        <v>83</v>
      </c>
      <c r="Q295" s="66">
        <v>123456789</v>
      </c>
      <c r="R295" s="61" t="s">
        <v>179</v>
      </c>
    </row>
    <row r="296" spans="7:18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70">
        <v>14668</v>
      </c>
      <c r="H700" s="70" t="s">
        <v>86</v>
      </c>
      <c r="I700" s="70" t="s">
        <v>1416</v>
      </c>
      <c r="J700" s="70" t="s">
        <v>116</v>
      </c>
      <c r="K700" s="71">
        <v>512237744</v>
      </c>
      <c r="L700" s="35" t="s">
        <v>88</v>
      </c>
    </row>
    <row r="701" spans="7:12">
      <c r="G701" s="70">
        <v>14945</v>
      </c>
      <c r="H701" s="70" t="s">
        <v>86</v>
      </c>
      <c r="I701" s="70" t="s">
        <v>1417</v>
      </c>
      <c r="J701" s="70" t="s">
        <v>116</v>
      </c>
      <c r="K701" s="71">
        <v>512237744</v>
      </c>
      <c r="L701" s="35" t="s">
        <v>88</v>
      </c>
    </row>
    <row r="702" spans="7:12">
      <c r="G702" s="70">
        <v>15340</v>
      </c>
      <c r="H702" s="70" t="s">
        <v>86</v>
      </c>
      <c r="I702" s="70" t="s">
        <v>1418</v>
      </c>
      <c r="J702" s="70" t="s">
        <v>116</v>
      </c>
      <c r="K702" s="71">
        <v>512237744</v>
      </c>
      <c r="L702" s="35" t="s">
        <v>88</v>
      </c>
    </row>
    <row r="703" spans="7:12">
      <c r="G703" s="70">
        <v>15448</v>
      </c>
      <c r="H703" s="70" t="s">
        <v>86</v>
      </c>
      <c r="I703" s="70" t="s">
        <v>1419</v>
      </c>
      <c r="J703" s="70" t="s">
        <v>116</v>
      </c>
      <c r="K703" s="71">
        <v>512237744</v>
      </c>
      <c r="L703" s="35" t="s">
        <v>88</v>
      </c>
    </row>
    <row r="704" spans="7:12">
      <c r="G704" s="70">
        <v>15449</v>
      </c>
      <c r="H704" s="70" t="s">
        <v>86</v>
      </c>
      <c r="I704" s="70" t="s">
        <v>1420</v>
      </c>
      <c r="J704" s="70" t="s">
        <v>116</v>
      </c>
      <c r="K704" s="71">
        <v>512237744</v>
      </c>
      <c r="L704" s="35" t="s">
        <v>88</v>
      </c>
    </row>
    <row r="705" spans="7:12">
      <c r="G705" s="70">
        <v>15450</v>
      </c>
      <c r="H705" s="70" t="s">
        <v>86</v>
      </c>
      <c r="I705" s="70" t="s">
        <v>1421</v>
      </c>
      <c r="J705" s="70" t="s">
        <v>116</v>
      </c>
      <c r="K705" s="71">
        <v>512237744</v>
      </c>
      <c r="L705" s="35" t="s">
        <v>88</v>
      </c>
    </row>
    <row r="706" spans="7:12">
      <c r="G706" s="70">
        <v>15341</v>
      </c>
      <c r="H706" s="70" t="s">
        <v>86</v>
      </c>
      <c r="I706" s="70" t="s">
        <v>1422</v>
      </c>
      <c r="J706" s="70" t="s">
        <v>116</v>
      </c>
      <c r="K706" s="71">
        <v>512237744</v>
      </c>
      <c r="L706" s="35" t="s">
        <v>88</v>
      </c>
    </row>
    <row r="707" spans="7:12">
      <c r="G707" s="70">
        <v>14943</v>
      </c>
      <c r="H707" s="70" t="s">
        <v>86</v>
      </c>
      <c r="I707" s="70" t="s">
        <v>1423</v>
      </c>
      <c r="J707" s="70" t="s">
        <v>116</v>
      </c>
      <c r="K707" s="71">
        <v>512237744</v>
      </c>
      <c r="L707" s="35" t="s">
        <v>88</v>
      </c>
    </row>
    <row r="708" spans="7:12" ht="15">
      <c r="G708" s="73">
        <v>15055</v>
      </c>
      <c r="H708" s="70" t="s">
        <v>86</v>
      </c>
      <c r="I708" s="70" t="s">
        <v>1424</v>
      </c>
      <c r="J708" s="70" t="s">
        <v>116</v>
      </c>
      <c r="K708" s="71">
        <v>512237744</v>
      </c>
      <c r="L708" s="35" t="s">
        <v>88</v>
      </c>
    </row>
    <row r="709" spans="7:12" ht="15">
      <c r="G709" s="73">
        <v>15452</v>
      </c>
      <c r="H709" s="70" t="s">
        <v>86</v>
      </c>
      <c r="I709" s="70" t="s">
        <v>1425</v>
      </c>
      <c r="J709" s="70" t="s">
        <v>116</v>
      </c>
      <c r="K709" s="71">
        <v>512237744</v>
      </c>
      <c r="L709" s="35" t="s">
        <v>88</v>
      </c>
    </row>
    <row r="710" spans="7:12" ht="15">
      <c r="G710" s="73">
        <v>15453</v>
      </c>
      <c r="H710" s="70" t="s">
        <v>86</v>
      </c>
      <c r="I710" s="70" t="s">
        <v>1426</v>
      </c>
      <c r="J710" s="70" t="s">
        <v>116</v>
      </c>
      <c r="K710" s="71">
        <v>512237744</v>
      </c>
      <c r="L710" s="35" t="s">
        <v>88</v>
      </c>
    </row>
    <row r="711" spans="7:12" ht="15.75" hidden="1" thickBot="1">
      <c r="G711" s="74">
        <v>15454</v>
      </c>
      <c r="H711" s="70" t="s">
        <v>86</v>
      </c>
      <c r="I711" s="70" t="s">
        <v>1427</v>
      </c>
      <c r="J711" s="70" t="s">
        <v>116</v>
      </c>
      <c r="K711" s="71">
        <v>512237744</v>
      </c>
      <c r="L711" s="35" t="s">
        <v>88</v>
      </c>
    </row>
    <row r="712" spans="7:12" hidden="1">
      <c r="G712" s="64"/>
      <c r="H712" s="64"/>
      <c r="I712" s="64"/>
      <c r="J712" s="64"/>
      <c r="K712" s="65"/>
      <c r="L712" s="35" t="s">
        <v>88</v>
      </c>
    </row>
    <row r="713" spans="7:12" hidden="1">
      <c r="G713" s="64"/>
      <c r="H713" s="64"/>
      <c r="I713" s="64"/>
      <c r="J713" s="64"/>
      <c r="K713" s="65"/>
      <c r="L713" s="35" t="s">
        <v>88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2026-10-26T08:43:48Z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