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Public_Folders2\Makefet\הנהלת חשבונות\דיווח כספי\דיווח לאוצר\פרסום מרכיבי תשואה\2025\12-25\קבצים מונגשים 12-25\"/>
    </mc:Choice>
  </mc:AlternateContent>
  <xr:revisionPtr revIDLastSave="0" documentId="8_{2050FD94-1884-4DA6-9A64-FD60D57BAC83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/>
  <c r="C4" i="5"/>
  <c r="C3" i="5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<sst xmlns="http://schemas.openxmlformats.org/spreadsheetml/2006/main" count="5549" uniqueCount="1418">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</sst>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-&quot;₪&quot;* #,##0_-;\-&quot;₪&quot;* #,##0_-;_-&quot;₪&quot;* &quot;-&quot;_-;_-@_-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 [$€-2]\ * #,##0.00_ ;_ [$€-2]\ * \-#,##0.00_ ;_ [$€-2]\ * &quot;-&quot;??_ "/>
    <numFmt numFmtId="175" formatCode="mmmm\ yyyy"/>
    <numFmt numFmtId="176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4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5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1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6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0" fillId="0" borderId="2" xfId="0" applyNumberFormat="1" applyBorder="1" applyAlignment="1">
      <alignment horizontal="center" vertical="top" wrapText="1"/>
    </xf>
    <xf numFmtId="176" fontId="0" fillId="0" borderId="2" xfId="0" applyNumberFormat="1" applyBorder="1" applyAlignment="1">
      <alignment horizontal="right" vertical="top"/>
    </xf>
    <xf numFmtId="176" fontId="0" fillId="0" borderId="2" xfId="0" applyNumberFormat="1" applyBorder="1"/>
    <xf numFmtId="176" fontId="0" fillId="0" borderId="14" xfId="0" applyNumberFormat="1" applyBorder="1" applyAlignment="1">
      <alignment horizontal="center" vertical="top"/>
    </xf>
    <xf numFmtId="176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6" fontId="14" fillId="0" borderId="0" xfId="0" applyNumberFormat="1" applyFont="1"/>
    <xf numFmtId="176" fontId="16" fillId="0" borderId="0" xfId="0" applyNumberFormat="1" applyFont="1"/>
    <xf numFmtId="176" fontId="14" fillId="0" borderId="0" xfId="0" applyNumberFormat="1" applyFont="1" applyAlignment="1">
      <alignment vertical="top"/>
    </xf>
    <xf numFmtId="176" fontId="3" fillId="12" borderId="26" xfId="1" applyNumberFormat="1" applyFont="1" applyFill="1" applyBorder="1"/>
    <xf numFmtId="176" fontId="2" fillId="0" borderId="28" xfId="0" applyNumberFormat="1" applyFont="1" applyBorder="1"/>
    <xf numFmtId="176" fontId="2" fillId="0" borderId="19" xfId="0" applyNumberFormat="1" applyFont="1" applyBorder="1"/>
    <xf numFmtId="176" fontId="14" fillId="0" borderId="0" xfId="0" applyNumberFormat="1" applyFont="1" applyProtection="1">
      <protection locked="0"/>
    </xf>
    <xf numFmtId="176" fontId="3" fillId="12" borderId="27" xfId="1" applyNumberFormat="1" applyFont="1" applyFill="1" applyBorder="1"/>
    <xf numFmtId="176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4" t="s">
        <v>1417</v>
      </c>
      <c r="D1" s="8" t="s">
        <v>74</v>
      </c>
    </row>
    <row r="2" spans="1:4">
      <c r="A2" s="70" t="s">
        <v>64</v>
      </c>
      <c r="B2" s="9">
        <v>1</v>
      </c>
      <c r="C2" s="9" t="s">
        <v>65</v>
      </c>
      <c r="D2" s="10" t="s">
        <v>79</v>
      </c>
    </row>
    <row r="3" spans="1:4">
      <c r="A3" s="75"/>
      <c r="B3" s="9">
        <v>2</v>
      </c>
      <c r="C3" s="9" t="s">
        <v>66</v>
      </c>
      <c r="D3" s="10" t="s">
        <v>67</v>
      </c>
    </row>
    <row r="4" spans="1:4">
      <c r="A4" s="75"/>
      <c r="B4" s="9">
        <v>3</v>
      </c>
      <c r="C4" s="9" t="s">
        <v>68</v>
      </c>
      <c r="D4" s="10" t="s">
        <v>69</v>
      </c>
    </row>
    <row r="5" spans="1:4">
      <c r="A5" s="75"/>
      <c r="B5" s="71">
        <v>4</v>
      </c>
      <c r="C5" s="9" t="s">
        <v>70</v>
      </c>
      <c r="D5" s="10" t="s">
        <v>75</v>
      </c>
    </row>
    <row r="6" spans="1:4">
      <c r="A6" s="75"/>
      <c r="B6" s="76"/>
      <c r="C6" s="77"/>
      <c r="D6" s="58" t="s">
        <v>909</v>
      </c>
    </row>
    <row r="7" spans="1:4">
      <c r="A7" s="75"/>
      <c r="B7" s="76"/>
      <c r="C7" s="77"/>
      <c r="D7" s="57" t="s">
        <v>1384</v>
      </c>
    </row>
    <row r="8" spans="1:4">
      <c r="A8" s="75"/>
      <c r="B8" s="76"/>
      <c r="C8" s="77"/>
      <c r="D8" s="59" t="s">
        <v>1385</v>
      </c>
    </row>
    <row r="9" spans="1:4">
      <c r="A9" s="75"/>
      <c r="B9" s="76"/>
      <c r="C9" s="77"/>
      <c r="D9" s="10" t="s">
        <v>76</v>
      </c>
    </row>
    <row r="10" spans="1:4">
      <c r="A10" s="75"/>
      <c r="B10" s="76"/>
      <c r="C10" s="77"/>
      <c r="D10" s="58" t="s">
        <v>77</v>
      </c>
    </row>
    <row r="11" spans="1:4">
      <c r="A11" s="75"/>
      <c r="B11" s="76"/>
      <c r="C11" s="77"/>
      <c r="D11" s="57" t="s">
        <v>78</v>
      </c>
    </row>
    <row r="12" spans="1:4">
      <c r="A12" s="75"/>
      <c r="B12" s="76"/>
      <c r="C12" s="77"/>
      <c r="D12" s="10" t="s">
        <v>71</v>
      </c>
    </row>
    <row r="13" spans="1:4">
      <c r="A13" s="75"/>
      <c r="B13" s="76"/>
      <c r="C13" s="77"/>
      <c r="D13" s="10" t="s">
        <v>1377</v>
      </c>
    </row>
    <row r="14" spans="1:4">
      <c r="A14" s="75"/>
      <c r="B14" s="76"/>
      <c r="C14" s="77"/>
      <c r="D14" s="10" t="s">
        <v>1378</v>
      </c>
    </row>
    <row r="15" spans="1:4">
      <c r="A15" s="72" t="s">
        <v>905</v>
      </c>
      <c r="B15" s="9">
        <v>5</v>
      </c>
      <c r="C15" s="9" t="s">
        <v>72</v>
      </c>
      <c r="D15" s="10" t="s">
        <v>73</v>
      </c>
    </row>
    <row r="16" spans="1:4">
      <c r="A16" s="78"/>
      <c r="B16" s="9">
        <v>6</v>
      </c>
      <c r="C16" s="77"/>
      <c r="D16" s="9" t="s">
        <v>904</v>
      </c>
    </row>
    <row r="17" spans="1:4" ht="28.5">
      <c r="A17" s="79"/>
      <c r="B17" s="9">
        <v>7</v>
      </c>
      <c r="C17" s="77"/>
      <c r="D17" s="60" t="s">
        <v>1403</v>
      </c>
    </row>
    <row r="19" spans="1:4" ht="16.899999999999999" customHeight="1">
      <c r="A19" s="12" t="s">
        <v>885</v>
      </c>
      <c r="B19" s="30">
        <v>2025</v>
      </c>
      <c r="C19" s="27"/>
    </row>
    <row r="20" spans="1:4" ht="15">
      <c r="A20" s="13" t="s">
        <v>889</v>
      </c>
      <c r="B20" s="30" t="s">
        <v>179</v>
      </c>
      <c r="C20" s="29" t="str">
        <f>VLOOKUP(B20,Tab_Type,2,0)</f>
        <v>TabC</v>
      </c>
    </row>
    <row r="21" spans="1:4" ht="15">
      <c r="A21" s="13" t="s">
        <v>890</v>
      </c>
      <c r="B21" s="30">
        <v>2112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מקפת אישית הלכה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512237744_p2112_Yield425.xlsx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G23" sqref="G23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2"/>
      <c r="B1" s="3" t="s">
        <v>0</v>
      </c>
    </row>
    <row r="2" spans="1:31" ht="18.75">
      <c r="A2" s="122"/>
      <c r="B2" s="6" t="s">
        <v>821</v>
      </c>
      <c r="C2" s="25">
        <f>הנחיות!B21</f>
        <v>2112</v>
      </c>
      <c r="D2" s="73"/>
      <c r="E2" s="73"/>
    </row>
    <row r="3" spans="1:31" ht="18.75">
      <c r="A3" s="122"/>
      <c r="B3" s="7" t="s">
        <v>28</v>
      </c>
      <c r="C3" s="24" t="str">
        <f ca="1">הנחיות!B23</f>
        <v>מגדל מקפת אישית הלכה</v>
      </c>
      <c r="D3" s="24"/>
    </row>
    <row r="4" spans="1:31" ht="18.75">
      <c r="A4" s="12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2"/>
      <c r="B5" s="7" t="s">
        <v>29</v>
      </c>
      <c r="C5" s="25">
        <f>הנחיות!B19</f>
        <v>2025</v>
      </c>
      <c r="D5" s="7" t="s">
        <v>903</v>
      </c>
      <c r="E5" s="25" t="str">
        <f>הנחיות!B22</f>
        <v>31.12.25</v>
      </c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4">
        <f>W5+1</f>
        <v>1</v>
      </c>
      <c r="Z5" s="4"/>
    </row>
    <row r="6" spans="1:31" s="20" customFormat="1" ht="47.45" customHeight="1">
      <c r="A6" s="124"/>
      <c r="B6" s="116" t="s">
        <v>26</v>
      </c>
      <c r="C6" s="117" t="s">
        <v>30</v>
      </c>
      <c r="D6" s="118" t="s">
        <v>31</v>
      </c>
      <c r="E6" s="119" t="s">
        <v>32</v>
      </c>
      <c r="F6" s="120" t="s">
        <v>33</v>
      </c>
      <c r="G6" s="117" t="s">
        <v>34</v>
      </c>
      <c r="H6" s="118" t="s">
        <v>35</v>
      </c>
      <c r="I6" s="119" t="s">
        <v>36</v>
      </c>
      <c r="J6" s="120" t="s">
        <v>37</v>
      </c>
      <c r="K6" s="117" t="s">
        <v>38</v>
      </c>
      <c r="L6" s="118" t="s">
        <v>39</v>
      </c>
      <c r="M6" s="119" t="s">
        <v>40</v>
      </c>
      <c r="N6" s="120" t="s">
        <v>41</v>
      </c>
      <c r="O6" s="117" t="s">
        <v>42</v>
      </c>
      <c r="P6" s="118" t="s">
        <v>43</v>
      </c>
      <c r="Q6" s="119" t="s">
        <v>44</v>
      </c>
      <c r="R6" s="120" t="s">
        <v>45</v>
      </c>
      <c r="S6" s="117" t="s">
        <v>46</v>
      </c>
      <c r="T6" s="118" t="s">
        <v>47</v>
      </c>
      <c r="U6" s="119" t="s">
        <v>48</v>
      </c>
      <c r="V6" s="120" t="s">
        <v>49</v>
      </c>
      <c r="W6" s="117" t="s">
        <v>50</v>
      </c>
      <c r="X6" s="118" t="s">
        <v>51</v>
      </c>
      <c r="Y6" s="119" t="s">
        <v>52</v>
      </c>
      <c r="Z6" s="121" t="s">
        <v>53</v>
      </c>
      <c r="AE6" s="21"/>
    </row>
    <row r="7" spans="1:31">
      <c r="A7" s="122"/>
      <c r="B7" s="86" t="s">
        <v>1</v>
      </c>
      <c r="C7" s="87">
        <v>-4.725621862821118E-4</v>
      </c>
      <c r="D7" s="88">
        <v>6.2881962192101751E-2</v>
      </c>
      <c r="E7" s="89">
        <v>2.5784684261436717E-4</v>
      </c>
      <c r="F7" s="90">
        <v>5.9545868125757656E-2</v>
      </c>
      <c r="G7" s="87">
        <v>1.6619657816282294E-3</v>
      </c>
      <c r="H7" s="88">
        <v>6.4890573689249373E-2</v>
      </c>
      <c r="I7" s="89">
        <v>-5.296148667567126E-4</v>
      </c>
      <c r="J7" s="90">
        <v>6.4765127995120728E-2</v>
      </c>
      <c r="K7" s="87">
        <v>-6.6487260786071451E-4</v>
      </c>
      <c r="L7" s="88">
        <v>6.4680260415225607E-2</v>
      </c>
      <c r="M7" s="89">
        <v>-2.0491160111080995E-4</v>
      </c>
      <c r="N7" s="90">
        <v>5.8231970827931072E-2</v>
      </c>
      <c r="O7" s="87">
        <v>1.4683483981561937E-4</v>
      </c>
      <c r="P7" s="88">
        <v>4.3602551269645524E-2</v>
      </c>
      <c r="Q7" s="89">
        <v>2.0334157512385238E-4</v>
      </c>
      <c r="R7" s="90">
        <v>5.0213861612913829E-2</v>
      </c>
      <c r="S7" s="87">
        <v>1.962755517819499E-4</v>
      </c>
      <c r="T7" s="88">
        <v>6.1186844997062909E-2</v>
      </c>
      <c r="U7" s="89">
        <v>-1.5764178034113018E-4</v>
      </c>
      <c r="V7" s="90">
        <v>6.5201422313098376E-2</v>
      </c>
      <c r="W7" s="87">
        <v>1.8576064207102854E-4</v>
      </c>
      <c r="X7" s="88">
        <v>6.3007861109402874E-2</v>
      </c>
      <c r="Y7" s="89">
        <v>8.2151096254881012E-5</v>
      </c>
      <c r="Z7" s="91">
        <v>5.0683226874397178E-2</v>
      </c>
      <c r="AE7" s="2"/>
    </row>
    <row r="8" spans="1:31" ht="30">
      <c r="A8" s="122"/>
      <c r="B8" s="92" t="s">
        <v>908</v>
      </c>
      <c r="C8" s="87">
        <v>5.9745192119461531E-4</v>
      </c>
      <c r="D8" s="88">
        <v>0.32841618116452204</v>
      </c>
      <c r="E8" s="89">
        <v>3.3790619260025945E-3</v>
      </c>
      <c r="F8" s="90">
        <v>0.33537169858328825</v>
      </c>
      <c r="G8" s="87">
        <v>7.5994257708987621E-4</v>
      </c>
      <c r="H8" s="88">
        <v>0.34079591884326055</v>
      </c>
      <c r="I8" s="89">
        <v>3.5271272480939804E-3</v>
      </c>
      <c r="J8" s="90">
        <v>0.34209158741227674</v>
      </c>
      <c r="K8" s="87">
        <v>2.895394940498609E-3</v>
      </c>
      <c r="L8" s="88">
        <v>0.33759398043511812</v>
      </c>
      <c r="M8" s="89">
        <v>1.8703988822734356E-3</v>
      </c>
      <c r="N8" s="90">
        <v>0.33984391439753314</v>
      </c>
      <c r="O8" s="87">
        <v>1.510605842617005E-3</v>
      </c>
      <c r="P8" s="88">
        <v>0.34276362901548463</v>
      </c>
      <c r="Q8" s="89">
        <v>2.7742945770812049E-3</v>
      </c>
      <c r="R8" s="90">
        <v>0.34182467324130744</v>
      </c>
      <c r="S8" s="87">
        <v>3.448907667212685E-3</v>
      </c>
      <c r="T8" s="88">
        <v>0.32711560272301821</v>
      </c>
      <c r="U8" s="89">
        <v>3.0201254417842942E-4</v>
      </c>
      <c r="V8" s="90">
        <v>0.3248993377628811</v>
      </c>
      <c r="W8" s="87">
        <v>2.628008191834885E-3</v>
      </c>
      <c r="X8" s="88">
        <v>0.33018913148444584</v>
      </c>
      <c r="Y8" s="89">
        <v>-4.5811890998466768E-4</v>
      </c>
      <c r="Z8" s="91">
        <v>0.32586091904079056</v>
      </c>
      <c r="AE8" s="2"/>
    </row>
    <row r="9" spans="1:31">
      <c r="A9" s="122"/>
      <c r="B9" s="93" t="s">
        <v>2</v>
      </c>
      <c r="C9" s="87">
        <v>0</v>
      </c>
      <c r="D9" s="88">
        <v>0</v>
      </c>
      <c r="E9" s="89">
        <v>0</v>
      </c>
      <c r="F9" s="90">
        <v>0</v>
      </c>
      <c r="G9" s="87">
        <v>0</v>
      </c>
      <c r="H9" s="88">
        <v>0</v>
      </c>
      <c r="I9" s="89">
        <v>0</v>
      </c>
      <c r="J9" s="90">
        <v>0</v>
      </c>
      <c r="K9" s="87">
        <v>0</v>
      </c>
      <c r="L9" s="88">
        <v>0</v>
      </c>
      <c r="M9" s="89">
        <v>0</v>
      </c>
      <c r="N9" s="90">
        <v>0</v>
      </c>
      <c r="O9" s="87">
        <v>0</v>
      </c>
      <c r="P9" s="88">
        <v>0</v>
      </c>
      <c r="Q9" s="89">
        <v>0</v>
      </c>
      <c r="R9" s="90">
        <v>0</v>
      </c>
      <c r="S9" s="87">
        <v>0</v>
      </c>
      <c r="T9" s="88">
        <v>0</v>
      </c>
      <c r="U9" s="89">
        <v>0</v>
      </c>
      <c r="V9" s="90">
        <v>0</v>
      </c>
      <c r="W9" s="87">
        <v>0</v>
      </c>
      <c r="X9" s="88">
        <v>0</v>
      </c>
      <c r="Y9" s="89">
        <v>0</v>
      </c>
      <c r="Z9" s="91">
        <v>0</v>
      </c>
      <c r="AE9" s="2"/>
    </row>
    <row r="10" spans="1:31">
      <c r="A10" s="122"/>
      <c r="B10" s="93" t="s">
        <v>3</v>
      </c>
      <c r="C10" s="87">
        <v>0</v>
      </c>
      <c r="D10" s="88">
        <v>0</v>
      </c>
      <c r="E10" s="89">
        <v>0</v>
      </c>
      <c r="F10" s="90">
        <v>0</v>
      </c>
      <c r="G10" s="87">
        <v>0</v>
      </c>
      <c r="H10" s="88">
        <v>0</v>
      </c>
      <c r="I10" s="89">
        <v>0</v>
      </c>
      <c r="J10" s="90">
        <v>0</v>
      </c>
      <c r="K10" s="87">
        <v>0</v>
      </c>
      <c r="L10" s="88">
        <v>0</v>
      </c>
      <c r="M10" s="89">
        <v>0</v>
      </c>
      <c r="N10" s="90">
        <v>0</v>
      </c>
      <c r="O10" s="87">
        <v>0</v>
      </c>
      <c r="P10" s="88">
        <v>0</v>
      </c>
      <c r="Q10" s="89">
        <v>0</v>
      </c>
      <c r="R10" s="90">
        <v>0</v>
      </c>
      <c r="S10" s="87">
        <v>0</v>
      </c>
      <c r="T10" s="88">
        <v>0</v>
      </c>
      <c r="U10" s="89">
        <v>0</v>
      </c>
      <c r="V10" s="90">
        <v>0</v>
      </c>
      <c r="W10" s="87">
        <v>0</v>
      </c>
      <c r="X10" s="88">
        <v>0</v>
      </c>
      <c r="Y10" s="89">
        <v>0</v>
      </c>
      <c r="Z10" s="91">
        <v>0</v>
      </c>
      <c r="AE10" s="2"/>
    </row>
    <row r="11" spans="1:31">
      <c r="A11" s="122"/>
      <c r="B11" s="93" t="s">
        <v>4</v>
      </c>
      <c r="C11" s="87">
        <v>0</v>
      </c>
      <c r="D11" s="88">
        <v>0</v>
      </c>
      <c r="E11" s="89">
        <v>0</v>
      </c>
      <c r="F11" s="90">
        <v>0</v>
      </c>
      <c r="G11" s="87">
        <v>0</v>
      </c>
      <c r="H11" s="88">
        <v>0</v>
      </c>
      <c r="I11" s="89">
        <v>0</v>
      </c>
      <c r="J11" s="90">
        <v>0</v>
      </c>
      <c r="K11" s="87">
        <v>0</v>
      </c>
      <c r="L11" s="88">
        <v>0</v>
      </c>
      <c r="M11" s="89">
        <v>0</v>
      </c>
      <c r="N11" s="90">
        <v>0</v>
      </c>
      <c r="O11" s="87">
        <v>0</v>
      </c>
      <c r="P11" s="88">
        <v>0</v>
      </c>
      <c r="Q11" s="89">
        <v>0</v>
      </c>
      <c r="R11" s="90">
        <v>0</v>
      </c>
      <c r="S11" s="87">
        <v>0</v>
      </c>
      <c r="T11" s="88">
        <v>0</v>
      </c>
      <c r="U11" s="89">
        <v>0</v>
      </c>
      <c r="V11" s="90">
        <v>0</v>
      </c>
      <c r="W11" s="87">
        <v>0</v>
      </c>
      <c r="X11" s="88">
        <v>0</v>
      </c>
      <c r="Y11" s="89">
        <v>0</v>
      </c>
      <c r="Z11" s="91">
        <v>0</v>
      </c>
      <c r="AE11" s="2"/>
    </row>
    <row r="12" spans="1:31">
      <c r="A12" s="122"/>
      <c r="B12" s="93" t="s">
        <v>5</v>
      </c>
      <c r="C12" s="87">
        <v>0</v>
      </c>
      <c r="D12" s="88">
        <v>0</v>
      </c>
      <c r="E12" s="89">
        <v>0</v>
      </c>
      <c r="F12" s="90">
        <v>0</v>
      </c>
      <c r="G12" s="87">
        <v>0</v>
      </c>
      <c r="H12" s="88">
        <v>0</v>
      </c>
      <c r="I12" s="89">
        <v>0</v>
      </c>
      <c r="J12" s="90">
        <v>0</v>
      </c>
      <c r="K12" s="87">
        <v>0</v>
      </c>
      <c r="L12" s="88">
        <v>0</v>
      </c>
      <c r="M12" s="89">
        <v>0</v>
      </c>
      <c r="N12" s="90">
        <v>0</v>
      </c>
      <c r="O12" s="87">
        <v>0</v>
      </c>
      <c r="P12" s="88">
        <v>0</v>
      </c>
      <c r="Q12" s="89">
        <v>0</v>
      </c>
      <c r="R12" s="90">
        <v>0</v>
      </c>
      <c r="S12" s="87">
        <v>0</v>
      </c>
      <c r="T12" s="88">
        <v>0</v>
      </c>
      <c r="U12" s="89">
        <v>0</v>
      </c>
      <c r="V12" s="90">
        <v>0</v>
      </c>
      <c r="W12" s="87">
        <v>0</v>
      </c>
      <c r="X12" s="88">
        <v>0</v>
      </c>
      <c r="Y12" s="89">
        <v>0</v>
      </c>
      <c r="Z12" s="91">
        <v>0</v>
      </c>
      <c r="AE12" s="2"/>
    </row>
    <row r="13" spans="1:31">
      <c r="A13" s="122"/>
      <c r="B13" s="93" t="s">
        <v>6</v>
      </c>
      <c r="C13" s="87">
        <v>0</v>
      </c>
      <c r="D13" s="88">
        <v>0</v>
      </c>
      <c r="E13" s="89">
        <v>7.898445451783846E-9</v>
      </c>
      <c r="F13" s="90">
        <v>0</v>
      </c>
      <c r="G13" s="87">
        <v>1.3690396741370681E-18</v>
      </c>
      <c r="H13" s="88">
        <v>2.1659731416434321E-14</v>
      </c>
      <c r="I13" s="89">
        <v>0</v>
      </c>
      <c r="J13" s="90">
        <v>0</v>
      </c>
      <c r="K13" s="87">
        <v>4.5521770810903692E-8</v>
      </c>
      <c r="L13" s="88">
        <v>0</v>
      </c>
      <c r="M13" s="89">
        <v>2.9285379616525786E-7</v>
      </c>
      <c r="N13" s="90">
        <v>0</v>
      </c>
      <c r="O13" s="87">
        <v>5.0810996838477792E-8</v>
      </c>
      <c r="P13" s="88">
        <v>0</v>
      </c>
      <c r="Q13" s="89">
        <v>0</v>
      </c>
      <c r="R13" s="90">
        <v>0</v>
      </c>
      <c r="S13" s="87">
        <v>1.6040967162348066E-6</v>
      </c>
      <c r="T13" s="88">
        <v>0</v>
      </c>
      <c r="U13" s="89">
        <v>6.0383382787522495E-6</v>
      </c>
      <c r="V13" s="90">
        <v>0</v>
      </c>
      <c r="W13" s="87">
        <v>3.6773247630751908E-6</v>
      </c>
      <c r="X13" s="88">
        <v>0</v>
      </c>
      <c r="Y13" s="89">
        <v>3.5738351559044763E-6</v>
      </c>
      <c r="Z13" s="91">
        <v>0</v>
      </c>
      <c r="AE13" s="2"/>
    </row>
    <row r="14" spans="1:31">
      <c r="A14" s="122"/>
      <c r="B14" s="93" t="s">
        <v>62</v>
      </c>
      <c r="C14" s="87">
        <v>8.4549990249881725E-3</v>
      </c>
      <c r="D14" s="88">
        <v>0.60884186240369798</v>
      </c>
      <c r="E14" s="89">
        <v>3.4886050702067008E-3</v>
      </c>
      <c r="F14" s="90">
        <v>0.60380355690181542</v>
      </c>
      <c r="G14" s="87">
        <v>-7.6372608457220157E-3</v>
      </c>
      <c r="H14" s="88">
        <v>0.59766039309787167</v>
      </c>
      <c r="I14" s="89">
        <v>7.1725628405791527E-3</v>
      </c>
      <c r="J14" s="90">
        <v>0.59989806674721369</v>
      </c>
      <c r="K14" s="87">
        <v>1.7173730877498208E-2</v>
      </c>
      <c r="L14" s="88">
        <v>0.59530482542297347</v>
      </c>
      <c r="M14" s="89">
        <v>2.2785610103150385E-2</v>
      </c>
      <c r="N14" s="90">
        <v>0.5983779738457522</v>
      </c>
      <c r="O14" s="87">
        <v>9.8546411541461498E-3</v>
      </c>
      <c r="P14" s="88">
        <v>0.60615650307194835</v>
      </c>
      <c r="Q14" s="89">
        <v>2.556427166787121E-3</v>
      </c>
      <c r="R14" s="90">
        <v>0.5999043050953845</v>
      </c>
      <c r="S14" s="87">
        <v>1.5469601091357066E-2</v>
      </c>
      <c r="T14" s="88">
        <v>0.60444543163550435</v>
      </c>
      <c r="U14" s="89">
        <v>8.1732864395749998E-3</v>
      </c>
      <c r="V14" s="90">
        <v>0.60282910282948365</v>
      </c>
      <c r="W14" s="87">
        <v>1.0904043777903822E-2</v>
      </c>
      <c r="X14" s="88">
        <v>0.60309913789713498</v>
      </c>
      <c r="Y14" s="89">
        <v>9.0045008533658159E-3</v>
      </c>
      <c r="Z14" s="91">
        <v>0.62020766153059181</v>
      </c>
      <c r="AE14" s="2"/>
    </row>
    <row r="15" spans="1:31">
      <c r="A15" s="122"/>
      <c r="B15" s="93" t="s">
        <v>7</v>
      </c>
      <c r="C15" s="87">
        <v>0</v>
      </c>
      <c r="D15" s="88">
        <v>0</v>
      </c>
      <c r="E15" s="89">
        <v>0</v>
      </c>
      <c r="F15" s="90">
        <v>0</v>
      </c>
      <c r="G15" s="87">
        <v>0</v>
      </c>
      <c r="H15" s="88">
        <v>0</v>
      </c>
      <c r="I15" s="89">
        <v>0</v>
      </c>
      <c r="J15" s="90">
        <v>0</v>
      </c>
      <c r="K15" s="87">
        <v>0</v>
      </c>
      <c r="L15" s="88">
        <v>0</v>
      </c>
      <c r="M15" s="89">
        <v>0</v>
      </c>
      <c r="N15" s="90">
        <v>0</v>
      </c>
      <c r="O15" s="87">
        <v>0</v>
      </c>
      <c r="P15" s="88">
        <v>0</v>
      </c>
      <c r="Q15" s="89">
        <v>0</v>
      </c>
      <c r="R15" s="90">
        <v>0</v>
      </c>
      <c r="S15" s="87">
        <v>0</v>
      </c>
      <c r="T15" s="88">
        <v>0</v>
      </c>
      <c r="U15" s="89">
        <v>0</v>
      </c>
      <c r="V15" s="90">
        <v>0</v>
      </c>
      <c r="W15" s="87">
        <v>0</v>
      </c>
      <c r="X15" s="88">
        <v>0</v>
      </c>
      <c r="Y15" s="89">
        <v>0</v>
      </c>
      <c r="Z15" s="91">
        <v>0</v>
      </c>
      <c r="AE15" s="2"/>
    </row>
    <row r="16" spans="1:31">
      <c r="A16" s="122"/>
      <c r="B16" s="93" t="s">
        <v>8</v>
      </c>
      <c r="C16" s="87">
        <v>0</v>
      </c>
      <c r="D16" s="88">
        <v>0</v>
      </c>
      <c r="E16" s="89">
        <v>0</v>
      </c>
      <c r="F16" s="90">
        <v>0</v>
      </c>
      <c r="G16" s="87">
        <v>0</v>
      </c>
      <c r="H16" s="88">
        <v>0</v>
      </c>
      <c r="I16" s="89">
        <v>0</v>
      </c>
      <c r="J16" s="90">
        <v>0</v>
      </c>
      <c r="K16" s="87">
        <v>0</v>
      </c>
      <c r="L16" s="88">
        <v>0</v>
      </c>
      <c r="M16" s="89">
        <v>0</v>
      </c>
      <c r="N16" s="90">
        <v>0</v>
      </c>
      <c r="O16" s="87">
        <v>0</v>
      </c>
      <c r="P16" s="88">
        <v>0</v>
      </c>
      <c r="Q16" s="89">
        <v>0</v>
      </c>
      <c r="R16" s="90">
        <v>0</v>
      </c>
      <c r="S16" s="87">
        <v>0</v>
      </c>
      <c r="T16" s="88">
        <v>0</v>
      </c>
      <c r="U16" s="89">
        <v>0</v>
      </c>
      <c r="V16" s="90">
        <v>0</v>
      </c>
      <c r="W16" s="87">
        <v>0</v>
      </c>
      <c r="X16" s="88">
        <v>0</v>
      </c>
      <c r="Y16" s="89">
        <v>0</v>
      </c>
      <c r="Z16" s="91">
        <v>0</v>
      </c>
      <c r="AE16" s="2"/>
    </row>
    <row r="17" spans="1:31">
      <c r="A17" s="122"/>
      <c r="B17" s="93" t="s">
        <v>9</v>
      </c>
      <c r="C17" s="87">
        <v>0</v>
      </c>
      <c r="D17" s="88">
        <v>0</v>
      </c>
      <c r="E17" s="89">
        <v>0</v>
      </c>
      <c r="F17" s="90">
        <v>0</v>
      </c>
      <c r="G17" s="87">
        <v>0</v>
      </c>
      <c r="H17" s="88">
        <v>0</v>
      </c>
      <c r="I17" s="89">
        <v>0</v>
      </c>
      <c r="J17" s="90">
        <v>0</v>
      </c>
      <c r="K17" s="87">
        <v>0</v>
      </c>
      <c r="L17" s="88">
        <v>0</v>
      </c>
      <c r="M17" s="89">
        <v>0</v>
      </c>
      <c r="N17" s="90">
        <v>0</v>
      </c>
      <c r="O17" s="87">
        <v>0</v>
      </c>
      <c r="P17" s="88">
        <v>0</v>
      </c>
      <c r="Q17" s="89">
        <v>0</v>
      </c>
      <c r="R17" s="90">
        <v>0</v>
      </c>
      <c r="S17" s="87">
        <v>0</v>
      </c>
      <c r="T17" s="88">
        <v>0</v>
      </c>
      <c r="U17" s="89">
        <v>0</v>
      </c>
      <c r="V17" s="90">
        <v>0</v>
      </c>
      <c r="W17" s="87">
        <v>0</v>
      </c>
      <c r="X17" s="88">
        <v>0</v>
      </c>
      <c r="Y17" s="89">
        <v>0</v>
      </c>
      <c r="Z17" s="91">
        <v>0</v>
      </c>
      <c r="AE17" s="2"/>
    </row>
    <row r="18" spans="1:31">
      <c r="A18" s="122"/>
      <c r="B18" s="93" t="s">
        <v>10</v>
      </c>
      <c r="C18" s="87">
        <v>3.5827019350021094E-3</v>
      </c>
      <c r="D18" s="88">
        <v>-5.8028079313135082E-4</v>
      </c>
      <c r="E18" s="89">
        <v>-1.9639605706825336E-3</v>
      </c>
      <c r="F18" s="90">
        <v>8.6553599166048567E-4</v>
      </c>
      <c r="G18" s="87">
        <v>-8.5000088951992236E-3</v>
      </c>
      <c r="H18" s="88">
        <v>-3.7465658648529613E-3</v>
      </c>
      <c r="I18" s="89">
        <v>-8.2620544897818058E-4</v>
      </c>
      <c r="J18" s="90">
        <v>-7.1444369272297319E-3</v>
      </c>
      <c r="K18" s="87">
        <v>6.8268350257352081E-3</v>
      </c>
      <c r="L18" s="88">
        <v>2.0687683797605645E-3</v>
      </c>
      <c r="M18" s="89">
        <v>5.2910292417641383E-3</v>
      </c>
      <c r="N18" s="90">
        <v>3.1486640892816656E-3</v>
      </c>
      <c r="O18" s="87">
        <v>1.8868876018206938E-3</v>
      </c>
      <c r="P18" s="88">
        <v>7.0827998682063955E-3</v>
      </c>
      <c r="Q18" s="89">
        <v>1.3928850689190991E-3</v>
      </c>
      <c r="R18" s="90">
        <v>7.630255613080548E-3</v>
      </c>
      <c r="S18" s="87">
        <v>3.0060513382504771E-3</v>
      </c>
      <c r="T18" s="88">
        <v>6.7713801662150439E-3</v>
      </c>
      <c r="U18" s="89">
        <v>3.0638662375961517E-3</v>
      </c>
      <c r="V18" s="90">
        <v>6.5710375262164663E-3</v>
      </c>
      <c r="W18" s="87">
        <v>-2.7170948464826751E-4</v>
      </c>
      <c r="X18" s="88">
        <v>3.2102773795403042E-3</v>
      </c>
      <c r="Y18" s="89">
        <v>6.9059306770688522E-4</v>
      </c>
      <c r="Z18" s="91">
        <v>2.7676874715358698E-3</v>
      </c>
      <c r="AE18" s="2"/>
    </row>
    <row r="19" spans="1:31">
      <c r="A19" s="122"/>
      <c r="B19" s="93" t="s">
        <v>11</v>
      </c>
      <c r="C19" s="87">
        <v>0</v>
      </c>
      <c r="D19" s="88">
        <v>0</v>
      </c>
      <c r="E19" s="89">
        <v>0</v>
      </c>
      <c r="F19" s="90">
        <v>0</v>
      </c>
      <c r="G19" s="87">
        <v>0</v>
      </c>
      <c r="H19" s="88">
        <v>0</v>
      </c>
      <c r="I19" s="89">
        <v>0</v>
      </c>
      <c r="J19" s="90">
        <v>0</v>
      </c>
      <c r="K19" s="87">
        <v>0</v>
      </c>
      <c r="L19" s="88">
        <v>0</v>
      </c>
      <c r="M19" s="89">
        <v>0</v>
      </c>
      <c r="N19" s="90">
        <v>0</v>
      </c>
      <c r="O19" s="87">
        <v>0</v>
      </c>
      <c r="P19" s="88">
        <v>0</v>
      </c>
      <c r="Q19" s="89">
        <v>0</v>
      </c>
      <c r="R19" s="90">
        <v>0</v>
      </c>
      <c r="S19" s="87">
        <v>0</v>
      </c>
      <c r="T19" s="88">
        <v>0</v>
      </c>
      <c r="U19" s="89">
        <v>0</v>
      </c>
      <c r="V19" s="90">
        <v>0</v>
      </c>
      <c r="W19" s="87">
        <v>0</v>
      </c>
      <c r="X19" s="88">
        <v>0</v>
      </c>
      <c r="Y19" s="89">
        <v>0</v>
      </c>
      <c r="Z19" s="91">
        <v>0</v>
      </c>
    </row>
    <row r="20" spans="1:31">
      <c r="A20" s="122"/>
      <c r="B20" s="93" t="s">
        <v>12</v>
      </c>
      <c r="C20" s="87">
        <v>0</v>
      </c>
      <c r="D20" s="88">
        <v>0</v>
      </c>
      <c r="E20" s="89">
        <v>0</v>
      </c>
      <c r="F20" s="90">
        <v>0</v>
      </c>
      <c r="G20" s="87">
        <v>0</v>
      </c>
      <c r="H20" s="88">
        <v>0</v>
      </c>
      <c r="I20" s="89">
        <v>0</v>
      </c>
      <c r="J20" s="90">
        <v>0</v>
      </c>
      <c r="K20" s="87">
        <v>0</v>
      </c>
      <c r="L20" s="88">
        <v>0</v>
      </c>
      <c r="M20" s="89">
        <v>0</v>
      </c>
      <c r="N20" s="90">
        <v>0</v>
      </c>
      <c r="O20" s="87">
        <v>0</v>
      </c>
      <c r="P20" s="88">
        <v>0</v>
      </c>
      <c r="Q20" s="89">
        <v>0</v>
      </c>
      <c r="R20" s="90">
        <v>0</v>
      </c>
      <c r="S20" s="87">
        <v>0</v>
      </c>
      <c r="T20" s="88">
        <v>0</v>
      </c>
      <c r="U20" s="89">
        <v>0</v>
      </c>
      <c r="V20" s="90">
        <v>0</v>
      </c>
      <c r="W20" s="87">
        <v>0</v>
      </c>
      <c r="X20" s="88">
        <v>0</v>
      </c>
      <c r="Y20" s="89">
        <v>0</v>
      </c>
      <c r="Z20" s="91">
        <v>0</v>
      </c>
    </row>
    <row r="21" spans="1:31">
      <c r="A21" s="122"/>
      <c r="B21" s="93" t="s">
        <v>13</v>
      </c>
      <c r="C21" s="87">
        <v>3.0605097215901819E-8</v>
      </c>
      <c r="D21" s="88">
        <v>4.4027503280950138E-4</v>
      </c>
      <c r="E21" s="89">
        <v>2.3124234134191875E-6</v>
      </c>
      <c r="F21" s="90">
        <v>4.1334039747815667E-4</v>
      </c>
      <c r="G21" s="87">
        <v>-6.2320779686844354E-7</v>
      </c>
      <c r="H21" s="88">
        <v>3.9968023444990054E-4</v>
      </c>
      <c r="I21" s="89">
        <v>2.3912670617587727E-6</v>
      </c>
      <c r="J21" s="90">
        <v>3.8965477261849421E-4</v>
      </c>
      <c r="K21" s="87">
        <v>2.3382323578784971E-6</v>
      </c>
      <c r="L21" s="88">
        <v>3.5216534692231915E-4</v>
      </c>
      <c r="M21" s="89">
        <v>2.008400126685347E-6</v>
      </c>
      <c r="N21" s="90">
        <v>3.9747683950209481E-4</v>
      </c>
      <c r="O21" s="87">
        <v>1.9922906036942179E-6</v>
      </c>
      <c r="P21" s="88">
        <v>3.9451677471506952E-4</v>
      </c>
      <c r="Q21" s="89">
        <v>2.4500720887229477E-6</v>
      </c>
      <c r="R21" s="90">
        <v>4.2690443731352012E-4</v>
      </c>
      <c r="S21" s="87">
        <v>3.1137646815873193E-6</v>
      </c>
      <c r="T21" s="88">
        <v>4.8074047819966829E-4</v>
      </c>
      <c r="U21" s="89">
        <v>5.022807127963022E-7</v>
      </c>
      <c r="V21" s="90">
        <v>4.9909956832058084E-4</v>
      </c>
      <c r="W21" s="87">
        <v>1.7016980754558997E-6</v>
      </c>
      <c r="X21" s="88">
        <v>4.9359212947582465E-4</v>
      </c>
      <c r="Y21" s="89">
        <v>1.6999775011812873E-6</v>
      </c>
      <c r="Z21" s="91">
        <v>4.8050508268454394E-4</v>
      </c>
    </row>
    <row r="22" spans="1:31">
      <c r="A22" s="122"/>
      <c r="B22" s="93" t="s">
        <v>14</v>
      </c>
      <c r="C22" s="87">
        <v>0</v>
      </c>
      <c r="D22" s="88">
        <v>0</v>
      </c>
      <c r="E22" s="89">
        <v>0</v>
      </c>
      <c r="F22" s="90">
        <v>0</v>
      </c>
      <c r="G22" s="87">
        <v>0</v>
      </c>
      <c r="H22" s="88">
        <v>0</v>
      </c>
      <c r="I22" s="89">
        <v>0</v>
      </c>
      <c r="J22" s="90">
        <v>0</v>
      </c>
      <c r="K22" s="87">
        <v>0</v>
      </c>
      <c r="L22" s="88">
        <v>0</v>
      </c>
      <c r="M22" s="89">
        <v>0</v>
      </c>
      <c r="N22" s="90">
        <v>0</v>
      </c>
      <c r="O22" s="87">
        <v>0</v>
      </c>
      <c r="P22" s="88">
        <v>0</v>
      </c>
      <c r="Q22" s="89">
        <v>0</v>
      </c>
      <c r="R22" s="90">
        <v>0</v>
      </c>
      <c r="S22" s="87">
        <v>0</v>
      </c>
      <c r="T22" s="88">
        <v>0</v>
      </c>
      <c r="U22" s="89">
        <v>0</v>
      </c>
      <c r="V22" s="90">
        <v>0</v>
      </c>
      <c r="W22" s="87">
        <v>0</v>
      </c>
      <c r="X22" s="88">
        <v>0</v>
      </c>
      <c r="Y22" s="89">
        <v>0</v>
      </c>
      <c r="Z22" s="91">
        <v>0</v>
      </c>
    </row>
    <row r="23" spans="1:31">
      <c r="A23" s="122"/>
      <c r="B23" s="93" t="s">
        <v>15</v>
      </c>
      <c r="C23" s="87">
        <v>0</v>
      </c>
      <c r="D23" s="88">
        <v>0</v>
      </c>
      <c r="E23" s="89">
        <v>0</v>
      </c>
      <c r="F23" s="90">
        <v>0</v>
      </c>
      <c r="G23" s="87">
        <v>0</v>
      </c>
      <c r="H23" s="88">
        <v>0</v>
      </c>
      <c r="I23" s="89">
        <v>0</v>
      </c>
      <c r="J23" s="90">
        <v>0</v>
      </c>
      <c r="K23" s="87">
        <v>0</v>
      </c>
      <c r="L23" s="88">
        <v>0</v>
      </c>
      <c r="M23" s="89">
        <v>0</v>
      </c>
      <c r="N23" s="90">
        <v>0</v>
      </c>
      <c r="O23" s="87">
        <v>0</v>
      </c>
      <c r="P23" s="88">
        <v>0</v>
      </c>
      <c r="Q23" s="89">
        <v>0</v>
      </c>
      <c r="R23" s="90">
        <v>0</v>
      </c>
      <c r="S23" s="87">
        <v>0</v>
      </c>
      <c r="T23" s="88">
        <v>0</v>
      </c>
      <c r="U23" s="89">
        <v>0</v>
      </c>
      <c r="V23" s="90">
        <v>0</v>
      </c>
      <c r="W23" s="87">
        <v>0</v>
      </c>
      <c r="X23" s="88">
        <v>0</v>
      </c>
      <c r="Y23" s="89">
        <v>0</v>
      </c>
      <c r="Z23" s="91">
        <v>0</v>
      </c>
    </row>
    <row r="24" spans="1:31">
      <c r="A24" s="122"/>
      <c r="B24" s="93" t="s">
        <v>16</v>
      </c>
      <c r="C24" s="87">
        <v>0</v>
      </c>
      <c r="D24" s="88">
        <v>0</v>
      </c>
      <c r="E24" s="89">
        <v>0</v>
      </c>
      <c r="F24" s="90">
        <v>0</v>
      </c>
      <c r="G24" s="87">
        <v>0</v>
      </c>
      <c r="H24" s="88">
        <v>0</v>
      </c>
      <c r="I24" s="89">
        <v>0</v>
      </c>
      <c r="J24" s="90">
        <v>0</v>
      </c>
      <c r="K24" s="87">
        <v>0</v>
      </c>
      <c r="L24" s="88">
        <v>0</v>
      </c>
      <c r="M24" s="89">
        <v>0</v>
      </c>
      <c r="N24" s="90">
        <v>0</v>
      </c>
      <c r="O24" s="87">
        <v>0</v>
      </c>
      <c r="P24" s="88">
        <v>0</v>
      </c>
      <c r="Q24" s="89">
        <v>0</v>
      </c>
      <c r="R24" s="90">
        <v>0</v>
      </c>
      <c r="S24" s="87">
        <v>0</v>
      </c>
      <c r="T24" s="88">
        <v>0</v>
      </c>
      <c r="U24" s="89">
        <v>0</v>
      </c>
      <c r="V24" s="90">
        <v>0</v>
      </c>
      <c r="W24" s="87">
        <v>0</v>
      </c>
      <c r="X24" s="88">
        <v>0</v>
      </c>
      <c r="Y24" s="89">
        <v>0</v>
      </c>
      <c r="Z24" s="91">
        <v>0</v>
      </c>
    </row>
    <row r="25" spans="1:31">
      <c r="A25" s="122"/>
      <c r="B25" s="93" t="s">
        <v>17</v>
      </c>
      <c r="C25" s="87">
        <v>0</v>
      </c>
      <c r="D25" s="88">
        <v>0</v>
      </c>
      <c r="E25" s="89">
        <v>0</v>
      </c>
      <c r="F25" s="90">
        <v>0</v>
      </c>
      <c r="G25" s="87">
        <v>0</v>
      </c>
      <c r="H25" s="88">
        <v>0</v>
      </c>
      <c r="I25" s="89">
        <v>0</v>
      </c>
      <c r="J25" s="90">
        <v>0</v>
      </c>
      <c r="K25" s="87">
        <v>0</v>
      </c>
      <c r="L25" s="88">
        <v>0</v>
      </c>
      <c r="M25" s="89">
        <v>0</v>
      </c>
      <c r="N25" s="90">
        <v>0</v>
      </c>
      <c r="O25" s="87">
        <v>0</v>
      </c>
      <c r="P25" s="88">
        <v>0</v>
      </c>
      <c r="Q25" s="89">
        <v>0</v>
      </c>
      <c r="R25" s="90">
        <v>0</v>
      </c>
      <c r="S25" s="87">
        <v>0</v>
      </c>
      <c r="T25" s="88">
        <v>0</v>
      </c>
      <c r="U25" s="89">
        <v>0</v>
      </c>
      <c r="V25" s="90">
        <v>0</v>
      </c>
      <c r="W25" s="87">
        <v>0</v>
      </c>
      <c r="X25" s="88">
        <v>0</v>
      </c>
      <c r="Y25" s="89">
        <v>0</v>
      </c>
      <c r="Z25" s="91">
        <v>0</v>
      </c>
    </row>
    <row r="26" spans="1:31">
      <c r="A26" s="122"/>
      <c r="B26" s="94" t="s">
        <v>18</v>
      </c>
      <c r="C26" s="95">
        <v>1.2162621300000001E-2</v>
      </c>
      <c r="D26" s="96">
        <v>1</v>
      </c>
      <c r="E26" s="97">
        <v>5.1638735899999996E-3</v>
      </c>
      <c r="F26" s="98">
        <v>1</v>
      </c>
      <c r="G26" s="95">
        <v>-1.3715984590000001E-2</v>
      </c>
      <c r="H26" s="96">
        <v>1.0000000000000002</v>
      </c>
      <c r="I26" s="97">
        <v>9.3462610399999996E-3</v>
      </c>
      <c r="J26" s="98">
        <v>1</v>
      </c>
      <c r="K26" s="95">
        <v>2.623347199E-2</v>
      </c>
      <c r="L26" s="96">
        <v>1.0000000000000002</v>
      </c>
      <c r="M26" s="97">
        <v>2.974442788E-2</v>
      </c>
      <c r="N26" s="98">
        <v>1.0000000000000002</v>
      </c>
      <c r="O26" s="95">
        <v>1.340101254E-2</v>
      </c>
      <c r="P26" s="96">
        <v>0.99999999999999989</v>
      </c>
      <c r="Q26" s="97">
        <v>6.9293984599999997E-3</v>
      </c>
      <c r="R26" s="98">
        <v>0.99999999999999978</v>
      </c>
      <c r="S26" s="95">
        <v>2.212555351E-2</v>
      </c>
      <c r="T26" s="96">
        <v>1.0000000000000002</v>
      </c>
      <c r="U26" s="97">
        <v>1.138806406E-2</v>
      </c>
      <c r="V26" s="98">
        <v>1.0000000000000002</v>
      </c>
      <c r="W26" s="95">
        <v>1.3451482149999999E-2</v>
      </c>
      <c r="X26" s="96">
        <v>0.99999999999999978</v>
      </c>
      <c r="Y26" s="97">
        <v>9.3243999200000004E-3</v>
      </c>
      <c r="Z26" s="99">
        <v>0.99999999999999989</v>
      </c>
    </row>
    <row r="27" spans="1:31">
      <c r="A27" s="122"/>
      <c r="B27" s="100" t="s">
        <v>24</v>
      </c>
      <c r="C27" s="101">
        <v>27120.095560000002</v>
      </c>
      <c r="D27" s="125"/>
      <c r="E27" s="102">
        <v>11672.437159999996</v>
      </c>
      <c r="F27" s="125"/>
      <c r="G27" s="101">
        <v>-31172.584909999998</v>
      </c>
      <c r="H27" s="125"/>
      <c r="I27" s="102">
        <v>21087.369960000011</v>
      </c>
      <c r="J27" s="125"/>
      <c r="K27" s="101">
        <v>59661.977519999993</v>
      </c>
      <c r="L27" s="125"/>
      <c r="M27" s="102">
        <v>69632.691330000001</v>
      </c>
      <c r="N27" s="125"/>
      <c r="O27" s="101">
        <v>32386.208379999996</v>
      </c>
      <c r="P27" s="125"/>
      <c r="Q27" s="102">
        <v>17100.468780000007</v>
      </c>
      <c r="R27" s="125"/>
      <c r="S27" s="101">
        <v>55212.421090000003</v>
      </c>
      <c r="T27" s="125"/>
      <c r="U27" s="102">
        <v>29113.406269999996</v>
      </c>
      <c r="V27" s="125"/>
      <c r="W27" s="101">
        <v>34880.035619999988</v>
      </c>
      <c r="X27" s="125"/>
      <c r="Y27" s="102">
        <v>24586.267559999997</v>
      </c>
      <c r="Z27" s="103"/>
    </row>
    <row r="28" spans="1:31">
      <c r="A28" s="122"/>
      <c r="B28" s="126"/>
      <c r="C28" s="127"/>
      <c r="D28" s="127"/>
      <c r="E28" s="127"/>
      <c r="F28" s="127"/>
      <c r="G28" s="127"/>
      <c r="H28" s="127"/>
      <c r="I28" s="127"/>
      <c r="J28" s="127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04"/>
    </row>
    <row r="29" spans="1:31">
      <c r="A29" s="122"/>
      <c r="B29" s="86" t="s">
        <v>19</v>
      </c>
      <c r="C29" s="105">
        <v>7.5730556976098757E-3</v>
      </c>
      <c r="D29" s="106">
        <v>0.7461522202169879</v>
      </c>
      <c r="E29" s="107">
        <v>7.9009247997655404E-3</v>
      </c>
      <c r="F29" s="108">
        <v>0.7450496648848417</v>
      </c>
      <c r="G29" s="105">
        <v>-1.0814773235716673E-2</v>
      </c>
      <c r="H29" s="106">
        <v>0.74862819808136472</v>
      </c>
      <c r="I29" s="107">
        <v>1.2745822993037281E-2</v>
      </c>
      <c r="J29" s="108">
        <v>0.74734122108550616</v>
      </c>
      <c r="K29" s="105">
        <v>1.8019088580796452E-2</v>
      </c>
      <c r="L29" s="106">
        <v>0.74294789532960648</v>
      </c>
      <c r="M29" s="107">
        <v>2.6548867319708524E-2</v>
      </c>
      <c r="N29" s="108">
        <v>0.74450375905469057</v>
      </c>
      <c r="O29" s="105">
        <v>7.5181472689817347E-3</v>
      </c>
      <c r="P29" s="106">
        <v>0.74887164072078549</v>
      </c>
      <c r="Q29" s="107">
        <v>5.5566290227500774E-3</v>
      </c>
      <c r="R29" s="108">
        <v>0.74812802205544793</v>
      </c>
      <c r="S29" s="105">
        <v>1.3528763409776394E-2</v>
      </c>
      <c r="T29" s="106">
        <v>0.74281896317956697</v>
      </c>
      <c r="U29" s="107">
        <v>9.0147697374268164E-3</v>
      </c>
      <c r="V29" s="108">
        <v>0.74347801741285557</v>
      </c>
      <c r="W29" s="105">
        <v>1.1930166213494848E-2</v>
      </c>
      <c r="X29" s="106">
        <v>0.75279199020975562</v>
      </c>
      <c r="Y29" s="107">
        <v>1.223968055370008E-2</v>
      </c>
      <c r="Z29" s="109">
        <v>0.74808331097355729</v>
      </c>
    </row>
    <row r="30" spans="1:31">
      <c r="A30" s="122"/>
      <c r="B30" s="93" t="s">
        <v>20</v>
      </c>
      <c r="C30" s="87">
        <v>4.5895656023901355E-3</v>
      </c>
      <c r="D30" s="88">
        <v>0.25384777978301204</v>
      </c>
      <c r="E30" s="89">
        <v>-2.7370512097655278E-3</v>
      </c>
      <c r="F30" s="90">
        <v>0.25495033511515836</v>
      </c>
      <c r="G30" s="87">
        <v>-2.9012113542835893E-3</v>
      </c>
      <c r="H30" s="88">
        <v>0.25137180191863512</v>
      </c>
      <c r="I30" s="89">
        <v>-3.3995619530372838E-3</v>
      </c>
      <c r="J30" s="90">
        <v>0.2526587789144939</v>
      </c>
      <c r="K30" s="87">
        <v>8.2143834092035448E-3</v>
      </c>
      <c r="L30" s="88">
        <v>0.25705210467039347</v>
      </c>
      <c r="M30" s="89">
        <v>3.1955605602914752E-3</v>
      </c>
      <c r="N30" s="90">
        <v>0.25549624094530959</v>
      </c>
      <c r="O30" s="87">
        <v>5.8828652710182601E-3</v>
      </c>
      <c r="P30" s="88">
        <v>0.25112835927921445</v>
      </c>
      <c r="Q30" s="89">
        <v>1.3727694372499234E-3</v>
      </c>
      <c r="R30" s="90">
        <v>0.25187197794455207</v>
      </c>
      <c r="S30" s="87">
        <v>8.5967901002236089E-3</v>
      </c>
      <c r="T30" s="88">
        <v>0.25718103682043308</v>
      </c>
      <c r="U30" s="89">
        <v>2.3732943225731754E-3</v>
      </c>
      <c r="V30" s="90">
        <v>0.25652198258714448</v>
      </c>
      <c r="W30" s="87">
        <v>1.5213159365051485E-3</v>
      </c>
      <c r="X30" s="88">
        <v>0.24720800979024435</v>
      </c>
      <c r="Y30" s="89">
        <v>-2.9152806337000813E-3</v>
      </c>
      <c r="Z30" s="91">
        <v>0.25191668902644271</v>
      </c>
    </row>
    <row r="31" spans="1:31">
      <c r="A31" s="122"/>
      <c r="B31" s="94" t="s">
        <v>18</v>
      </c>
      <c r="C31" s="95">
        <v>1.2162621300000001E-2</v>
      </c>
      <c r="D31" s="96">
        <v>1</v>
      </c>
      <c r="E31" s="97">
        <v>5.1638735899999996E-3</v>
      </c>
      <c r="F31" s="98">
        <v>1</v>
      </c>
      <c r="G31" s="95">
        <v>-1.3715984590000001E-2</v>
      </c>
      <c r="H31" s="96">
        <v>1.0000000000000002</v>
      </c>
      <c r="I31" s="97">
        <v>9.3462610399999996E-3</v>
      </c>
      <c r="J31" s="98">
        <v>1</v>
      </c>
      <c r="K31" s="95">
        <v>2.623347199E-2</v>
      </c>
      <c r="L31" s="96">
        <v>1.0000000000000002</v>
      </c>
      <c r="M31" s="97">
        <v>2.974442788E-2</v>
      </c>
      <c r="N31" s="98">
        <v>1.0000000000000002</v>
      </c>
      <c r="O31" s="95">
        <v>1.340101254E-2</v>
      </c>
      <c r="P31" s="96">
        <v>0.99999999999999989</v>
      </c>
      <c r="Q31" s="97">
        <v>6.9293984599999997E-3</v>
      </c>
      <c r="R31" s="98">
        <v>0.99999999999999978</v>
      </c>
      <c r="S31" s="95">
        <v>2.212555351E-2</v>
      </c>
      <c r="T31" s="96">
        <v>1.0000000000000002</v>
      </c>
      <c r="U31" s="97">
        <v>1.138806406E-2</v>
      </c>
      <c r="V31" s="98">
        <v>1.0000000000000002</v>
      </c>
      <c r="W31" s="95">
        <v>1.3451482149999999E-2</v>
      </c>
      <c r="X31" s="96">
        <v>0.99999999999999978</v>
      </c>
      <c r="Y31" s="97">
        <v>9.3243999200000004E-3</v>
      </c>
      <c r="Z31" s="99">
        <v>0.99999999999999989</v>
      </c>
    </row>
    <row r="32" spans="1:31">
      <c r="A32" s="122"/>
      <c r="B32" s="126"/>
      <c r="C32" s="127"/>
      <c r="D32" s="127"/>
      <c r="E32" s="127"/>
      <c r="F32" s="127"/>
      <c r="G32" s="127"/>
      <c r="H32" s="127"/>
      <c r="I32" s="127"/>
      <c r="J32" s="127"/>
      <c r="K32" s="127"/>
      <c r="L32" s="127"/>
      <c r="M32" s="127"/>
      <c r="N32" s="127"/>
      <c r="O32" s="127"/>
      <c r="P32" s="127"/>
      <c r="Q32" s="127"/>
      <c r="R32" s="127"/>
      <c r="S32" s="127"/>
      <c r="T32" s="127"/>
      <c r="U32" s="127"/>
      <c r="V32" s="127"/>
      <c r="W32" s="127"/>
      <c r="X32" s="127"/>
      <c r="Y32" s="127"/>
      <c r="Z32" s="104"/>
    </row>
    <row r="33" spans="1:26">
      <c r="A33" s="122"/>
      <c r="B33" s="86" t="s">
        <v>21</v>
      </c>
      <c r="C33" s="105">
        <v>1.0562325921470359E-2</v>
      </c>
      <c r="D33" s="106">
        <v>0.73349228374160025</v>
      </c>
      <c r="E33" s="107">
        <v>3.1875308344523575E-3</v>
      </c>
      <c r="F33" s="108">
        <v>0.73050255641113016</v>
      </c>
      <c r="G33" s="105">
        <v>-1.1839554927952396E-2</v>
      </c>
      <c r="H33" s="106">
        <v>0.73092427980273289</v>
      </c>
      <c r="I33" s="107">
        <v>6.7401057474191107E-3</v>
      </c>
      <c r="J33" s="108">
        <v>0.73194832534526344</v>
      </c>
      <c r="K33" s="105">
        <v>2.0241000875550905E-2</v>
      </c>
      <c r="L33" s="106">
        <v>0.73639383479076181</v>
      </c>
      <c r="M33" s="107">
        <v>2.7744310566259721E-2</v>
      </c>
      <c r="N33" s="108">
        <v>0.73424802374833165</v>
      </c>
      <c r="O33" s="105">
        <v>1.1202690950642873E-2</v>
      </c>
      <c r="P33" s="106">
        <v>0.72958464807541057</v>
      </c>
      <c r="Q33" s="107">
        <v>4.5927708907213009E-3</v>
      </c>
      <c r="R33" s="108">
        <v>0.72879671141290625</v>
      </c>
      <c r="S33" s="105">
        <v>1.8737510474825459E-2</v>
      </c>
      <c r="T33" s="106">
        <v>0.72811279823879871</v>
      </c>
      <c r="U33" s="107">
        <v>1.0368358351921722E-2</v>
      </c>
      <c r="V33" s="108">
        <v>0.72982114148391453</v>
      </c>
      <c r="W33" s="105">
        <v>1.1259556547322223E-2</v>
      </c>
      <c r="X33" s="106">
        <v>0.72923868196493913</v>
      </c>
      <c r="Y33" s="107">
        <v>8.6438129813935886E-3</v>
      </c>
      <c r="Z33" s="109">
        <v>0.73311485804610199</v>
      </c>
    </row>
    <row r="34" spans="1:26">
      <c r="A34" s="122"/>
      <c r="B34" s="93" t="s">
        <v>22</v>
      </c>
      <c r="C34" s="87">
        <v>1.6002953785296402E-3</v>
      </c>
      <c r="D34" s="88">
        <v>0.26650771625839975</v>
      </c>
      <c r="E34" s="89">
        <v>1.9763427555476464E-3</v>
      </c>
      <c r="F34" s="90">
        <v>0.26949744358886973</v>
      </c>
      <c r="G34" s="87">
        <v>-1.8764296620478725E-3</v>
      </c>
      <c r="H34" s="88">
        <v>0.26907572019726705</v>
      </c>
      <c r="I34" s="89">
        <v>2.6061552925808937E-3</v>
      </c>
      <c r="J34" s="90">
        <v>0.26805167465473667</v>
      </c>
      <c r="K34" s="87">
        <v>5.9924711144490857E-3</v>
      </c>
      <c r="L34" s="88">
        <v>0.26360616520923824</v>
      </c>
      <c r="M34" s="89">
        <v>2.0001173137402808E-3</v>
      </c>
      <c r="N34" s="90">
        <v>0.26575197625166835</v>
      </c>
      <c r="O34" s="87">
        <v>2.198321589357133E-3</v>
      </c>
      <c r="P34" s="88">
        <v>0.27041535192458932</v>
      </c>
      <c r="Q34" s="89">
        <v>2.3366275692787075E-3</v>
      </c>
      <c r="R34" s="90">
        <v>0.27120328858709369</v>
      </c>
      <c r="S34" s="87">
        <v>3.3880430351745441E-3</v>
      </c>
      <c r="T34" s="88">
        <v>0.27188720176120124</v>
      </c>
      <c r="U34" s="89">
        <v>1.0197057080782684E-3</v>
      </c>
      <c r="V34" s="90">
        <v>0.27017885851608547</v>
      </c>
      <c r="W34" s="87">
        <v>2.1919256026777735E-3</v>
      </c>
      <c r="X34" s="88">
        <v>0.27076131803506082</v>
      </c>
      <c r="Y34" s="89">
        <v>6.8058693860641845E-4</v>
      </c>
      <c r="Z34" s="91">
        <v>0.26688514195389801</v>
      </c>
    </row>
    <row r="35" spans="1:26">
      <c r="A35" s="122"/>
      <c r="B35" s="110" t="s">
        <v>18</v>
      </c>
      <c r="C35" s="111">
        <v>1.2162621300000001E-2</v>
      </c>
      <c r="D35" s="112">
        <v>1</v>
      </c>
      <c r="E35" s="113">
        <v>5.1638735899999996E-3</v>
      </c>
      <c r="F35" s="114">
        <v>1</v>
      </c>
      <c r="G35" s="111">
        <v>-1.3715984590000001E-2</v>
      </c>
      <c r="H35" s="112">
        <v>1.0000000000000002</v>
      </c>
      <c r="I35" s="113">
        <v>9.3462610399999996E-3</v>
      </c>
      <c r="J35" s="114">
        <v>1</v>
      </c>
      <c r="K35" s="111">
        <v>2.623347199E-2</v>
      </c>
      <c r="L35" s="112">
        <v>1.0000000000000002</v>
      </c>
      <c r="M35" s="113">
        <v>2.974442788E-2</v>
      </c>
      <c r="N35" s="114">
        <v>1.0000000000000002</v>
      </c>
      <c r="O35" s="111">
        <v>1.340101254E-2</v>
      </c>
      <c r="P35" s="112">
        <v>0.99999999999999989</v>
      </c>
      <c r="Q35" s="113">
        <v>6.9293984599999997E-3</v>
      </c>
      <c r="R35" s="114">
        <v>0.99999999999999978</v>
      </c>
      <c r="S35" s="111">
        <v>2.212555351E-2</v>
      </c>
      <c r="T35" s="112">
        <v>1.0000000000000002</v>
      </c>
      <c r="U35" s="113">
        <v>1.138806406E-2</v>
      </c>
      <c r="V35" s="114">
        <v>1.0000000000000002</v>
      </c>
      <c r="W35" s="111">
        <v>1.3451482149999999E-2</v>
      </c>
      <c r="X35" s="112">
        <v>0.99999999999999978</v>
      </c>
      <c r="Y35" s="113">
        <v>9.3243999200000004E-3</v>
      </c>
      <c r="Z35" s="11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2"/>
      <c r="B37" s="80" t="s">
        <v>23</v>
      </c>
      <c r="C37" s="81" t="s">
        <v>54</v>
      </c>
      <c r="D37" s="82" t="s">
        <v>55</v>
      </c>
      <c r="E37" s="83" t="s">
        <v>56</v>
      </c>
      <c r="F37" s="84" t="s">
        <v>57</v>
      </c>
      <c r="G37" s="81" t="s">
        <v>58</v>
      </c>
      <c r="H37" s="82" t="s">
        <v>59</v>
      </c>
      <c r="I37" s="83" t="s">
        <v>60</v>
      </c>
      <c r="J37" s="85" t="s">
        <v>61</v>
      </c>
      <c r="K37" s="128" t="s">
        <v>1417</v>
      </c>
      <c r="L37" s="128" t="s">
        <v>1417</v>
      </c>
      <c r="M37" s="128" t="s">
        <v>1417</v>
      </c>
      <c r="N37" s="128" t="s">
        <v>1417</v>
      </c>
      <c r="O37" s="128" t="s">
        <v>1417</v>
      </c>
      <c r="P37" s="128" t="s">
        <v>1417</v>
      </c>
      <c r="Q37" s="128" t="s">
        <v>1417</v>
      </c>
      <c r="R37" s="128" t="s">
        <v>1417</v>
      </c>
      <c r="S37" s="128" t="s">
        <v>1417</v>
      </c>
      <c r="T37" s="128" t="s">
        <v>1417</v>
      </c>
      <c r="U37" s="128" t="s">
        <v>1417</v>
      </c>
      <c r="V37" s="128" t="s">
        <v>1417</v>
      </c>
      <c r="W37" s="128" t="s">
        <v>1417</v>
      </c>
      <c r="X37" s="128" t="s">
        <v>1417</v>
      </c>
      <c r="Y37" s="128" t="s">
        <v>1417</v>
      </c>
      <c r="Z37" s="33"/>
    </row>
    <row r="38" spans="1:26">
      <c r="A38" s="122"/>
      <c r="B38" s="86" t="s">
        <v>1</v>
      </c>
      <c r="C38" s="87">
        <v>1.4406782444664594E-3</v>
      </c>
      <c r="D38" s="88">
        <v>6.2439468002369596E-2</v>
      </c>
      <c r="E38" s="89">
        <v>8.0332152429139748E-5</v>
      </c>
      <c r="F38" s="90">
        <v>6.2499293874231032E-2</v>
      </c>
      <c r="G38" s="87">
        <v>7.2627974209846745E-4</v>
      </c>
      <c r="H38" s="88">
        <v>5.8888780125000949E-2</v>
      </c>
      <c r="I38" s="89">
        <v>9.3948614608848431E-4</v>
      </c>
      <c r="J38" s="91">
        <v>5.9074294285158917E-2</v>
      </c>
      <c r="K38" s="128" t="s">
        <v>1417</v>
      </c>
      <c r="L38" s="128" t="s">
        <v>1417</v>
      </c>
      <c r="M38" s="128" t="s">
        <v>1417</v>
      </c>
      <c r="N38" s="128" t="s">
        <v>1417</v>
      </c>
      <c r="O38" s="128" t="s">
        <v>1417</v>
      </c>
      <c r="P38" s="128" t="s">
        <v>1417</v>
      </c>
      <c r="Q38" s="128" t="s">
        <v>1417</v>
      </c>
      <c r="R38" s="128" t="s">
        <v>1417</v>
      </c>
      <c r="S38" s="128" t="s">
        <v>1417</v>
      </c>
      <c r="T38" s="128" t="s">
        <v>1417</v>
      </c>
      <c r="U38" s="128" t="s">
        <v>1417</v>
      </c>
      <c r="V38" s="128" t="s">
        <v>1417</v>
      </c>
      <c r="W38" s="128" t="s">
        <v>1417</v>
      </c>
      <c r="X38" s="128" t="s">
        <v>1417</v>
      </c>
      <c r="Y38" s="128" t="s">
        <v>1417</v>
      </c>
      <c r="Z38" s="33"/>
    </row>
    <row r="39" spans="1:26" ht="30">
      <c r="A39" s="122"/>
      <c r="B39" s="92" t="s">
        <v>908</v>
      </c>
      <c r="C39" s="87">
        <v>4.7088205348149986E-3</v>
      </c>
      <c r="D39" s="88">
        <v>0.33486126619702361</v>
      </c>
      <c r="E39" s="89">
        <v>1.3281698862866264E-2</v>
      </c>
      <c r="F39" s="90">
        <v>0.33735221347266647</v>
      </c>
      <c r="G39" s="87">
        <v>2.1716577775972148E-2</v>
      </c>
      <c r="H39" s="88">
        <v>0.337313020646201</v>
      </c>
      <c r="I39" s="89">
        <v>2.4814500928322641E-2</v>
      </c>
      <c r="J39" s="91">
        <v>0.33473054784199391</v>
      </c>
      <c r="K39" s="128" t="s">
        <v>1417</v>
      </c>
      <c r="L39" s="128" t="s">
        <v>1417</v>
      </c>
      <c r="M39" s="128" t="s">
        <v>1417</v>
      </c>
      <c r="N39" s="128" t="s">
        <v>1417</v>
      </c>
      <c r="O39" s="128" t="s">
        <v>1417</v>
      </c>
      <c r="P39" s="128" t="s">
        <v>1417</v>
      </c>
      <c r="Q39" s="128" t="s">
        <v>1417</v>
      </c>
      <c r="R39" s="128" t="s">
        <v>1417</v>
      </c>
      <c r="S39" s="128" t="s">
        <v>1417</v>
      </c>
      <c r="T39" s="128" t="s">
        <v>1417</v>
      </c>
      <c r="U39" s="128" t="s">
        <v>1417</v>
      </c>
      <c r="V39" s="128" t="s">
        <v>1417</v>
      </c>
      <c r="W39" s="128" t="s">
        <v>1417</v>
      </c>
      <c r="X39" s="128" t="s">
        <v>1417</v>
      </c>
      <c r="Y39" s="128" t="s">
        <v>1417</v>
      </c>
      <c r="Z39" s="33"/>
    </row>
    <row r="40" spans="1:26">
      <c r="A40" s="122"/>
      <c r="B40" s="93" t="s">
        <v>2</v>
      </c>
      <c r="C40" s="87">
        <v>0</v>
      </c>
      <c r="D40" s="88">
        <v>0</v>
      </c>
      <c r="E40" s="89">
        <v>0</v>
      </c>
      <c r="F40" s="90">
        <v>0</v>
      </c>
      <c r="G40" s="87">
        <v>0</v>
      </c>
      <c r="H40" s="88">
        <v>0</v>
      </c>
      <c r="I40" s="89">
        <v>0</v>
      </c>
      <c r="J40" s="91">
        <v>0</v>
      </c>
      <c r="K40" s="128" t="s">
        <v>1417</v>
      </c>
      <c r="L40" s="128" t="s">
        <v>1417</v>
      </c>
      <c r="M40" s="128" t="s">
        <v>1417</v>
      </c>
      <c r="N40" s="128" t="s">
        <v>1417</v>
      </c>
      <c r="O40" s="128" t="s">
        <v>1417</v>
      </c>
      <c r="P40" s="128" t="s">
        <v>1417</v>
      </c>
      <c r="Q40" s="128" t="s">
        <v>1417</v>
      </c>
      <c r="R40" s="128" t="s">
        <v>1417</v>
      </c>
      <c r="S40" s="128" t="s">
        <v>1417</v>
      </c>
      <c r="T40" s="128" t="s">
        <v>1417</v>
      </c>
      <c r="U40" s="128" t="s">
        <v>1417</v>
      </c>
      <c r="V40" s="128" t="s">
        <v>1417</v>
      </c>
      <c r="W40" s="128" t="s">
        <v>1417</v>
      </c>
      <c r="X40" s="128" t="s">
        <v>1417</v>
      </c>
      <c r="Y40" s="128" t="s">
        <v>1417</v>
      </c>
      <c r="Z40" s="33"/>
    </row>
    <row r="41" spans="1:26">
      <c r="A41" s="122"/>
      <c r="B41" s="93" t="s">
        <v>3</v>
      </c>
      <c r="C41" s="87">
        <v>0</v>
      </c>
      <c r="D41" s="88">
        <v>0</v>
      </c>
      <c r="E41" s="89">
        <v>0</v>
      </c>
      <c r="F41" s="90">
        <v>0</v>
      </c>
      <c r="G41" s="87">
        <v>0</v>
      </c>
      <c r="H41" s="88">
        <v>0</v>
      </c>
      <c r="I41" s="89">
        <v>0</v>
      </c>
      <c r="J41" s="91">
        <v>0</v>
      </c>
      <c r="K41" s="128" t="s">
        <v>1417</v>
      </c>
      <c r="L41" s="128" t="s">
        <v>1417</v>
      </c>
      <c r="M41" s="128" t="s">
        <v>1417</v>
      </c>
      <c r="N41" s="128" t="s">
        <v>1417</v>
      </c>
      <c r="O41" s="128" t="s">
        <v>1417</v>
      </c>
      <c r="P41" s="128" t="s">
        <v>1417</v>
      </c>
      <c r="Q41" s="128" t="s">
        <v>1417</v>
      </c>
      <c r="R41" s="128" t="s">
        <v>1417</v>
      </c>
      <c r="S41" s="128" t="s">
        <v>1417</v>
      </c>
      <c r="T41" s="128" t="s">
        <v>1417</v>
      </c>
      <c r="U41" s="128" t="s">
        <v>1417</v>
      </c>
      <c r="V41" s="128" t="s">
        <v>1417</v>
      </c>
      <c r="W41" s="128" t="s">
        <v>1417</v>
      </c>
      <c r="X41" s="128" t="s">
        <v>1417</v>
      </c>
      <c r="Y41" s="128" t="s">
        <v>1417</v>
      </c>
      <c r="Z41" s="33"/>
    </row>
    <row r="42" spans="1:26">
      <c r="A42" s="122"/>
      <c r="B42" s="93" t="s">
        <v>4</v>
      </c>
      <c r="C42" s="87">
        <v>0</v>
      </c>
      <c r="D42" s="88">
        <v>0</v>
      </c>
      <c r="E42" s="89">
        <v>0</v>
      </c>
      <c r="F42" s="90">
        <v>0</v>
      </c>
      <c r="G42" s="87">
        <v>0</v>
      </c>
      <c r="H42" s="88">
        <v>0</v>
      </c>
      <c r="I42" s="89">
        <v>0</v>
      </c>
      <c r="J42" s="91">
        <v>0</v>
      </c>
      <c r="K42" s="128" t="s">
        <v>1417</v>
      </c>
      <c r="L42" s="128" t="s">
        <v>1417</v>
      </c>
      <c r="M42" s="128" t="s">
        <v>1417</v>
      </c>
      <c r="N42" s="128" t="s">
        <v>1417</v>
      </c>
      <c r="O42" s="128" t="s">
        <v>1417</v>
      </c>
      <c r="P42" s="128" t="s">
        <v>1417</v>
      </c>
      <c r="Q42" s="128" t="s">
        <v>1417</v>
      </c>
      <c r="R42" s="128" t="s">
        <v>1417</v>
      </c>
      <c r="S42" s="128" t="s">
        <v>1417</v>
      </c>
      <c r="T42" s="128" t="s">
        <v>1417</v>
      </c>
      <c r="U42" s="128" t="s">
        <v>1417</v>
      </c>
      <c r="V42" s="128" t="s">
        <v>1417</v>
      </c>
      <c r="W42" s="128" t="s">
        <v>1417</v>
      </c>
      <c r="X42" s="128" t="s">
        <v>1417</v>
      </c>
      <c r="Y42" s="128" t="s">
        <v>1417</v>
      </c>
      <c r="Z42" s="33"/>
    </row>
    <row r="43" spans="1:26">
      <c r="A43" s="122"/>
      <c r="B43" s="93" t="s">
        <v>5</v>
      </c>
      <c r="C43" s="87">
        <v>0</v>
      </c>
      <c r="D43" s="88">
        <v>0</v>
      </c>
      <c r="E43" s="89">
        <v>0</v>
      </c>
      <c r="F43" s="90">
        <v>0</v>
      </c>
      <c r="G43" s="87">
        <v>0</v>
      </c>
      <c r="H43" s="88">
        <v>0</v>
      </c>
      <c r="I43" s="89">
        <v>0</v>
      </c>
      <c r="J43" s="91">
        <v>0</v>
      </c>
      <c r="K43" s="128" t="s">
        <v>1417</v>
      </c>
      <c r="L43" s="128" t="s">
        <v>1417</v>
      </c>
      <c r="M43" s="128" t="s">
        <v>1417</v>
      </c>
      <c r="N43" s="128" t="s">
        <v>1417</v>
      </c>
      <c r="O43" s="128" t="s">
        <v>1417</v>
      </c>
      <c r="P43" s="128" t="s">
        <v>1417</v>
      </c>
      <c r="Q43" s="128" t="s">
        <v>1417</v>
      </c>
      <c r="R43" s="128" t="s">
        <v>1417</v>
      </c>
      <c r="S43" s="128" t="s">
        <v>1417</v>
      </c>
      <c r="T43" s="128" t="s">
        <v>1417</v>
      </c>
      <c r="U43" s="128" t="s">
        <v>1417</v>
      </c>
      <c r="V43" s="128" t="s">
        <v>1417</v>
      </c>
      <c r="W43" s="128" t="s">
        <v>1417</v>
      </c>
      <c r="X43" s="128" t="s">
        <v>1417</v>
      </c>
      <c r="Y43" s="128" t="s">
        <v>1417</v>
      </c>
      <c r="Z43" s="33"/>
    </row>
    <row r="44" spans="1:26">
      <c r="A44" s="122"/>
      <c r="B44" s="93" t="s">
        <v>6</v>
      </c>
      <c r="C44" s="87">
        <v>7.898445452531465E-9</v>
      </c>
      <c r="D44" s="88">
        <v>7.2199104721447741E-15</v>
      </c>
      <c r="E44" s="89">
        <v>3.4627402834196297E-7</v>
      </c>
      <c r="F44" s="90">
        <v>3.609955236072387E-15</v>
      </c>
      <c r="G44" s="87">
        <v>2.0011823960218984E-6</v>
      </c>
      <c r="H44" s="88">
        <v>2.406636824048258E-15</v>
      </c>
      <c r="I44" s="89">
        <v>1.5290764115779024E-5</v>
      </c>
      <c r="J44" s="91">
        <v>1.8049776180361935E-15</v>
      </c>
      <c r="K44" s="128" t="s">
        <v>1417</v>
      </c>
      <c r="L44" s="128" t="s">
        <v>1417</v>
      </c>
      <c r="M44" s="128" t="s">
        <v>1417</v>
      </c>
      <c r="N44" s="128" t="s">
        <v>1417</v>
      </c>
      <c r="O44" s="128" t="s">
        <v>1417</v>
      </c>
      <c r="P44" s="128" t="s">
        <v>1417</v>
      </c>
      <c r="Q44" s="128" t="s">
        <v>1417</v>
      </c>
      <c r="R44" s="128" t="s">
        <v>1417</v>
      </c>
      <c r="S44" s="128" t="s">
        <v>1417</v>
      </c>
      <c r="T44" s="128" t="s">
        <v>1417</v>
      </c>
      <c r="U44" s="128" t="s">
        <v>1417</v>
      </c>
      <c r="V44" s="128" t="s">
        <v>1417</v>
      </c>
      <c r="W44" s="128" t="s">
        <v>1417</v>
      </c>
      <c r="X44" s="128" t="s">
        <v>1417</v>
      </c>
      <c r="Y44" s="128" t="s">
        <v>1417</v>
      </c>
      <c r="Z44" s="33"/>
    </row>
    <row r="45" spans="1:26">
      <c r="A45" s="122"/>
      <c r="B45" s="93" t="s">
        <v>62</v>
      </c>
      <c r="C45" s="87">
        <v>4.1855101546077736E-3</v>
      </c>
      <c r="D45" s="88">
        <v>0.60343527080112835</v>
      </c>
      <c r="E45" s="89">
        <v>5.2590440598704435E-2</v>
      </c>
      <c r="F45" s="90">
        <v>0.60064777973655403</v>
      </c>
      <c r="G45" s="87">
        <v>8.319308622046527E-2</v>
      </c>
      <c r="H45" s="88">
        <v>0.60159921313579567</v>
      </c>
      <c r="I45" s="89">
        <v>0.11490660292461895</v>
      </c>
      <c r="J45" s="91">
        <v>0.60337740170661425</v>
      </c>
      <c r="K45" s="128" t="s">
        <v>1417</v>
      </c>
      <c r="L45" s="128" t="s">
        <v>1417</v>
      </c>
      <c r="M45" s="128" t="s">
        <v>1417</v>
      </c>
      <c r="N45" s="128" t="s">
        <v>1417</v>
      </c>
      <c r="O45" s="128" t="s">
        <v>1417</v>
      </c>
      <c r="P45" s="128" t="s">
        <v>1417</v>
      </c>
      <c r="Q45" s="128" t="s">
        <v>1417</v>
      </c>
      <c r="R45" s="128" t="s">
        <v>1417</v>
      </c>
      <c r="S45" s="128" t="s">
        <v>1417</v>
      </c>
      <c r="T45" s="128" t="s">
        <v>1417</v>
      </c>
      <c r="U45" s="128" t="s">
        <v>1417</v>
      </c>
      <c r="V45" s="128" t="s">
        <v>1417</v>
      </c>
      <c r="W45" s="128" t="s">
        <v>1417</v>
      </c>
      <c r="X45" s="128" t="s">
        <v>1417</v>
      </c>
      <c r="Y45" s="128" t="s">
        <v>1417</v>
      </c>
      <c r="Z45" s="33"/>
    </row>
    <row r="46" spans="1:26">
      <c r="A46" s="122"/>
      <c r="B46" s="93" t="s">
        <v>7</v>
      </c>
      <c r="C46" s="87">
        <v>0</v>
      </c>
      <c r="D46" s="88">
        <v>0</v>
      </c>
      <c r="E46" s="89">
        <v>0</v>
      </c>
      <c r="F46" s="90">
        <v>0</v>
      </c>
      <c r="G46" s="87">
        <v>0</v>
      </c>
      <c r="H46" s="88">
        <v>0</v>
      </c>
      <c r="I46" s="89">
        <v>0</v>
      </c>
      <c r="J46" s="91">
        <v>0</v>
      </c>
      <c r="K46" s="128" t="s">
        <v>1417</v>
      </c>
      <c r="L46" s="128" t="s">
        <v>1417</v>
      </c>
      <c r="M46" s="128" t="s">
        <v>1417</v>
      </c>
      <c r="N46" s="128" t="s">
        <v>1417</v>
      </c>
      <c r="O46" s="128" t="s">
        <v>1417</v>
      </c>
      <c r="P46" s="128" t="s">
        <v>1417</v>
      </c>
      <c r="Q46" s="128" t="s">
        <v>1417</v>
      </c>
      <c r="R46" s="128" t="s">
        <v>1417</v>
      </c>
      <c r="S46" s="128" t="s">
        <v>1417</v>
      </c>
      <c r="T46" s="128" t="s">
        <v>1417</v>
      </c>
      <c r="U46" s="128" t="s">
        <v>1417</v>
      </c>
      <c r="V46" s="128" t="s">
        <v>1417</v>
      </c>
      <c r="W46" s="128" t="s">
        <v>1417</v>
      </c>
      <c r="X46" s="128" t="s">
        <v>1417</v>
      </c>
      <c r="Y46" s="128" t="s">
        <v>1417</v>
      </c>
      <c r="Z46" s="33"/>
    </row>
    <row r="47" spans="1:26">
      <c r="A47" s="122"/>
      <c r="B47" s="93" t="s">
        <v>8</v>
      </c>
      <c r="C47" s="87">
        <v>0</v>
      </c>
      <c r="D47" s="88">
        <v>0</v>
      </c>
      <c r="E47" s="89">
        <v>0</v>
      </c>
      <c r="F47" s="90">
        <v>0</v>
      </c>
      <c r="G47" s="87">
        <v>0</v>
      </c>
      <c r="H47" s="88">
        <v>0</v>
      </c>
      <c r="I47" s="89">
        <v>0</v>
      </c>
      <c r="J47" s="91">
        <v>0</v>
      </c>
      <c r="K47" s="128" t="s">
        <v>1417</v>
      </c>
      <c r="L47" s="128" t="s">
        <v>1417</v>
      </c>
      <c r="M47" s="128" t="s">
        <v>1417</v>
      </c>
      <c r="N47" s="128" t="s">
        <v>1417</v>
      </c>
      <c r="O47" s="128" t="s">
        <v>1417</v>
      </c>
      <c r="P47" s="128" t="s">
        <v>1417</v>
      </c>
      <c r="Q47" s="128" t="s">
        <v>1417</v>
      </c>
      <c r="R47" s="128" t="s">
        <v>1417</v>
      </c>
      <c r="S47" s="128" t="s">
        <v>1417</v>
      </c>
      <c r="T47" s="128" t="s">
        <v>1417</v>
      </c>
      <c r="U47" s="128" t="s">
        <v>1417</v>
      </c>
      <c r="V47" s="128" t="s">
        <v>1417</v>
      </c>
      <c r="W47" s="128" t="s">
        <v>1417</v>
      </c>
      <c r="X47" s="128" t="s">
        <v>1417</v>
      </c>
      <c r="Y47" s="128" t="s">
        <v>1417</v>
      </c>
      <c r="Z47" s="33"/>
    </row>
    <row r="48" spans="1:26">
      <c r="A48" s="122"/>
      <c r="B48" s="93" t="s">
        <v>9</v>
      </c>
      <c r="C48" s="87">
        <v>0</v>
      </c>
      <c r="D48" s="88">
        <v>0</v>
      </c>
      <c r="E48" s="89">
        <v>0</v>
      </c>
      <c r="F48" s="90">
        <v>0</v>
      </c>
      <c r="G48" s="87">
        <v>0</v>
      </c>
      <c r="H48" s="88">
        <v>0</v>
      </c>
      <c r="I48" s="89">
        <v>0</v>
      </c>
      <c r="J48" s="91">
        <v>0</v>
      </c>
      <c r="K48" s="128" t="s">
        <v>1417</v>
      </c>
      <c r="L48" s="128" t="s">
        <v>1417</v>
      </c>
      <c r="M48" s="128" t="s">
        <v>1417</v>
      </c>
      <c r="N48" s="128" t="s">
        <v>1417</v>
      </c>
      <c r="O48" s="128" t="s">
        <v>1417</v>
      </c>
      <c r="P48" s="128" t="s">
        <v>1417</v>
      </c>
      <c r="Q48" s="128" t="s">
        <v>1417</v>
      </c>
      <c r="R48" s="128" t="s">
        <v>1417</v>
      </c>
      <c r="S48" s="128" t="s">
        <v>1417</v>
      </c>
      <c r="T48" s="128" t="s">
        <v>1417</v>
      </c>
      <c r="U48" s="128" t="s">
        <v>1417</v>
      </c>
      <c r="V48" s="128" t="s">
        <v>1417</v>
      </c>
      <c r="W48" s="128" t="s">
        <v>1417</v>
      </c>
      <c r="X48" s="128" t="s">
        <v>1417</v>
      </c>
      <c r="Y48" s="128" t="s">
        <v>1417</v>
      </c>
      <c r="Z48" s="33"/>
    </row>
    <row r="49" spans="1:26">
      <c r="A49" s="122"/>
      <c r="B49" s="93" t="s">
        <v>10</v>
      </c>
      <c r="C49" s="87">
        <v>-6.9018907305203542E-3</v>
      </c>
      <c r="D49" s="88">
        <v>-1.1537702221079422E-3</v>
      </c>
      <c r="E49" s="89">
        <v>4.3371256222003891E-3</v>
      </c>
      <c r="F49" s="90">
        <v>-8.98052520751888E-4</v>
      </c>
      <c r="G49" s="87">
        <v>1.0667320989191648E-2</v>
      </c>
      <c r="H49" s="88">
        <v>1.7884578358878511E-3</v>
      </c>
      <c r="I49" s="89">
        <v>1.4193815778266157E-2</v>
      </c>
      <c r="J49" s="91">
        <v>2.387093575023608E-3</v>
      </c>
      <c r="K49" s="128" t="s">
        <v>1417</v>
      </c>
      <c r="L49" s="128" t="s">
        <v>1417</v>
      </c>
      <c r="M49" s="128" t="s">
        <v>1417</v>
      </c>
      <c r="N49" s="128" t="s">
        <v>1417</v>
      </c>
      <c r="O49" s="128" t="s">
        <v>1417</v>
      </c>
      <c r="P49" s="128" t="s">
        <v>1417</v>
      </c>
      <c r="Q49" s="128" t="s">
        <v>1417</v>
      </c>
      <c r="R49" s="128" t="s">
        <v>1417</v>
      </c>
      <c r="S49" s="128" t="s">
        <v>1417</v>
      </c>
      <c r="T49" s="128" t="s">
        <v>1417</v>
      </c>
      <c r="U49" s="128" t="s">
        <v>1417</v>
      </c>
      <c r="V49" s="128" t="s">
        <v>1417</v>
      </c>
      <c r="W49" s="128" t="s">
        <v>1417</v>
      </c>
      <c r="X49" s="128" t="s">
        <v>1417</v>
      </c>
      <c r="Y49" s="128" t="s">
        <v>1417</v>
      </c>
      <c r="Z49" s="33"/>
    </row>
    <row r="50" spans="1:26">
      <c r="A50" s="122"/>
      <c r="B50" s="93" t="s">
        <v>11</v>
      </c>
      <c r="C50" s="87">
        <v>0</v>
      </c>
      <c r="D50" s="88">
        <v>0</v>
      </c>
      <c r="E50" s="89">
        <v>0</v>
      </c>
      <c r="F50" s="90">
        <v>0</v>
      </c>
      <c r="G50" s="87">
        <v>0</v>
      </c>
      <c r="H50" s="88">
        <v>0</v>
      </c>
      <c r="I50" s="89">
        <v>0</v>
      </c>
      <c r="J50" s="91">
        <v>0</v>
      </c>
      <c r="K50" s="128" t="s">
        <v>1417</v>
      </c>
      <c r="L50" s="128" t="s">
        <v>1417</v>
      </c>
      <c r="M50" s="128" t="s">
        <v>1417</v>
      </c>
      <c r="N50" s="128" t="s">
        <v>1417</v>
      </c>
      <c r="O50" s="128" t="s">
        <v>1417</v>
      </c>
      <c r="P50" s="128" t="s">
        <v>1417</v>
      </c>
      <c r="Q50" s="128" t="s">
        <v>1417</v>
      </c>
      <c r="R50" s="128" t="s">
        <v>1417</v>
      </c>
      <c r="S50" s="128" t="s">
        <v>1417</v>
      </c>
      <c r="T50" s="128" t="s">
        <v>1417</v>
      </c>
      <c r="U50" s="128" t="s">
        <v>1417</v>
      </c>
      <c r="V50" s="128" t="s">
        <v>1417</v>
      </c>
      <c r="W50" s="128" t="s">
        <v>1417</v>
      </c>
      <c r="X50" s="128" t="s">
        <v>1417</v>
      </c>
      <c r="Y50" s="128" t="s">
        <v>1417</v>
      </c>
      <c r="Z50" s="33"/>
    </row>
    <row r="51" spans="1:26">
      <c r="A51" s="122"/>
      <c r="B51" s="93" t="s">
        <v>12</v>
      </c>
      <c r="C51" s="87">
        <v>0</v>
      </c>
      <c r="D51" s="88">
        <v>0</v>
      </c>
      <c r="E51" s="89">
        <v>0</v>
      </c>
      <c r="F51" s="90">
        <v>0</v>
      </c>
      <c r="G51" s="87">
        <v>0</v>
      </c>
      <c r="H51" s="88">
        <v>0</v>
      </c>
      <c r="I51" s="89">
        <v>0</v>
      </c>
      <c r="J51" s="91">
        <v>0</v>
      </c>
      <c r="K51" s="128" t="s">
        <v>1417</v>
      </c>
      <c r="L51" s="128" t="s">
        <v>1417</v>
      </c>
      <c r="M51" s="128" t="s">
        <v>1417</v>
      </c>
      <c r="N51" s="128" t="s">
        <v>1417</v>
      </c>
      <c r="O51" s="128" t="s">
        <v>1417</v>
      </c>
      <c r="P51" s="128" t="s">
        <v>1417</v>
      </c>
      <c r="Q51" s="128" t="s">
        <v>1417</v>
      </c>
      <c r="R51" s="128" t="s">
        <v>1417</v>
      </c>
      <c r="S51" s="128" t="s">
        <v>1417</v>
      </c>
      <c r="T51" s="128" t="s">
        <v>1417</v>
      </c>
      <c r="U51" s="128" t="s">
        <v>1417</v>
      </c>
      <c r="V51" s="128" t="s">
        <v>1417</v>
      </c>
      <c r="W51" s="128" t="s">
        <v>1417</v>
      </c>
      <c r="X51" s="128" t="s">
        <v>1417</v>
      </c>
      <c r="Y51" s="128" t="s">
        <v>1417</v>
      </c>
      <c r="Z51" s="33"/>
    </row>
    <row r="52" spans="1:26">
      <c r="A52" s="122"/>
      <c r="B52" s="93" t="s">
        <v>13</v>
      </c>
      <c r="C52" s="87">
        <v>1.6790507866431472E-6</v>
      </c>
      <c r="D52" s="88">
        <v>4.1776522157918622E-4</v>
      </c>
      <c r="E52" s="89">
        <v>8.6771431538684828E-6</v>
      </c>
      <c r="F52" s="90">
        <v>3.9876543729674448E-4</v>
      </c>
      <c r="G52" s="87">
        <v>1.6946419397774823E-5</v>
      </c>
      <c r="H52" s="88">
        <v>4.105282571120805E-4</v>
      </c>
      <c r="I52" s="89">
        <v>2.1643249848787031E-5</v>
      </c>
      <c r="J52" s="91">
        <v>4.3066259120747279E-4</v>
      </c>
      <c r="K52" s="128" t="s">
        <v>1417</v>
      </c>
      <c r="L52" s="128" t="s">
        <v>1417</v>
      </c>
      <c r="M52" s="128" t="s">
        <v>1417</v>
      </c>
      <c r="N52" s="128" t="s">
        <v>1417</v>
      </c>
      <c r="O52" s="128" t="s">
        <v>1417</v>
      </c>
      <c r="P52" s="128" t="s">
        <v>1417</v>
      </c>
      <c r="Q52" s="128" t="s">
        <v>1417</v>
      </c>
      <c r="R52" s="128" t="s">
        <v>1417</v>
      </c>
      <c r="S52" s="128" t="s">
        <v>1417</v>
      </c>
      <c r="T52" s="128" t="s">
        <v>1417</v>
      </c>
      <c r="U52" s="128" t="s">
        <v>1417</v>
      </c>
      <c r="V52" s="128" t="s">
        <v>1417</v>
      </c>
      <c r="W52" s="128" t="s">
        <v>1417</v>
      </c>
      <c r="X52" s="128" t="s">
        <v>1417</v>
      </c>
      <c r="Y52" s="128" t="s">
        <v>1417</v>
      </c>
      <c r="Z52" s="33"/>
    </row>
    <row r="53" spans="1:26">
      <c r="A53" s="122"/>
      <c r="B53" s="93" t="s">
        <v>14</v>
      </c>
      <c r="C53" s="87">
        <v>0</v>
      </c>
      <c r="D53" s="88">
        <v>0</v>
      </c>
      <c r="E53" s="89">
        <v>0</v>
      </c>
      <c r="F53" s="90">
        <v>0</v>
      </c>
      <c r="G53" s="87">
        <v>0</v>
      </c>
      <c r="H53" s="88">
        <v>0</v>
      </c>
      <c r="I53" s="89">
        <v>0</v>
      </c>
      <c r="J53" s="91">
        <v>0</v>
      </c>
      <c r="K53" s="128" t="s">
        <v>1417</v>
      </c>
      <c r="L53" s="128" t="s">
        <v>1417</v>
      </c>
      <c r="M53" s="128" t="s">
        <v>1417</v>
      </c>
      <c r="N53" s="128" t="s">
        <v>1417</v>
      </c>
      <c r="O53" s="128" t="s">
        <v>1417</v>
      </c>
      <c r="P53" s="128" t="s">
        <v>1417</v>
      </c>
      <c r="Q53" s="128" t="s">
        <v>1417</v>
      </c>
      <c r="R53" s="128" t="s">
        <v>1417</v>
      </c>
      <c r="S53" s="128" t="s">
        <v>1417</v>
      </c>
      <c r="T53" s="128" t="s">
        <v>1417</v>
      </c>
      <c r="U53" s="128" t="s">
        <v>1417</v>
      </c>
      <c r="V53" s="128" t="s">
        <v>1417</v>
      </c>
      <c r="W53" s="128" t="s">
        <v>1417</v>
      </c>
      <c r="X53" s="128" t="s">
        <v>1417</v>
      </c>
      <c r="Y53" s="128" t="s">
        <v>1417</v>
      </c>
      <c r="Z53" s="33"/>
    </row>
    <row r="54" spans="1:26">
      <c r="A54" s="122"/>
      <c r="B54" s="93" t="s">
        <v>15</v>
      </c>
      <c r="C54" s="87">
        <v>0</v>
      </c>
      <c r="D54" s="88">
        <v>0</v>
      </c>
      <c r="E54" s="89">
        <v>0</v>
      </c>
      <c r="F54" s="90">
        <v>0</v>
      </c>
      <c r="G54" s="87">
        <v>0</v>
      </c>
      <c r="H54" s="88">
        <v>0</v>
      </c>
      <c r="I54" s="89">
        <v>0</v>
      </c>
      <c r="J54" s="91">
        <v>0</v>
      </c>
      <c r="K54" s="128" t="s">
        <v>1417</v>
      </c>
      <c r="L54" s="128" t="s">
        <v>1417</v>
      </c>
      <c r="M54" s="128" t="s">
        <v>1417</v>
      </c>
      <c r="N54" s="128" t="s">
        <v>1417</v>
      </c>
      <c r="O54" s="128" t="s">
        <v>1417</v>
      </c>
      <c r="P54" s="128" t="s">
        <v>1417</v>
      </c>
      <c r="Q54" s="128" t="s">
        <v>1417</v>
      </c>
      <c r="R54" s="128" t="s">
        <v>1417</v>
      </c>
      <c r="S54" s="128" t="s">
        <v>1417</v>
      </c>
      <c r="T54" s="128" t="s">
        <v>1417</v>
      </c>
      <c r="U54" s="128" t="s">
        <v>1417</v>
      </c>
      <c r="V54" s="128" t="s">
        <v>1417</v>
      </c>
      <c r="W54" s="128" t="s">
        <v>1417</v>
      </c>
      <c r="X54" s="128" t="s">
        <v>1417</v>
      </c>
      <c r="Y54" s="128" t="s">
        <v>1417</v>
      </c>
      <c r="Z54" s="33"/>
    </row>
    <row r="55" spans="1:26">
      <c r="A55" s="122"/>
      <c r="B55" s="93" t="s">
        <v>16</v>
      </c>
      <c r="C55" s="87">
        <v>0</v>
      </c>
      <c r="D55" s="88">
        <v>0</v>
      </c>
      <c r="E55" s="89">
        <v>0</v>
      </c>
      <c r="F55" s="90">
        <v>0</v>
      </c>
      <c r="G55" s="87">
        <v>0</v>
      </c>
      <c r="H55" s="88">
        <v>0</v>
      </c>
      <c r="I55" s="89">
        <v>0</v>
      </c>
      <c r="J55" s="91">
        <v>0</v>
      </c>
      <c r="K55" s="128" t="s">
        <v>1417</v>
      </c>
      <c r="L55" s="128" t="s">
        <v>1417</v>
      </c>
      <c r="M55" s="128" t="s">
        <v>1417</v>
      </c>
      <c r="N55" s="128" t="s">
        <v>1417</v>
      </c>
      <c r="O55" s="128" t="s">
        <v>1417</v>
      </c>
      <c r="P55" s="128" t="s">
        <v>1417</v>
      </c>
      <c r="Q55" s="128" t="s">
        <v>1417</v>
      </c>
      <c r="R55" s="128" t="s">
        <v>1417</v>
      </c>
      <c r="S55" s="128" t="s">
        <v>1417</v>
      </c>
      <c r="T55" s="128" t="s">
        <v>1417</v>
      </c>
      <c r="U55" s="128" t="s">
        <v>1417</v>
      </c>
      <c r="V55" s="128" t="s">
        <v>1417</v>
      </c>
      <c r="W55" s="128" t="s">
        <v>1417</v>
      </c>
      <c r="X55" s="128" t="s">
        <v>1417</v>
      </c>
      <c r="Y55" s="128" t="s">
        <v>1417</v>
      </c>
      <c r="Z55" s="33"/>
    </row>
    <row r="56" spans="1:26">
      <c r="A56" s="122"/>
      <c r="B56" s="93" t="s">
        <v>17</v>
      </c>
      <c r="C56" s="87">
        <v>0</v>
      </c>
      <c r="D56" s="88">
        <v>0</v>
      </c>
      <c r="E56" s="89">
        <v>0</v>
      </c>
      <c r="F56" s="90">
        <v>0</v>
      </c>
      <c r="G56" s="87">
        <v>0</v>
      </c>
      <c r="H56" s="88">
        <v>0</v>
      </c>
      <c r="I56" s="89">
        <v>0</v>
      </c>
      <c r="J56" s="91">
        <v>0</v>
      </c>
      <c r="K56" s="128" t="s">
        <v>1417</v>
      </c>
      <c r="L56" s="128" t="s">
        <v>1417</v>
      </c>
      <c r="M56" s="128" t="s">
        <v>1417</v>
      </c>
      <c r="N56" s="128" t="s">
        <v>1417</v>
      </c>
      <c r="O56" s="128" t="s">
        <v>1417</v>
      </c>
      <c r="P56" s="128" t="s">
        <v>1417</v>
      </c>
      <c r="Q56" s="128" t="s">
        <v>1417</v>
      </c>
      <c r="R56" s="128" t="s">
        <v>1417</v>
      </c>
      <c r="S56" s="128" t="s">
        <v>1417</v>
      </c>
      <c r="T56" s="128" t="s">
        <v>1417</v>
      </c>
      <c r="U56" s="128" t="s">
        <v>1417</v>
      </c>
      <c r="V56" s="128" t="s">
        <v>1417</v>
      </c>
      <c r="W56" s="128" t="s">
        <v>1417</v>
      </c>
      <c r="X56" s="128" t="s">
        <v>1417</v>
      </c>
      <c r="Y56" s="128" t="s">
        <v>1417</v>
      </c>
      <c r="Z56" s="33"/>
    </row>
    <row r="57" spans="1:26">
      <c r="A57" s="122"/>
      <c r="B57" s="94" t="s">
        <v>25</v>
      </c>
      <c r="C57" s="95">
        <v>3.4348051526009726E-3</v>
      </c>
      <c r="D57" s="96">
        <v>1</v>
      </c>
      <c r="E57" s="97">
        <v>7.0298620653382438E-2</v>
      </c>
      <c r="F57" s="98">
        <v>1</v>
      </c>
      <c r="G57" s="95">
        <v>0.11632221232952134</v>
      </c>
      <c r="H57" s="96">
        <v>0.99999999999999989</v>
      </c>
      <c r="I57" s="97">
        <v>0.1548913397912608</v>
      </c>
      <c r="J57" s="99">
        <v>1</v>
      </c>
      <c r="K57" s="128" t="s">
        <v>1417</v>
      </c>
      <c r="L57" s="128" t="s">
        <v>1417</v>
      </c>
      <c r="M57" s="128" t="s">
        <v>1417</v>
      </c>
      <c r="N57" s="128" t="s">
        <v>1417</v>
      </c>
      <c r="O57" s="128" t="s">
        <v>1417</v>
      </c>
      <c r="P57" s="128" t="s">
        <v>1417</v>
      </c>
      <c r="Q57" s="128" t="s">
        <v>1417</v>
      </c>
      <c r="R57" s="128" t="s">
        <v>1417</v>
      </c>
      <c r="S57" s="128" t="s">
        <v>1417</v>
      </c>
      <c r="T57" s="128" t="s">
        <v>1417</v>
      </c>
      <c r="U57" s="128" t="s">
        <v>1417</v>
      </c>
      <c r="V57" s="128" t="s">
        <v>1417</v>
      </c>
      <c r="W57" s="128" t="s">
        <v>1417</v>
      </c>
      <c r="X57" s="128" t="s">
        <v>1417</v>
      </c>
      <c r="Y57" s="128" t="s">
        <v>1417</v>
      </c>
      <c r="Z57" s="33"/>
    </row>
    <row r="58" spans="1:26">
      <c r="A58" s="122"/>
      <c r="B58" s="100" t="s">
        <v>24</v>
      </c>
      <c r="C58" s="101">
        <v>7619.9478099999978</v>
      </c>
      <c r="D58" s="125"/>
      <c r="E58" s="102">
        <v>158001.98662000001</v>
      </c>
      <c r="F58" s="125"/>
      <c r="G58" s="101">
        <v>262701.08487000002</v>
      </c>
      <c r="H58" s="125"/>
      <c r="I58" s="102">
        <v>351280.79431999999</v>
      </c>
      <c r="J58" s="129"/>
      <c r="K58" s="128" t="s">
        <v>1417</v>
      </c>
      <c r="L58" s="128" t="s">
        <v>1417</v>
      </c>
      <c r="M58" s="128" t="s">
        <v>1417</v>
      </c>
      <c r="N58" s="128" t="s">
        <v>1417</v>
      </c>
      <c r="O58" s="128" t="s">
        <v>1417</v>
      </c>
      <c r="P58" s="128" t="s">
        <v>1417</v>
      </c>
      <c r="Q58" s="128" t="s">
        <v>1417</v>
      </c>
      <c r="R58" s="128" t="s">
        <v>1417</v>
      </c>
      <c r="S58" s="128" t="s">
        <v>1417</v>
      </c>
      <c r="T58" s="128" t="s">
        <v>1417</v>
      </c>
      <c r="U58" s="128" t="s">
        <v>1417</v>
      </c>
      <c r="V58" s="128" t="s">
        <v>1417</v>
      </c>
      <c r="W58" s="128" t="s">
        <v>1417</v>
      </c>
      <c r="X58" s="128" t="s">
        <v>1417</v>
      </c>
      <c r="Y58" s="128" t="s">
        <v>1417</v>
      </c>
      <c r="Z58" s="33"/>
    </row>
    <row r="59" spans="1:26">
      <c r="A59" s="122"/>
      <c r="B59" s="126"/>
      <c r="C59" s="127"/>
      <c r="D59" s="127"/>
      <c r="E59" s="127"/>
      <c r="F59" s="127"/>
      <c r="G59" s="127"/>
      <c r="H59" s="127"/>
      <c r="I59" s="127"/>
      <c r="J59" s="130"/>
      <c r="K59" s="128" t="s">
        <v>1417</v>
      </c>
      <c r="L59" s="128" t="s">
        <v>1417</v>
      </c>
      <c r="M59" s="128" t="s">
        <v>1417</v>
      </c>
      <c r="N59" s="128" t="s">
        <v>1417</v>
      </c>
      <c r="O59" s="128" t="s">
        <v>1417</v>
      </c>
      <c r="P59" s="128" t="s">
        <v>1417</v>
      </c>
      <c r="Q59" s="128" t="s">
        <v>1417</v>
      </c>
      <c r="R59" s="128" t="s">
        <v>1417</v>
      </c>
      <c r="S59" s="128" t="s">
        <v>1417</v>
      </c>
      <c r="T59" s="128" t="s">
        <v>1417</v>
      </c>
      <c r="U59" s="128" t="s">
        <v>1417</v>
      </c>
      <c r="V59" s="128" t="s">
        <v>1417</v>
      </c>
      <c r="W59" s="128" t="s">
        <v>1417</v>
      </c>
      <c r="X59" s="128" t="s">
        <v>1417</v>
      </c>
      <c r="Y59" s="128" t="s">
        <v>1417</v>
      </c>
      <c r="Z59" s="33"/>
    </row>
    <row r="60" spans="1:26">
      <c r="A60" s="122"/>
      <c r="B60" s="86" t="s">
        <v>19</v>
      </c>
      <c r="C60" s="105">
        <v>4.5139815356641712E-3</v>
      </c>
      <c r="D60" s="106">
        <v>0.74661002772773133</v>
      </c>
      <c r="E60" s="107">
        <v>6.3326927661007434E-2</v>
      </c>
      <c r="F60" s="108">
        <v>0.74577049310883281</v>
      </c>
      <c r="G60" s="105">
        <v>9.2943352601739221E-2</v>
      </c>
      <c r="H60" s="106">
        <v>0.746049064956533</v>
      </c>
      <c r="I60" s="107">
        <v>0.13027898654184369</v>
      </c>
      <c r="J60" s="109">
        <v>0.74656624193374721</v>
      </c>
      <c r="K60" s="128" t="s">
        <v>1417</v>
      </c>
      <c r="L60" s="128" t="s">
        <v>1417</v>
      </c>
      <c r="M60" s="128" t="s">
        <v>1417</v>
      </c>
      <c r="N60" s="128" t="s">
        <v>1417</v>
      </c>
      <c r="O60" s="128" t="s">
        <v>1417</v>
      </c>
      <c r="P60" s="128" t="s">
        <v>1417</v>
      </c>
      <c r="Q60" s="128" t="s">
        <v>1417</v>
      </c>
      <c r="R60" s="128" t="s">
        <v>1417</v>
      </c>
      <c r="S60" s="128" t="s">
        <v>1417</v>
      </c>
      <c r="T60" s="128" t="s">
        <v>1417</v>
      </c>
      <c r="U60" s="128" t="s">
        <v>1417</v>
      </c>
      <c r="V60" s="128" t="s">
        <v>1417</v>
      </c>
      <c r="W60" s="128" t="s">
        <v>1417</v>
      </c>
      <c r="X60" s="128" t="s">
        <v>1417</v>
      </c>
      <c r="Y60" s="128" t="s">
        <v>1417</v>
      </c>
      <c r="Z60" s="33"/>
    </row>
    <row r="61" spans="1:26">
      <c r="A61" s="122"/>
      <c r="B61" s="93" t="s">
        <v>20</v>
      </c>
      <c r="C61" s="87">
        <v>-1.0791763830631984E-3</v>
      </c>
      <c r="D61" s="88">
        <v>0.2533899722722685</v>
      </c>
      <c r="E61" s="89">
        <v>6.9716929923749971E-3</v>
      </c>
      <c r="F61" s="90">
        <v>0.25422950689116708</v>
      </c>
      <c r="G61" s="87">
        <v>2.3378859727782118E-2</v>
      </c>
      <c r="H61" s="88">
        <v>0.25395093504346689</v>
      </c>
      <c r="I61" s="89">
        <v>2.4612353249417091E-2</v>
      </c>
      <c r="J61" s="91">
        <v>0.25343375806625273</v>
      </c>
      <c r="K61" s="128" t="s">
        <v>1417</v>
      </c>
      <c r="L61" s="128" t="s">
        <v>1417</v>
      </c>
      <c r="M61" s="128" t="s">
        <v>1417</v>
      </c>
      <c r="N61" s="128" t="s">
        <v>1417</v>
      </c>
      <c r="O61" s="128" t="s">
        <v>1417</v>
      </c>
      <c r="P61" s="128" t="s">
        <v>1417</v>
      </c>
      <c r="Q61" s="128" t="s">
        <v>1417</v>
      </c>
      <c r="R61" s="128" t="s">
        <v>1417</v>
      </c>
      <c r="S61" s="128" t="s">
        <v>1417</v>
      </c>
      <c r="T61" s="128" t="s">
        <v>1417</v>
      </c>
      <c r="U61" s="128" t="s">
        <v>1417</v>
      </c>
      <c r="V61" s="128" t="s">
        <v>1417</v>
      </c>
      <c r="W61" s="128" t="s">
        <v>1417</v>
      </c>
      <c r="X61" s="128" t="s">
        <v>1417</v>
      </c>
      <c r="Y61" s="128" t="s">
        <v>1417</v>
      </c>
      <c r="Z61" s="33"/>
    </row>
    <row r="62" spans="1:26">
      <c r="A62" s="122"/>
      <c r="B62" s="94" t="s">
        <v>25</v>
      </c>
      <c r="C62" s="95">
        <v>3.4348051526009726E-3</v>
      </c>
      <c r="D62" s="96">
        <v>0.99999999999999978</v>
      </c>
      <c r="E62" s="97">
        <v>7.0298620653382438E-2</v>
      </c>
      <c r="F62" s="98">
        <v>0.99999999999999989</v>
      </c>
      <c r="G62" s="95">
        <v>0.11632221232952134</v>
      </c>
      <c r="H62" s="96">
        <v>0.99999999999999989</v>
      </c>
      <c r="I62" s="97">
        <v>0.1548913397912608</v>
      </c>
      <c r="J62" s="99">
        <v>1</v>
      </c>
      <c r="K62" s="128" t="s">
        <v>1417</v>
      </c>
      <c r="L62" s="128" t="s">
        <v>1417</v>
      </c>
      <c r="M62" s="128" t="s">
        <v>1417</v>
      </c>
      <c r="N62" s="128" t="s">
        <v>1417</v>
      </c>
      <c r="O62" s="128" t="s">
        <v>1417</v>
      </c>
      <c r="P62" s="128" t="s">
        <v>1417</v>
      </c>
      <c r="Q62" s="128" t="s">
        <v>1417</v>
      </c>
      <c r="R62" s="128" t="s">
        <v>1417</v>
      </c>
      <c r="S62" s="128" t="s">
        <v>1417</v>
      </c>
      <c r="T62" s="128" t="s">
        <v>1417</v>
      </c>
      <c r="U62" s="128" t="s">
        <v>1417</v>
      </c>
      <c r="V62" s="128" t="s">
        <v>1417</v>
      </c>
      <c r="W62" s="128" t="s">
        <v>1417</v>
      </c>
      <c r="X62" s="128" t="s">
        <v>1417</v>
      </c>
      <c r="Y62" s="128" t="s">
        <v>1417</v>
      </c>
      <c r="Z62" s="33"/>
    </row>
    <row r="63" spans="1:26">
      <c r="A63" s="122"/>
      <c r="B63" s="126"/>
      <c r="C63" s="127"/>
      <c r="D63" s="127"/>
      <c r="E63" s="127"/>
      <c r="F63" s="127"/>
      <c r="G63" s="127"/>
      <c r="H63" s="127"/>
      <c r="I63" s="127"/>
      <c r="J63" s="130"/>
      <c r="K63" s="128" t="s">
        <v>1417</v>
      </c>
      <c r="L63" s="128" t="s">
        <v>1417</v>
      </c>
      <c r="M63" s="128" t="s">
        <v>1417</v>
      </c>
      <c r="N63" s="128" t="s">
        <v>1417</v>
      </c>
      <c r="O63" s="128" t="s">
        <v>1417</v>
      </c>
      <c r="P63" s="128" t="s">
        <v>1417</v>
      </c>
      <c r="Q63" s="128" t="s">
        <v>1417</v>
      </c>
      <c r="R63" s="128" t="s">
        <v>1417</v>
      </c>
      <c r="S63" s="128" t="s">
        <v>1417</v>
      </c>
      <c r="T63" s="128" t="s">
        <v>1417</v>
      </c>
      <c r="U63" s="128" t="s">
        <v>1417</v>
      </c>
      <c r="V63" s="128" t="s">
        <v>1417</v>
      </c>
      <c r="W63" s="128" t="s">
        <v>1417</v>
      </c>
      <c r="X63" s="128" t="s">
        <v>1417</v>
      </c>
      <c r="Y63" s="128" t="s">
        <v>1417</v>
      </c>
      <c r="Z63" s="33"/>
    </row>
    <row r="64" spans="1:26">
      <c r="A64" s="122"/>
      <c r="B64" s="86" t="s">
        <v>21</v>
      </c>
      <c r="C64" s="105">
        <v>1.7495907425926747E-3</v>
      </c>
      <c r="D64" s="106">
        <v>0.7316397066518211</v>
      </c>
      <c r="E64" s="107">
        <v>5.7829928647648167E-2</v>
      </c>
      <c r="F64" s="108">
        <v>0.73291821730663675</v>
      </c>
      <c r="G64" s="105">
        <v>9.5517316806592201E-2</v>
      </c>
      <c r="H64" s="106">
        <v>0.73155594017410397</v>
      </c>
      <c r="I64" s="107">
        <v>0.12980624895295384</v>
      </c>
      <c r="J64" s="109">
        <v>0.73134817858849088</v>
      </c>
      <c r="K64" s="128" t="s">
        <v>1417</v>
      </c>
      <c r="L64" s="128" t="s">
        <v>1417</v>
      </c>
      <c r="M64" s="128" t="s">
        <v>1417</v>
      </c>
      <c r="N64" s="128" t="s">
        <v>1417</v>
      </c>
      <c r="O64" s="128" t="s">
        <v>1417</v>
      </c>
      <c r="P64" s="128" t="s">
        <v>1417</v>
      </c>
      <c r="Q64" s="128" t="s">
        <v>1417</v>
      </c>
      <c r="R64" s="128" t="s">
        <v>1417</v>
      </c>
      <c r="S64" s="128" t="s">
        <v>1417</v>
      </c>
      <c r="T64" s="128" t="s">
        <v>1417</v>
      </c>
      <c r="U64" s="128" t="s">
        <v>1417</v>
      </c>
      <c r="V64" s="128" t="s">
        <v>1417</v>
      </c>
      <c r="W64" s="128" t="s">
        <v>1417</v>
      </c>
      <c r="X64" s="128" t="s">
        <v>1417</v>
      </c>
      <c r="Y64" s="128" t="s">
        <v>1417</v>
      </c>
      <c r="Z64" s="33"/>
    </row>
    <row r="65" spans="1:26">
      <c r="A65" s="122"/>
      <c r="B65" s="93" t="s">
        <v>22</v>
      </c>
      <c r="C65" s="87">
        <v>1.6852144100082979E-3</v>
      </c>
      <c r="D65" s="88">
        <v>0.26836029334817885</v>
      </c>
      <c r="E65" s="89">
        <v>1.2468692005734269E-2</v>
      </c>
      <c r="F65" s="90">
        <v>0.26708178269336336</v>
      </c>
      <c r="G65" s="87">
        <v>2.0804895522929131E-2</v>
      </c>
      <c r="H65" s="88">
        <v>0.26844405982589603</v>
      </c>
      <c r="I65" s="89">
        <v>2.5085090838306956E-2</v>
      </c>
      <c r="J65" s="91">
        <v>0.26865182141150901</v>
      </c>
      <c r="K65" s="128" t="s">
        <v>1417</v>
      </c>
      <c r="L65" s="128" t="s">
        <v>1417</v>
      </c>
      <c r="M65" s="128" t="s">
        <v>1417</v>
      </c>
      <c r="N65" s="128" t="s">
        <v>1417</v>
      </c>
      <c r="O65" s="128" t="s">
        <v>1417</v>
      </c>
      <c r="P65" s="128" t="s">
        <v>1417</v>
      </c>
      <c r="Q65" s="128" t="s">
        <v>1417</v>
      </c>
      <c r="R65" s="128" t="s">
        <v>1417</v>
      </c>
      <c r="S65" s="128" t="s">
        <v>1417</v>
      </c>
      <c r="T65" s="128" t="s">
        <v>1417</v>
      </c>
      <c r="U65" s="128" t="s">
        <v>1417</v>
      </c>
      <c r="V65" s="128" t="s">
        <v>1417</v>
      </c>
      <c r="W65" s="128" t="s">
        <v>1417</v>
      </c>
      <c r="X65" s="128" t="s">
        <v>1417</v>
      </c>
      <c r="Y65" s="128" t="s">
        <v>1417</v>
      </c>
      <c r="Z65" s="33"/>
    </row>
    <row r="66" spans="1:26">
      <c r="A66" s="122"/>
      <c r="B66" s="110" t="s">
        <v>25</v>
      </c>
      <c r="C66" s="111">
        <v>3.4348051526009726E-3</v>
      </c>
      <c r="D66" s="112">
        <v>1</v>
      </c>
      <c r="E66" s="113">
        <v>7.0298620653382438E-2</v>
      </c>
      <c r="F66" s="114">
        <v>1</v>
      </c>
      <c r="G66" s="111">
        <v>0.11632221232952134</v>
      </c>
      <c r="H66" s="112">
        <v>1</v>
      </c>
      <c r="I66" s="113">
        <v>0.1548913397912608</v>
      </c>
      <c r="J66" s="115">
        <v>0.99999999999999989</v>
      </c>
      <c r="K66" s="128" t="s">
        <v>1417</v>
      </c>
      <c r="L66" s="128" t="s">
        <v>1417</v>
      </c>
      <c r="M66" s="128" t="s">
        <v>1417</v>
      </c>
      <c r="N66" s="128" t="s">
        <v>1417</v>
      </c>
      <c r="O66" s="128" t="s">
        <v>1417</v>
      </c>
      <c r="P66" s="128" t="s">
        <v>1417</v>
      </c>
      <c r="Q66" s="128" t="s">
        <v>1417</v>
      </c>
      <c r="R66" s="128" t="s">
        <v>1417</v>
      </c>
      <c r="S66" s="128" t="s">
        <v>1417</v>
      </c>
      <c r="T66" s="128" t="s">
        <v>1417</v>
      </c>
      <c r="U66" s="128" t="s">
        <v>1417</v>
      </c>
      <c r="V66" s="128" t="s">
        <v>1417</v>
      </c>
      <c r="W66" s="128" t="s">
        <v>1417</v>
      </c>
      <c r="X66" s="128" t="s">
        <v>1417</v>
      </c>
      <c r="Y66" s="128" t="s">
        <v>1417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25</v>
      </c>
      <c r="AC3" s="16">
        <f>VLOOKUP(הנחיות!B22,AA5:AB9,2,0)</f>
        <v>4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2025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1408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1409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1406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1407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1404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1405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200000</v>
      </c>
      <c r="H700" s="64" t="s">
        <v>86</v>
      </c>
      <c r="I700" s="64" t="s">
        <v>1396</v>
      </c>
      <c r="J700" s="64" t="s">
        <v>83</v>
      </c>
      <c r="K700" s="65">
        <v>123456789</v>
      </c>
      <c r="L700" s="35" t="s">
        <v>88</v>
      </c>
    </row>
    <row r="701" spans="7:12">
      <c r="G701" s="64">
        <v>200000</v>
      </c>
      <c r="H701" s="64" t="s">
        <v>86</v>
      </c>
      <c r="I701" s="64" t="s">
        <v>1396</v>
      </c>
      <c r="J701" s="64" t="s">
        <v>83</v>
      </c>
      <c r="K701" s="65">
        <v>123456789</v>
      </c>
      <c r="L701" s="35" t="s">
        <v>88</v>
      </c>
    </row>
    <row r="702" spans="7:12">
      <c r="G702" s="64">
        <v>200000</v>
      </c>
      <c r="H702" s="64" t="s">
        <v>86</v>
      </c>
      <c r="I702" s="64" t="s">
        <v>1396</v>
      </c>
      <c r="J702" s="64" t="s">
        <v>83</v>
      </c>
      <c r="K702" s="65">
        <v>123456789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 hidden="1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אולה קלוקוב</cp:lastModifiedBy>
  <cp:lastPrinted>2021-05-27T06:23:48Z</cp:lastPrinted>
  <dcterms:created xsi:type="dcterms:W3CDTF">2016-08-07T08:05:35Z</dcterms:created>
  <dcterms:modified xsi:type="dcterms:W3CDTF">2026-01-19T07:07:52Z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