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Public_Folders2\Makefet\הנהלת חשבונות\דיווח כספי\דיווח לאוצר\פרסום מרכיבי תשואה\2025\12-25\קבצים מונגשים 12-25\"/>
    </mc:Choice>
  </mc:AlternateContent>
  <xr:revisionPtr revIDLastSave="0" documentId="8_{FBC58DA3-0328-484D-9EFF-1C1DACC3D3F8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/>
  <c r="C4" i="5"/>
  <c r="C3" i="5"/>
</calcChain>
</file>

<file path=xl/sharedStrings.xml><?xml version="1.0" encoding="utf-8"?>
<sst xmlns="http://schemas.openxmlformats.org/spreadsheetml/2006/main" count="5549" uniqueCount="1418">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</sst>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1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6" xfId="1" applyNumberFormat="1" applyFont="1" applyFill="1" applyBorder="1"/>
    <xf numFmtId="176" fontId="2" fillId="0" borderId="28" xfId="0" applyNumberFormat="1" applyFont="1" applyBorder="1"/>
    <xf numFmtId="176" fontId="2" fillId="0" borderId="19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7" xfId="1" applyNumberFormat="1" applyFont="1" applyFill="1" applyBorder="1"/>
    <xf numFmtId="176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4" t="s">
        <v>1417</v>
      </c>
      <c r="D1" s="8" t="s">
        <v>74</v>
      </c>
    </row>
    <row r="2" spans="1:4">
      <c r="A2" s="70" t="s">
        <v>64</v>
      </c>
      <c r="B2" s="9">
        <v>1</v>
      </c>
      <c r="C2" s="9" t="s">
        <v>65</v>
      </c>
      <c r="D2" s="10" t="s">
        <v>79</v>
      </c>
    </row>
    <row r="3" spans="1:4">
      <c r="A3" s="75"/>
      <c r="B3" s="9">
        <v>2</v>
      </c>
      <c r="C3" s="9" t="s">
        <v>66</v>
      </c>
      <c r="D3" s="10" t="s">
        <v>67</v>
      </c>
    </row>
    <row r="4" spans="1:4">
      <c r="A4" s="75"/>
      <c r="B4" s="9">
        <v>3</v>
      </c>
      <c r="C4" s="9" t="s">
        <v>68</v>
      </c>
      <c r="D4" s="10" t="s">
        <v>69</v>
      </c>
    </row>
    <row r="5" spans="1:4">
      <c r="A5" s="75"/>
      <c r="B5" s="71">
        <v>4</v>
      </c>
      <c r="C5" s="9" t="s">
        <v>70</v>
      </c>
      <c r="D5" s="10" t="s">
        <v>75</v>
      </c>
    </row>
    <row r="6" spans="1:4">
      <c r="A6" s="75"/>
      <c r="B6" s="76"/>
      <c r="C6" s="77"/>
      <c r="D6" s="58" t="s">
        <v>909</v>
      </c>
    </row>
    <row r="7" spans="1:4">
      <c r="A7" s="75"/>
      <c r="B7" s="76"/>
      <c r="C7" s="77"/>
      <c r="D7" s="57" t="s">
        <v>1384</v>
      </c>
    </row>
    <row r="8" spans="1:4">
      <c r="A8" s="75"/>
      <c r="B8" s="76"/>
      <c r="C8" s="77"/>
      <c r="D8" s="59" t="s">
        <v>1385</v>
      </c>
    </row>
    <row r="9" spans="1:4">
      <c r="A9" s="75"/>
      <c r="B9" s="76"/>
      <c r="C9" s="77"/>
      <c r="D9" s="10" t="s">
        <v>76</v>
      </c>
    </row>
    <row r="10" spans="1:4">
      <c r="A10" s="75"/>
      <c r="B10" s="76"/>
      <c r="C10" s="77"/>
      <c r="D10" s="58" t="s">
        <v>77</v>
      </c>
    </row>
    <row r="11" spans="1:4">
      <c r="A11" s="75"/>
      <c r="B11" s="76"/>
      <c r="C11" s="77"/>
      <c r="D11" s="57" t="s">
        <v>78</v>
      </c>
    </row>
    <row r="12" spans="1:4">
      <c r="A12" s="75"/>
      <c r="B12" s="76"/>
      <c r="C12" s="77"/>
      <c r="D12" s="10" t="s">
        <v>71</v>
      </c>
    </row>
    <row r="13" spans="1:4">
      <c r="A13" s="75"/>
      <c r="B13" s="76"/>
      <c r="C13" s="77"/>
      <c r="D13" s="10" t="s">
        <v>1377</v>
      </c>
    </row>
    <row r="14" spans="1:4">
      <c r="A14" s="75"/>
      <c r="B14" s="76"/>
      <c r="C14" s="77"/>
      <c r="D14" s="10" t="s">
        <v>1378</v>
      </c>
    </row>
    <row r="15" spans="1:4">
      <c r="A15" s="72" t="s">
        <v>905</v>
      </c>
      <c r="B15" s="9">
        <v>5</v>
      </c>
      <c r="C15" s="9" t="s">
        <v>72</v>
      </c>
      <c r="D15" s="10" t="s">
        <v>73</v>
      </c>
    </row>
    <row r="16" spans="1:4">
      <c r="A16" s="78"/>
      <c r="B16" s="9">
        <v>6</v>
      </c>
      <c r="C16" s="77"/>
      <c r="D16" s="9" t="s">
        <v>904</v>
      </c>
    </row>
    <row r="17" spans="1:4" ht="28.5">
      <c r="A17" s="79"/>
      <c r="B17" s="9">
        <v>7</v>
      </c>
      <c r="C17" s="77"/>
      <c r="D17" s="60" t="s">
        <v>1403</v>
      </c>
    </row>
    <row r="19" spans="1:4" ht="16.899999999999999" customHeight="1">
      <c r="A19" s="12" t="s">
        <v>885</v>
      </c>
      <c r="B19" s="30">
        <v>2025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8803</v>
      </c>
      <c r="C21" s="27"/>
    </row>
    <row r="22" spans="1:4" ht="15">
      <c r="A22" s="13" t="s">
        <v>886</v>
      </c>
      <c r="B22" s="30" t="s">
        <v>1416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אישית לבני 60 ומעלה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512237744_p8803_Yield425.xlsx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2"/>
      <c r="B1" s="3" t="s">
        <v>0</v>
      </c>
    </row>
    <row r="2" spans="1:31" ht="18.75">
      <c r="A2" s="122"/>
      <c r="B2" s="6" t="s">
        <v>821</v>
      </c>
      <c r="C2" s="25">
        <f>הנחיות!B21</f>
        <v>8803</v>
      </c>
      <c r="D2" s="73"/>
      <c r="E2" s="73"/>
    </row>
    <row r="3" spans="1:31" ht="18.75">
      <c r="A3" s="122"/>
      <c r="B3" s="7" t="s">
        <v>28</v>
      </c>
      <c r="C3" s="24" t="str">
        <f ca="1">הנחיות!B23</f>
        <v>מגדל מקפת אישית לבני 60 ומעלה</v>
      </c>
      <c r="D3" s="24"/>
    </row>
    <row r="4" spans="1:31" ht="18.75">
      <c r="A4" s="12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2"/>
      <c r="B5" s="7" t="s">
        <v>29</v>
      </c>
      <c r="C5" s="25">
        <f>הנחיות!B19</f>
        <v>2025</v>
      </c>
      <c r="D5" s="7" t="s">
        <v>903</v>
      </c>
      <c r="E5" s="25" t="str">
        <f>הנחיות!B22</f>
        <v>31.12.25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4">
        <f>W5+1</f>
        <v>1</v>
      </c>
      <c r="Z5" s="4"/>
    </row>
    <row r="6" spans="1:31" s="20" customFormat="1" ht="47.45" customHeight="1">
      <c r="A6" s="124"/>
      <c r="B6" s="116" t="s">
        <v>26</v>
      </c>
      <c r="C6" s="117" t="s">
        <v>30</v>
      </c>
      <c r="D6" s="118" t="s">
        <v>31</v>
      </c>
      <c r="E6" s="119" t="s">
        <v>32</v>
      </c>
      <c r="F6" s="120" t="s">
        <v>33</v>
      </c>
      <c r="G6" s="117" t="s">
        <v>34</v>
      </c>
      <c r="H6" s="118" t="s">
        <v>35</v>
      </c>
      <c r="I6" s="119" t="s">
        <v>36</v>
      </c>
      <c r="J6" s="120" t="s">
        <v>37</v>
      </c>
      <c r="K6" s="117" t="s">
        <v>38</v>
      </c>
      <c r="L6" s="118" t="s">
        <v>39</v>
      </c>
      <c r="M6" s="119" t="s">
        <v>40</v>
      </c>
      <c r="N6" s="120" t="s">
        <v>41</v>
      </c>
      <c r="O6" s="117" t="s">
        <v>42</v>
      </c>
      <c r="P6" s="118" t="s">
        <v>43</v>
      </c>
      <c r="Q6" s="119" t="s">
        <v>44</v>
      </c>
      <c r="R6" s="120" t="s">
        <v>45</v>
      </c>
      <c r="S6" s="117" t="s">
        <v>46</v>
      </c>
      <c r="T6" s="118" t="s">
        <v>47</v>
      </c>
      <c r="U6" s="119" t="s">
        <v>48</v>
      </c>
      <c r="V6" s="120" t="s">
        <v>49</v>
      </c>
      <c r="W6" s="117" t="s">
        <v>50</v>
      </c>
      <c r="X6" s="118" t="s">
        <v>51</v>
      </c>
      <c r="Y6" s="119" t="s">
        <v>52</v>
      </c>
      <c r="Z6" s="121" t="s">
        <v>53</v>
      </c>
      <c r="AE6" s="21"/>
    </row>
    <row r="7" spans="1:31">
      <c r="A7" s="122"/>
      <c r="B7" s="86" t="s">
        <v>1</v>
      </c>
      <c r="C7" s="87">
        <v>-3.3413580314043312E-4</v>
      </c>
      <c r="D7" s="88">
        <v>0.10971577261403373</v>
      </c>
      <c r="E7" s="89">
        <v>2.8342684804468892E-4</v>
      </c>
      <c r="F7" s="90">
        <v>0.11628917378556981</v>
      </c>
      <c r="G7" s="87">
        <v>1.8489403431119393E-3</v>
      </c>
      <c r="H7" s="88">
        <v>0.11954445051418616</v>
      </c>
      <c r="I7" s="89">
        <v>-7.0828211416198398E-4</v>
      </c>
      <c r="J7" s="90">
        <v>0.12724143259584114</v>
      </c>
      <c r="K7" s="87">
        <v>-8.330057648810521E-4</v>
      </c>
      <c r="L7" s="88">
        <v>0.12548504898114807</v>
      </c>
      <c r="M7" s="89">
        <v>-5.8061768174310084E-4</v>
      </c>
      <c r="N7" s="90">
        <v>0.12722827749899099</v>
      </c>
      <c r="O7" s="87">
        <v>4.9059838880502775E-4</v>
      </c>
      <c r="P7" s="88">
        <v>0.12682310685678172</v>
      </c>
      <c r="Q7" s="89">
        <v>5.9608737474961777E-5</v>
      </c>
      <c r="R7" s="90">
        <v>0.11891018406948453</v>
      </c>
      <c r="S7" s="87">
        <v>1.3407147764265753E-4</v>
      </c>
      <c r="T7" s="88">
        <v>0.11243853132694449</v>
      </c>
      <c r="U7" s="89">
        <v>-2.3559298566763197E-5</v>
      </c>
      <c r="V7" s="90">
        <v>0.11913811311460337</v>
      </c>
      <c r="W7" s="87">
        <v>4.9703871765085649E-4</v>
      </c>
      <c r="X7" s="88">
        <v>0.11374068592955339</v>
      </c>
      <c r="Y7" s="89">
        <v>-1.370607517118045E-4</v>
      </c>
      <c r="Z7" s="91">
        <v>0.10857522545817139</v>
      </c>
      <c r="AE7" s="2"/>
    </row>
    <row r="8" spans="1:31" ht="30">
      <c r="A8" s="122"/>
      <c r="B8" s="92" t="s">
        <v>908</v>
      </c>
      <c r="C8" s="87">
        <v>8.6540944842293901E-4</v>
      </c>
      <c r="D8" s="88">
        <v>0.37385855432643444</v>
      </c>
      <c r="E8" s="89">
        <v>3.5375998962196725E-3</v>
      </c>
      <c r="F8" s="90">
        <v>0.37594417475426378</v>
      </c>
      <c r="G8" s="87">
        <v>1.6215517182695846E-4</v>
      </c>
      <c r="H8" s="88">
        <v>0.37457201735499546</v>
      </c>
      <c r="I8" s="89">
        <v>3.7758179244491807E-3</v>
      </c>
      <c r="J8" s="90">
        <v>0.3729104424359696</v>
      </c>
      <c r="K8" s="87">
        <v>3.0728272279567414E-3</v>
      </c>
      <c r="L8" s="88">
        <v>0.37325575916482318</v>
      </c>
      <c r="M8" s="89">
        <v>2.8932202487199949E-3</v>
      </c>
      <c r="N8" s="90">
        <v>0.37580884158074573</v>
      </c>
      <c r="O8" s="87">
        <v>1.5465972175717998E-3</v>
      </c>
      <c r="P8" s="88">
        <v>0.37924065390541684</v>
      </c>
      <c r="Q8" s="89">
        <v>3.2843082405692686E-3</v>
      </c>
      <c r="R8" s="90">
        <v>0.38426651837784681</v>
      </c>
      <c r="S8" s="87">
        <v>3.8773187875801628E-3</v>
      </c>
      <c r="T8" s="88">
        <v>0.38631609364336111</v>
      </c>
      <c r="U8" s="89">
        <v>1.2155727604489231E-3</v>
      </c>
      <c r="V8" s="90">
        <v>0.38144461321986534</v>
      </c>
      <c r="W8" s="87">
        <v>2.612343577548271E-3</v>
      </c>
      <c r="X8" s="88">
        <v>0.38618183560798952</v>
      </c>
      <c r="Y8" s="89">
        <v>-5.0979050077940629E-5</v>
      </c>
      <c r="Z8" s="91">
        <v>0.38352513245110098</v>
      </c>
      <c r="AE8" s="2"/>
    </row>
    <row r="9" spans="1:31">
      <c r="A9" s="122"/>
      <c r="B9" s="93" t="s">
        <v>2</v>
      </c>
      <c r="C9" s="87">
        <v>0</v>
      </c>
      <c r="D9" s="88">
        <v>0</v>
      </c>
      <c r="E9" s="89">
        <v>0</v>
      </c>
      <c r="F9" s="90">
        <v>0</v>
      </c>
      <c r="G9" s="87">
        <v>0</v>
      </c>
      <c r="H9" s="88">
        <v>0</v>
      </c>
      <c r="I9" s="89">
        <v>0</v>
      </c>
      <c r="J9" s="90">
        <v>0</v>
      </c>
      <c r="K9" s="87">
        <v>0</v>
      </c>
      <c r="L9" s="88">
        <v>0</v>
      </c>
      <c r="M9" s="89">
        <v>0</v>
      </c>
      <c r="N9" s="90">
        <v>0</v>
      </c>
      <c r="O9" s="87">
        <v>0</v>
      </c>
      <c r="P9" s="88">
        <v>0</v>
      </c>
      <c r="Q9" s="89">
        <v>0</v>
      </c>
      <c r="R9" s="90">
        <v>0</v>
      </c>
      <c r="S9" s="87">
        <v>0</v>
      </c>
      <c r="T9" s="88">
        <v>0</v>
      </c>
      <c r="U9" s="89">
        <v>0</v>
      </c>
      <c r="V9" s="90">
        <v>0</v>
      </c>
      <c r="W9" s="87">
        <v>0</v>
      </c>
      <c r="X9" s="88">
        <v>0</v>
      </c>
      <c r="Y9" s="89">
        <v>0</v>
      </c>
      <c r="Z9" s="91">
        <v>0</v>
      </c>
      <c r="AE9" s="2"/>
    </row>
    <row r="10" spans="1:31">
      <c r="A10" s="122"/>
      <c r="B10" s="93" t="s">
        <v>3</v>
      </c>
      <c r="C10" s="87">
        <v>-1.0888139732342875E-5</v>
      </c>
      <c r="D10" s="88">
        <v>7.5157344171702229E-4</v>
      </c>
      <c r="E10" s="89">
        <v>-5.2614370169317614E-7</v>
      </c>
      <c r="F10" s="90">
        <v>5.4292706458017965E-4</v>
      </c>
      <c r="G10" s="87">
        <v>0</v>
      </c>
      <c r="H10" s="88">
        <v>0</v>
      </c>
      <c r="I10" s="89">
        <v>0</v>
      </c>
      <c r="J10" s="90">
        <v>0</v>
      </c>
      <c r="K10" s="87">
        <v>0</v>
      </c>
      <c r="L10" s="88">
        <v>0</v>
      </c>
      <c r="M10" s="89">
        <v>0</v>
      </c>
      <c r="N10" s="90">
        <v>0</v>
      </c>
      <c r="O10" s="87">
        <v>0</v>
      </c>
      <c r="P10" s="88">
        <v>0</v>
      </c>
      <c r="Q10" s="89">
        <v>0</v>
      </c>
      <c r="R10" s="90">
        <v>0</v>
      </c>
      <c r="S10" s="87">
        <v>0</v>
      </c>
      <c r="T10" s="88">
        <v>0</v>
      </c>
      <c r="U10" s="89">
        <v>0</v>
      </c>
      <c r="V10" s="90">
        <v>0</v>
      </c>
      <c r="W10" s="87">
        <v>0</v>
      </c>
      <c r="X10" s="88">
        <v>0</v>
      </c>
      <c r="Y10" s="89">
        <v>0</v>
      </c>
      <c r="Z10" s="91">
        <v>0</v>
      </c>
      <c r="AE10" s="2"/>
    </row>
    <row r="11" spans="1:31">
      <c r="A11" s="122"/>
      <c r="B11" s="93" t="s">
        <v>4</v>
      </c>
      <c r="C11" s="87">
        <v>7.5991687496375948E-5</v>
      </c>
      <c r="D11" s="88">
        <v>0.1682010948753683</v>
      </c>
      <c r="E11" s="89">
        <v>1.6452684768214312E-3</v>
      </c>
      <c r="F11" s="90">
        <v>0.16173605007470618</v>
      </c>
      <c r="G11" s="87">
        <v>3.518228620439029E-4</v>
      </c>
      <c r="H11" s="88">
        <v>0.16108080720910789</v>
      </c>
      <c r="I11" s="89">
        <v>1.0204691563819577E-3</v>
      </c>
      <c r="J11" s="90">
        <v>0.16398240864259384</v>
      </c>
      <c r="K11" s="87">
        <v>-1.3243172107830334E-5</v>
      </c>
      <c r="L11" s="88">
        <v>0.1624611314571347</v>
      </c>
      <c r="M11" s="89">
        <v>1.9370395580117444E-3</v>
      </c>
      <c r="N11" s="90">
        <v>0.16123301875323712</v>
      </c>
      <c r="O11" s="87">
        <v>6.268117196115983E-4</v>
      </c>
      <c r="P11" s="88">
        <v>0.1598851077006333</v>
      </c>
      <c r="Q11" s="89">
        <v>1.0519238541430486E-3</v>
      </c>
      <c r="R11" s="90">
        <v>0.16169806956522631</v>
      </c>
      <c r="S11" s="87">
        <v>1.3383564154071674E-3</v>
      </c>
      <c r="T11" s="88">
        <v>0.16213204240314608</v>
      </c>
      <c r="U11" s="89">
        <v>6.6548220144636416E-4</v>
      </c>
      <c r="V11" s="90">
        <v>0.16066159119476314</v>
      </c>
      <c r="W11" s="87">
        <v>6.2715074734989468E-4</v>
      </c>
      <c r="X11" s="88">
        <v>0.162978454121745</v>
      </c>
      <c r="Y11" s="89">
        <v>4.0313871212207695E-4</v>
      </c>
      <c r="Z11" s="91">
        <v>0.16424254877328642</v>
      </c>
      <c r="AE11" s="2"/>
    </row>
    <row r="12" spans="1:31">
      <c r="A12" s="122"/>
      <c r="B12" s="93" t="s">
        <v>5</v>
      </c>
      <c r="C12" s="87">
        <v>-1.3650848069257534E-6</v>
      </c>
      <c r="D12" s="88">
        <v>5.7353699290514639E-3</v>
      </c>
      <c r="E12" s="89">
        <v>7.0860437455734542E-5</v>
      </c>
      <c r="F12" s="90">
        <v>6.4552899734232356E-3</v>
      </c>
      <c r="G12" s="87">
        <v>-3.2856844363925531E-5</v>
      </c>
      <c r="H12" s="88">
        <v>5.6959818827635993E-3</v>
      </c>
      <c r="I12" s="89">
        <v>4.210525124432554E-5</v>
      </c>
      <c r="J12" s="90">
        <v>5.6251108742619241E-3</v>
      </c>
      <c r="K12" s="87">
        <v>-1.4328620894250935E-6</v>
      </c>
      <c r="L12" s="88">
        <v>5.5352831889998325E-3</v>
      </c>
      <c r="M12" s="89">
        <v>9.145350588834095E-5</v>
      </c>
      <c r="N12" s="90">
        <v>5.459301748829571E-3</v>
      </c>
      <c r="O12" s="87">
        <v>3.8002522612484267E-5</v>
      </c>
      <c r="P12" s="88">
        <v>5.3310535709192794E-3</v>
      </c>
      <c r="Q12" s="89">
        <v>4.2911471297562151E-5</v>
      </c>
      <c r="R12" s="90">
        <v>5.360653250352539E-3</v>
      </c>
      <c r="S12" s="87">
        <v>3.9028945499746442E-5</v>
      </c>
      <c r="T12" s="88">
        <v>5.5036350981605706E-3</v>
      </c>
      <c r="U12" s="89">
        <v>4.5113040229613972E-5</v>
      </c>
      <c r="V12" s="90">
        <v>5.2623716767845365E-3</v>
      </c>
      <c r="W12" s="87">
        <v>1.6932072216301285E-5</v>
      </c>
      <c r="X12" s="88">
        <v>5.1709299821419011E-3</v>
      </c>
      <c r="Y12" s="89">
        <v>1.2671233288784655E-6</v>
      </c>
      <c r="Z12" s="91">
        <v>5.0479462856781203E-3</v>
      </c>
      <c r="AE12" s="2"/>
    </row>
    <row r="13" spans="1:31">
      <c r="A13" s="122"/>
      <c r="B13" s="93" t="s">
        <v>6</v>
      </c>
      <c r="C13" s="87">
        <v>2.0117093096703562E-3</v>
      </c>
      <c r="D13" s="88">
        <v>9.9385801701060122E-2</v>
      </c>
      <c r="E13" s="89">
        <v>5.9944501145401114E-6</v>
      </c>
      <c r="F13" s="90">
        <v>0.10082682582264767</v>
      </c>
      <c r="G13" s="87">
        <v>-4.127846151782944E-3</v>
      </c>
      <c r="H13" s="88">
        <v>9.9271141914003685E-2</v>
      </c>
      <c r="I13" s="89">
        <v>3.380569009468341E-3</v>
      </c>
      <c r="J13" s="90">
        <v>0.10083308172414422</v>
      </c>
      <c r="K13" s="87">
        <v>4.7429279855272363E-3</v>
      </c>
      <c r="L13" s="88">
        <v>0.10072839022534406</v>
      </c>
      <c r="M13" s="89">
        <v>8.8314684057947332E-3</v>
      </c>
      <c r="N13" s="90">
        <v>0.1021225502049906</v>
      </c>
      <c r="O13" s="87">
        <v>1.5579784903425402E-3</v>
      </c>
      <c r="P13" s="88">
        <v>0.10550949174571393</v>
      </c>
      <c r="Q13" s="89">
        <v>5.841089901361384E-4</v>
      </c>
      <c r="R13" s="90">
        <v>0.10642183624071722</v>
      </c>
      <c r="S13" s="87">
        <v>4.6406595560231027E-3</v>
      </c>
      <c r="T13" s="88">
        <v>0.11259247075102639</v>
      </c>
      <c r="U13" s="89">
        <v>3.5821335477856072E-3</v>
      </c>
      <c r="V13" s="90">
        <v>0.11776302756398026</v>
      </c>
      <c r="W13" s="87">
        <v>3.411021530370182E-3</v>
      </c>
      <c r="X13" s="88">
        <v>0.11905696935438251</v>
      </c>
      <c r="Y13" s="89">
        <v>4.89722236761951E-3</v>
      </c>
      <c r="Z13" s="91">
        <v>0.12436399676090017</v>
      </c>
      <c r="AE13" s="2"/>
    </row>
    <row r="14" spans="1:31">
      <c r="A14" s="122"/>
      <c r="B14" s="93" t="s">
        <v>62</v>
      </c>
      <c r="C14" s="87">
        <v>1.9080306513101586E-3</v>
      </c>
      <c r="D14" s="88">
        <v>8.5979568075216187E-2</v>
      </c>
      <c r="E14" s="89">
        <v>8.094397695603084E-4</v>
      </c>
      <c r="F14" s="90">
        <v>8.6502677337586639E-2</v>
      </c>
      <c r="G14" s="87">
        <v>2.6648015869775013E-4</v>
      </c>
      <c r="H14" s="88">
        <v>8.923218295949957E-2</v>
      </c>
      <c r="I14" s="89">
        <v>-1.4243247478606141E-4</v>
      </c>
      <c r="J14" s="90">
        <v>8.1601192625464739E-2</v>
      </c>
      <c r="K14" s="87">
        <v>2.0457379486585646E-3</v>
      </c>
      <c r="L14" s="88">
        <v>8.0885359471573229E-2</v>
      </c>
      <c r="M14" s="89">
        <v>1.8922196099461562E-3</v>
      </c>
      <c r="N14" s="90">
        <v>8.0184730120981637E-2</v>
      </c>
      <c r="O14" s="87">
        <v>7.662451362809887E-4</v>
      </c>
      <c r="P14" s="88">
        <v>7.7893141176148914E-2</v>
      </c>
      <c r="Q14" s="89">
        <v>6.1774063608753863E-4</v>
      </c>
      <c r="R14" s="90">
        <v>7.8619482299151375E-2</v>
      </c>
      <c r="S14" s="87">
        <v>1.787128928414198E-3</v>
      </c>
      <c r="T14" s="88">
        <v>7.6971799646631381E-2</v>
      </c>
      <c r="U14" s="89">
        <v>1.9805131868111988E-4</v>
      </c>
      <c r="V14" s="90">
        <v>7.6323323229714204E-2</v>
      </c>
      <c r="W14" s="87">
        <v>1.168754809295169E-3</v>
      </c>
      <c r="X14" s="88">
        <v>7.8092605256102052E-2</v>
      </c>
      <c r="Y14" s="89">
        <v>2.4119015848585043E-4</v>
      </c>
      <c r="Z14" s="91">
        <v>8.2688991463457706E-2</v>
      </c>
      <c r="AE14" s="2"/>
    </row>
    <row r="15" spans="1:31">
      <c r="A15" s="122"/>
      <c r="B15" s="93" t="s">
        <v>7</v>
      </c>
      <c r="C15" s="87">
        <v>-1.9487925848077432E-4</v>
      </c>
      <c r="D15" s="88">
        <v>5.8732668063178695E-3</v>
      </c>
      <c r="E15" s="89">
        <v>-3.0603315426048472E-5</v>
      </c>
      <c r="F15" s="90">
        <v>5.8484723685237267E-3</v>
      </c>
      <c r="G15" s="87">
        <v>3.6633209642905119E-4</v>
      </c>
      <c r="H15" s="88">
        <v>6.0928746633443767E-3</v>
      </c>
      <c r="I15" s="89">
        <v>-4.0197271116196979E-5</v>
      </c>
      <c r="J15" s="90">
        <v>6.2002879075988282E-3</v>
      </c>
      <c r="K15" s="87">
        <v>-8.0906641638029723E-5</v>
      </c>
      <c r="L15" s="88">
        <v>5.9327054978976189E-3</v>
      </c>
      <c r="M15" s="89">
        <v>-8.7545306801248472E-5</v>
      </c>
      <c r="N15" s="90">
        <v>5.6921476610489229E-3</v>
      </c>
      <c r="O15" s="87">
        <v>-3.4260779814244212E-5</v>
      </c>
      <c r="P15" s="88">
        <v>5.0047062252861398E-3</v>
      </c>
      <c r="Q15" s="89">
        <v>-1.7616143388285761E-5</v>
      </c>
      <c r="R15" s="90">
        <v>4.9952177183896695E-3</v>
      </c>
      <c r="S15" s="87">
        <v>-7.1523589385673505E-6</v>
      </c>
      <c r="T15" s="88">
        <v>4.931410150887665E-3</v>
      </c>
      <c r="U15" s="89">
        <v>-3.7276890659094979E-5</v>
      </c>
      <c r="V15" s="90">
        <v>4.7204734033587589E-3</v>
      </c>
      <c r="W15" s="87">
        <v>3.1167446791258425E-5</v>
      </c>
      <c r="X15" s="88">
        <v>4.4988190881285334E-3</v>
      </c>
      <c r="Y15" s="89">
        <v>-6.3879915323400505E-5</v>
      </c>
      <c r="Z15" s="91">
        <v>4.8302620163830374E-3</v>
      </c>
      <c r="AE15" s="2"/>
    </row>
    <row r="16" spans="1:31">
      <c r="A16" s="122"/>
      <c r="B16" s="93" t="s">
        <v>8</v>
      </c>
      <c r="C16" s="87">
        <v>-1.3971057529893571E-3</v>
      </c>
      <c r="D16" s="88">
        <v>7.0682243274886508E-2</v>
      </c>
      <c r="E16" s="89">
        <v>6.4056806821747702E-4</v>
      </c>
      <c r="F16" s="90">
        <v>6.7951601839796733E-2</v>
      </c>
      <c r="G16" s="87">
        <v>4.2316567541841E-3</v>
      </c>
      <c r="H16" s="88">
        <v>7.0744273528467128E-2</v>
      </c>
      <c r="I16" s="89">
        <v>1.5436160055654649E-4</v>
      </c>
      <c r="J16" s="90">
        <v>7.3033430252304715E-2</v>
      </c>
      <c r="K16" s="87">
        <v>-1.7375368493980569E-3</v>
      </c>
      <c r="L16" s="88">
        <v>6.9321202874988941E-2</v>
      </c>
      <c r="M16" s="89">
        <v>-1.6879504994551614E-3</v>
      </c>
      <c r="N16" s="90">
        <v>6.5971245757082728E-2</v>
      </c>
      <c r="O16" s="87">
        <v>-2.1401333535377249E-4</v>
      </c>
      <c r="P16" s="88">
        <v>6.2673982531157843E-2</v>
      </c>
      <c r="Q16" s="89">
        <v>2.7798696921638969E-4</v>
      </c>
      <c r="R16" s="90">
        <v>6.3281004815672628E-2</v>
      </c>
      <c r="S16" s="87">
        <v>-1.8017095297526021E-4</v>
      </c>
      <c r="T16" s="88">
        <v>6.1410559910232004E-2</v>
      </c>
      <c r="U16" s="89">
        <v>-1.2363909202573959E-3</v>
      </c>
      <c r="V16" s="90">
        <v>5.986739880409496E-2</v>
      </c>
      <c r="W16" s="87">
        <v>1.0395131528073975E-3</v>
      </c>
      <c r="X16" s="88">
        <v>5.8180575712081004E-2</v>
      </c>
      <c r="Y16" s="89">
        <v>-7.8395188108840099E-4</v>
      </c>
      <c r="Z16" s="91">
        <v>5.6758448090844613E-2</v>
      </c>
      <c r="AE16" s="2"/>
    </row>
    <row r="17" spans="1:31">
      <c r="A17" s="122"/>
      <c r="B17" s="93" t="s">
        <v>9</v>
      </c>
      <c r="C17" s="87">
        <v>2.5313893612422445E-6</v>
      </c>
      <c r="D17" s="88">
        <v>1.6219433635559531E-4</v>
      </c>
      <c r="E17" s="89">
        <v>3.5568224196273906E-6</v>
      </c>
      <c r="F17" s="90">
        <v>1.6621242684994864E-4</v>
      </c>
      <c r="G17" s="87">
        <v>-1.9081021787603886E-5</v>
      </c>
      <c r="H17" s="88">
        <v>1.487030305200174E-4</v>
      </c>
      <c r="I17" s="89">
        <v>3.0605748715369329E-6</v>
      </c>
      <c r="J17" s="90">
        <v>1.1583704319799083E-4</v>
      </c>
      <c r="K17" s="87">
        <v>1.7557069818034842E-5</v>
      </c>
      <c r="L17" s="88">
        <v>1.1814935199482461E-4</v>
      </c>
      <c r="M17" s="89">
        <v>2.125028467676717E-5</v>
      </c>
      <c r="N17" s="90">
        <v>1.2725182648163169E-4</v>
      </c>
      <c r="O17" s="87">
        <v>5.5918735201384885E-6</v>
      </c>
      <c r="P17" s="88">
        <v>1.6141212472353732E-4</v>
      </c>
      <c r="Q17" s="89">
        <v>-5.4340723974173051E-6</v>
      </c>
      <c r="R17" s="90">
        <v>1.5838047146318212E-4</v>
      </c>
      <c r="S17" s="87">
        <v>1.9731077350311856E-6</v>
      </c>
      <c r="T17" s="88">
        <v>1.6254667025692346E-4</v>
      </c>
      <c r="U17" s="89">
        <v>2.4395938930347659E-5</v>
      </c>
      <c r="V17" s="90">
        <v>1.8315867452347743E-4</v>
      </c>
      <c r="W17" s="87">
        <v>8.6639906280622348E-6</v>
      </c>
      <c r="X17" s="88">
        <v>1.6431708099119238E-4</v>
      </c>
      <c r="Y17" s="89">
        <v>1.7616521691587538E-5</v>
      </c>
      <c r="Z17" s="91">
        <v>1.6479924209006529E-4</v>
      </c>
      <c r="AE17" s="2"/>
    </row>
    <row r="18" spans="1:31">
      <c r="A18" s="122"/>
      <c r="B18" s="93" t="s">
        <v>10</v>
      </c>
      <c r="C18" s="87">
        <v>3.9318280188549515E-3</v>
      </c>
      <c r="D18" s="88">
        <v>2.485443463434496E-3</v>
      </c>
      <c r="E18" s="89">
        <v>-1.5258184844333643E-3</v>
      </c>
      <c r="F18" s="90">
        <v>4.0374625327967316E-3</v>
      </c>
      <c r="G18" s="87">
        <v>-9.117310668666917E-3</v>
      </c>
      <c r="H18" s="88">
        <v>-2.3082668927252871E-3</v>
      </c>
      <c r="I18" s="89">
        <v>1.3320032758293572E-3</v>
      </c>
      <c r="J18" s="90">
        <v>-6.8775961092611814E-3</v>
      </c>
      <c r="K18" s="87">
        <v>7.4817696653050932E-3</v>
      </c>
      <c r="L18" s="88">
        <v>2.9042669558481862E-3</v>
      </c>
      <c r="M18" s="89">
        <v>7.0399864510697178E-3</v>
      </c>
      <c r="N18" s="90">
        <v>4.1745226962520412E-3</v>
      </c>
      <c r="O18" s="87">
        <v>1.9012823542661895E-3</v>
      </c>
      <c r="P18" s="88">
        <v>8.5438415921126071E-3</v>
      </c>
      <c r="Q18" s="89">
        <v>2.4344410578738774E-3</v>
      </c>
      <c r="R18" s="90">
        <v>7.9690769900035967E-3</v>
      </c>
      <c r="S18" s="87">
        <v>4.105725021460279E-3</v>
      </c>
      <c r="T18" s="88">
        <v>6.9124391822091907E-3</v>
      </c>
      <c r="U18" s="89">
        <v>4.3695160628589936E-3</v>
      </c>
      <c r="V18" s="90">
        <v>6.8720155780084783E-3</v>
      </c>
      <c r="W18" s="87">
        <v>-5.0536837762295273E-4</v>
      </c>
      <c r="X18" s="88">
        <v>5.981857822305375E-3</v>
      </c>
      <c r="Y18" s="89">
        <v>1.086866043510314E-3</v>
      </c>
      <c r="Z18" s="91">
        <v>4.9373963404174531E-3</v>
      </c>
      <c r="AE18" s="2"/>
    </row>
    <row r="19" spans="1:31">
      <c r="A19" s="122"/>
      <c r="B19" s="93" t="s">
        <v>11</v>
      </c>
      <c r="C19" s="87">
        <v>9.7172808065694447E-5</v>
      </c>
      <c r="D19" s="88">
        <v>1.8503992751853194E-4</v>
      </c>
      <c r="E19" s="89">
        <v>-1.7994049329615392E-5</v>
      </c>
      <c r="F19" s="90">
        <v>1.3413722668701551E-4</v>
      </c>
      <c r="G19" s="87">
        <v>6.2623934584981318E-5</v>
      </c>
      <c r="H19" s="88">
        <v>1.5124233470441411E-4</v>
      </c>
      <c r="I19" s="89">
        <v>1.4340977014016548E-4</v>
      </c>
      <c r="J19" s="90">
        <v>1.5575139242902066E-4</v>
      </c>
      <c r="K19" s="87">
        <v>2.5056360521388571E-4</v>
      </c>
      <c r="L19" s="88">
        <v>2.4952382502886904E-4</v>
      </c>
      <c r="M19" s="89">
        <v>2.2635969226205186E-4</v>
      </c>
      <c r="N19" s="90">
        <v>2.2458113479749227E-4</v>
      </c>
      <c r="O19" s="87">
        <v>-7.5653174330089049E-5</v>
      </c>
      <c r="P19" s="88">
        <v>1.3180054864156605E-4</v>
      </c>
      <c r="Q19" s="89">
        <v>2.4987838601855451E-5</v>
      </c>
      <c r="R19" s="90">
        <v>-6.1706276821386446E-5</v>
      </c>
      <c r="S19" s="87">
        <v>-1.7742702867614683E-5</v>
      </c>
      <c r="T19" s="88">
        <v>-1.1754191317064667E-5</v>
      </c>
      <c r="U19" s="89">
        <v>-2.0350400831337126E-5</v>
      </c>
      <c r="V19" s="90">
        <v>1.0570472279404905E-4</v>
      </c>
      <c r="W19" s="87">
        <v>2.0033337979577845E-4</v>
      </c>
      <c r="X19" s="88">
        <v>1.222573775273792E-4</v>
      </c>
      <c r="Y19" s="89">
        <v>6.1690596483276731E-6</v>
      </c>
      <c r="Z19" s="91">
        <v>1.395404132256011E-4</v>
      </c>
    </row>
    <row r="20" spans="1:31">
      <c r="A20" s="122"/>
      <c r="B20" s="93" t="s">
        <v>12</v>
      </c>
      <c r="C20" s="87">
        <v>-7.8232157632025565E-6</v>
      </c>
      <c r="D20" s="88">
        <v>2.3872247029154453E-3</v>
      </c>
      <c r="E20" s="89">
        <v>1.2128155194940972E-5</v>
      </c>
      <c r="F20" s="90">
        <v>1.4841080973876635E-3</v>
      </c>
      <c r="G20" s="87">
        <v>1.6769168740308257E-5</v>
      </c>
      <c r="H20" s="88">
        <v>2.2875943161119322E-3</v>
      </c>
      <c r="I20" s="89">
        <v>1.564561162468454E-5</v>
      </c>
      <c r="J20" s="90">
        <v>2.273568391479912E-3</v>
      </c>
      <c r="K20" s="87">
        <v>1.2349553687027201E-5</v>
      </c>
      <c r="L20" s="88">
        <v>2.6761647967630383E-3</v>
      </c>
      <c r="M20" s="89">
        <v>3.4985824985838783E-5</v>
      </c>
      <c r="N20" s="90">
        <v>3.3230713336067511E-3</v>
      </c>
      <c r="O20" s="87">
        <v>1.3513619467591769E-5</v>
      </c>
      <c r="P20" s="88">
        <v>3.452544724896102E-3</v>
      </c>
      <c r="Q20" s="89">
        <v>1.2627882434845774E-5</v>
      </c>
      <c r="R20" s="90">
        <v>3.9094668125551086E-3</v>
      </c>
      <c r="S20" s="87">
        <v>2.1641254045630579E-6</v>
      </c>
      <c r="T20" s="88">
        <v>6.0207732161448079E-3</v>
      </c>
      <c r="U20" s="89">
        <v>6.1057732178813301E-5</v>
      </c>
      <c r="V20" s="90">
        <v>6.3106968964699141E-3</v>
      </c>
      <c r="W20" s="87">
        <v>2.8652903360359762E-5</v>
      </c>
      <c r="X20" s="88">
        <v>6.1588062487470622E-3</v>
      </c>
      <c r="Y20" s="89">
        <v>2.600049214035271E-5</v>
      </c>
      <c r="Z20" s="91">
        <v>6.0206173736583497E-3</v>
      </c>
    </row>
    <row r="21" spans="1:31">
      <c r="A21" s="122"/>
      <c r="B21" s="93" t="s">
        <v>13</v>
      </c>
      <c r="C21" s="87">
        <v>-7.6708446579300772E-5</v>
      </c>
      <c r="D21" s="88">
        <v>6.5638794074362863E-2</v>
      </c>
      <c r="E21" s="89">
        <v>4.8348895131960948E-4</v>
      </c>
      <c r="F21" s="90">
        <v>6.3463356119523834E-2</v>
      </c>
      <c r="G21" s="87">
        <v>5.0875921550827151E-4</v>
      </c>
      <c r="H21" s="88">
        <v>6.4956996455376115E-2</v>
      </c>
      <c r="I21" s="89">
        <v>1.6779505500623737E-4</v>
      </c>
      <c r="J21" s="90">
        <v>6.4590603624401485E-2</v>
      </c>
      <c r="K21" s="87">
        <v>-2.298129680624738E-4</v>
      </c>
      <c r="L21" s="88">
        <v>6.2415789960661557E-2</v>
      </c>
      <c r="M21" s="89">
        <v>6.9989104748408213E-5</v>
      </c>
      <c r="N21" s="90">
        <v>6.0666458383985961E-2</v>
      </c>
      <c r="O21" s="87">
        <v>2.4789005260847033E-4</v>
      </c>
      <c r="P21" s="88">
        <v>5.7881555744627493E-2</v>
      </c>
      <c r="Q21" s="89">
        <v>-1.196480762249381E-5</v>
      </c>
      <c r="R21" s="90">
        <v>5.7100143884719443E-2</v>
      </c>
      <c r="S21" s="87">
        <v>1.5609029368452198E-5</v>
      </c>
      <c r="T21" s="88">
        <v>5.7084462623380017E-2</v>
      </c>
      <c r="U21" s="89">
        <v>2.4687354747847059E-4</v>
      </c>
      <c r="V21" s="90">
        <v>5.3686813910345285E-2</v>
      </c>
      <c r="W21" s="87">
        <v>1.9189048427969396E-4</v>
      </c>
      <c r="X21" s="88">
        <v>5.2017580370901248E-2</v>
      </c>
      <c r="Y21" s="89">
        <v>-1.1097729923470803E-4</v>
      </c>
      <c r="Z21" s="91">
        <v>5.1095667469641066E-2</v>
      </c>
    </row>
    <row r="22" spans="1:31">
      <c r="A22" s="122"/>
      <c r="B22" s="93" t="s">
        <v>14</v>
      </c>
      <c r="C22" s="87">
        <v>0</v>
      </c>
      <c r="D22" s="88">
        <v>0</v>
      </c>
      <c r="E22" s="89">
        <v>0</v>
      </c>
      <c r="F22" s="90">
        <v>0</v>
      </c>
      <c r="G22" s="87">
        <v>0</v>
      </c>
      <c r="H22" s="88">
        <v>0</v>
      </c>
      <c r="I22" s="89">
        <v>0</v>
      </c>
      <c r="J22" s="90">
        <v>0</v>
      </c>
      <c r="K22" s="87">
        <v>0</v>
      </c>
      <c r="L22" s="88">
        <v>0</v>
      </c>
      <c r="M22" s="89">
        <v>0</v>
      </c>
      <c r="N22" s="90">
        <v>0</v>
      </c>
      <c r="O22" s="87">
        <v>0</v>
      </c>
      <c r="P22" s="88">
        <v>0</v>
      </c>
      <c r="Q22" s="89">
        <v>0</v>
      </c>
      <c r="R22" s="90">
        <v>0</v>
      </c>
      <c r="S22" s="87">
        <v>0</v>
      </c>
      <c r="T22" s="88">
        <v>0</v>
      </c>
      <c r="U22" s="89">
        <v>0</v>
      </c>
      <c r="V22" s="90">
        <v>0</v>
      </c>
      <c r="W22" s="87">
        <v>0</v>
      </c>
      <c r="X22" s="88">
        <v>0</v>
      </c>
      <c r="Y22" s="89">
        <v>0</v>
      </c>
      <c r="Z22" s="91">
        <v>0</v>
      </c>
    </row>
    <row r="23" spans="1:31">
      <c r="A23" s="122"/>
      <c r="B23" s="93" t="s">
        <v>15</v>
      </c>
      <c r="C23" s="87">
        <v>0</v>
      </c>
      <c r="D23" s="88">
        <v>0</v>
      </c>
      <c r="E23" s="89">
        <v>0</v>
      </c>
      <c r="F23" s="90">
        <v>0</v>
      </c>
      <c r="G23" s="87">
        <v>0</v>
      </c>
      <c r="H23" s="88">
        <v>0</v>
      </c>
      <c r="I23" s="89">
        <v>0</v>
      </c>
      <c r="J23" s="90">
        <v>0</v>
      </c>
      <c r="K23" s="87">
        <v>0</v>
      </c>
      <c r="L23" s="88">
        <v>0</v>
      </c>
      <c r="M23" s="89">
        <v>0</v>
      </c>
      <c r="N23" s="90">
        <v>0</v>
      </c>
      <c r="O23" s="87">
        <v>0</v>
      </c>
      <c r="P23" s="88">
        <v>0</v>
      </c>
      <c r="Q23" s="89">
        <v>0</v>
      </c>
      <c r="R23" s="90">
        <v>0</v>
      </c>
      <c r="S23" s="87">
        <v>0</v>
      </c>
      <c r="T23" s="88">
        <v>0</v>
      </c>
      <c r="U23" s="89">
        <v>0</v>
      </c>
      <c r="V23" s="90">
        <v>0</v>
      </c>
      <c r="W23" s="87">
        <v>0</v>
      </c>
      <c r="X23" s="88">
        <v>0</v>
      </c>
      <c r="Y23" s="89">
        <v>0</v>
      </c>
      <c r="Z23" s="91">
        <v>0</v>
      </c>
    </row>
    <row r="24" spans="1:31">
      <c r="A24" s="122"/>
      <c r="B24" s="93" t="s">
        <v>16</v>
      </c>
      <c r="C24" s="87">
        <v>2.9642322097303004E-5</v>
      </c>
      <c r="D24" s="88">
        <v>9.0386057417303402E-3</v>
      </c>
      <c r="E24" s="89">
        <v>2.0964737370255225E-5</v>
      </c>
      <c r="F24" s="90">
        <v>8.7141354622316067E-3</v>
      </c>
      <c r="G24" s="87">
        <v>2.1702034556789762E-5</v>
      </c>
      <c r="H24" s="88">
        <v>8.6039790811861527E-3</v>
      </c>
      <c r="I24" s="89">
        <v>1.9186776286502821E-5</v>
      </c>
      <c r="J24" s="90">
        <v>8.3769813417403118E-3</v>
      </c>
      <c r="K24" s="87">
        <v>1.910850521097367E-5</v>
      </c>
      <c r="L24" s="88">
        <v>8.0843054278461161E-3</v>
      </c>
      <c r="M24" s="89">
        <v>3.9107635973522973E-5</v>
      </c>
      <c r="N24" s="90">
        <v>7.8390463445624572E-3</v>
      </c>
      <c r="O24" s="87">
        <v>1.9205445139603106E-5</v>
      </c>
      <c r="P24" s="88">
        <v>7.5165952708393701E-3</v>
      </c>
      <c r="Q24" s="89">
        <v>1.9557063070846003E-5</v>
      </c>
      <c r="R24" s="90">
        <v>7.4200709532191685E-3</v>
      </c>
      <c r="S24" s="87">
        <v>-9.8358750914141207E-5</v>
      </c>
      <c r="T24" s="88">
        <v>7.5845297636652842E-3</v>
      </c>
      <c r="U24" s="89">
        <v>1.8838202959311353E-5</v>
      </c>
      <c r="V24" s="90">
        <v>7.7076386048502603E-3</v>
      </c>
      <c r="W24" s="87">
        <v>1.7047653972461302E-5</v>
      </c>
      <c r="X24" s="88">
        <v>7.6977744407145778E-3</v>
      </c>
      <c r="Y24" s="89">
        <v>2.3868006817457727E-4</v>
      </c>
      <c r="Z24" s="91">
        <v>7.6445704495349421E-3</v>
      </c>
    </row>
    <row r="25" spans="1:31">
      <c r="A25" s="122"/>
      <c r="B25" s="93" t="s">
        <v>17</v>
      </c>
      <c r="C25" s="87">
        <v>-4.3694378668361813E-7</v>
      </c>
      <c r="D25" s="88">
        <v>-8.0547290402883435E-5</v>
      </c>
      <c r="E25" s="89">
        <v>5.6120152435643376E-8</v>
      </c>
      <c r="F25" s="90">
        <v>-9.6604886575056708E-5</v>
      </c>
      <c r="G25" s="87">
        <v>-2.0872308266206815E-7</v>
      </c>
      <c r="H25" s="88">
        <v>-7.3978351541409442E-5</v>
      </c>
      <c r="I25" s="89">
        <v>-4.2371579459210438E-7</v>
      </c>
      <c r="J25" s="90">
        <v>-6.2532742166713614E-5</v>
      </c>
      <c r="K25" s="87">
        <v>6.3284679931113155E-7</v>
      </c>
      <c r="L25" s="88">
        <v>-5.3081180052300708E-5</v>
      </c>
      <c r="M25" s="89">
        <v>2.401759222378657E-7</v>
      </c>
      <c r="N25" s="90">
        <v>-5.5045045593580634E-5</v>
      </c>
      <c r="O25" s="87">
        <v>3.5937927167447792E-7</v>
      </c>
      <c r="P25" s="88">
        <v>-4.8993717898528706E-5</v>
      </c>
      <c r="Q25" s="89">
        <v>-2.8597498134994243E-8</v>
      </c>
      <c r="R25" s="90">
        <v>-4.8399171980161966E-5</v>
      </c>
      <c r="S25" s="87">
        <v>5.1261160218690635E-8</v>
      </c>
      <c r="T25" s="88">
        <v>-4.9540194728912523E-5</v>
      </c>
      <c r="U25" s="89">
        <v>5.8143731702499542E-7</v>
      </c>
      <c r="V25" s="90">
        <v>-4.6940594156083174E-5</v>
      </c>
      <c r="W25" s="87">
        <v>-9.9898442735563942E-8</v>
      </c>
      <c r="X25" s="88">
        <v>-4.3468393310685688E-5</v>
      </c>
      <c r="Y25" s="89">
        <v>1.2053071478017002E-7</v>
      </c>
      <c r="Z25" s="91">
        <v>-3.514258839003408E-5</v>
      </c>
    </row>
    <row r="26" spans="1:31">
      <c r="A26" s="122"/>
      <c r="B26" s="94" t="s">
        <v>18</v>
      </c>
      <c r="C26" s="95">
        <v>6.8989729900000001E-3</v>
      </c>
      <c r="D26" s="96">
        <v>1</v>
      </c>
      <c r="E26" s="97">
        <v>5.9384107400000004E-3</v>
      </c>
      <c r="F26" s="98">
        <v>0.99999999999999967</v>
      </c>
      <c r="G26" s="95">
        <v>-5.4600616700000004E-3</v>
      </c>
      <c r="H26" s="96">
        <v>0.99999999999999967</v>
      </c>
      <c r="I26" s="97">
        <v>9.1630884300000007E-3</v>
      </c>
      <c r="J26" s="98">
        <v>0.99999999999999989</v>
      </c>
      <c r="K26" s="95">
        <v>1.4747536150000001E-2</v>
      </c>
      <c r="L26" s="96">
        <v>1</v>
      </c>
      <c r="M26" s="97">
        <v>2.0721207009999999E-2</v>
      </c>
      <c r="N26" s="98">
        <v>1.0000000000000002</v>
      </c>
      <c r="O26" s="95">
        <v>6.8901489100000003E-3</v>
      </c>
      <c r="P26" s="96">
        <v>1.0000000000000002</v>
      </c>
      <c r="Q26" s="97">
        <v>8.3751591199999996E-3</v>
      </c>
      <c r="R26" s="98">
        <v>1</v>
      </c>
      <c r="S26" s="95">
        <v>1.5638661889999999E-2</v>
      </c>
      <c r="T26" s="96">
        <v>1</v>
      </c>
      <c r="U26" s="97">
        <v>9.1100382799999997E-3</v>
      </c>
      <c r="V26" s="98">
        <v>0.99999999999999978</v>
      </c>
      <c r="W26" s="95">
        <v>9.3450421899999997E-3</v>
      </c>
      <c r="X26" s="96">
        <v>0.99999999999999989</v>
      </c>
      <c r="Y26" s="97">
        <v>5.7714221800000002E-3</v>
      </c>
      <c r="Z26" s="99">
        <v>1</v>
      </c>
    </row>
    <row r="27" spans="1:31">
      <c r="A27" s="122"/>
      <c r="B27" s="100" t="s">
        <v>24</v>
      </c>
      <c r="C27" s="101">
        <v>32960.68596000001</v>
      </c>
      <c r="D27" s="125"/>
      <c r="E27" s="102">
        <v>29106.043499999996</v>
      </c>
      <c r="F27" s="125"/>
      <c r="G27" s="101">
        <v>-27290.764230000004</v>
      </c>
      <c r="H27" s="125"/>
      <c r="I27" s="102">
        <v>49385.856050000002</v>
      </c>
      <c r="J27" s="125"/>
      <c r="K27" s="101">
        <v>79836.734930000006</v>
      </c>
      <c r="L27" s="125"/>
      <c r="M27" s="102">
        <v>115693.03141000001</v>
      </c>
      <c r="N27" s="125"/>
      <c r="O27" s="101">
        <v>39919.913989999986</v>
      </c>
      <c r="P27" s="125"/>
      <c r="Q27" s="102">
        <v>49365.876209999995</v>
      </c>
      <c r="R27" s="125"/>
      <c r="S27" s="101">
        <v>96120.962979999982</v>
      </c>
      <c r="T27" s="125"/>
      <c r="U27" s="102">
        <v>57956.56667</v>
      </c>
      <c r="V27" s="125"/>
      <c r="W27" s="101">
        <v>61175.672609999994</v>
      </c>
      <c r="X27" s="125"/>
      <c r="Y27" s="102">
        <v>38536.664470000003</v>
      </c>
      <c r="Z27" s="103"/>
    </row>
    <row r="28" spans="1:31">
      <c r="A28" s="122"/>
      <c r="B28" s="126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04"/>
    </row>
    <row r="29" spans="1:31">
      <c r="A29" s="122"/>
      <c r="B29" s="86" t="s">
        <v>19</v>
      </c>
      <c r="C29" s="105">
        <v>6.2112228102908671E-3</v>
      </c>
      <c r="D29" s="106">
        <v>0.78887814347506702</v>
      </c>
      <c r="E29" s="107">
        <v>7.1612653411797069E-3</v>
      </c>
      <c r="F29" s="108">
        <v>0.79153605337784083</v>
      </c>
      <c r="G29" s="105">
        <v>-6.8110748980007157E-3</v>
      </c>
      <c r="H29" s="106">
        <v>0.78721233898685539</v>
      </c>
      <c r="I29" s="107">
        <v>9.8981466792380183E-3</v>
      </c>
      <c r="J29" s="108">
        <v>0.79097978256929091</v>
      </c>
      <c r="K29" s="105">
        <v>1.1840478822783303E-2</v>
      </c>
      <c r="L29" s="106">
        <v>0.79212740492420397</v>
      </c>
      <c r="M29" s="107">
        <v>1.8148151068359927E-2</v>
      </c>
      <c r="N29" s="108">
        <v>0.79785923483750876</v>
      </c>
      <c r="O29" s="105">
        <v>4.8321599036961716E-3</v>
      </c>
      <c r="P29" s="106">
        <v>0.80563602998381134</v>
      </c>
      <c r="Q29" s="107">
        <v>6.2886263933016676E-3</v>
      </c>
      <c r="R29" s="108">
        <v>0.80215427002902229</v>
      </c>
      <c r="S29" s="105">
        <v>9.0199867842599025E-3</v>
      </c>
      <c r="T29" s="106">
        <v>0.80509311712953957</v>
      </c>
      <c r="U29" s="107">
        <v>7.8928116335965949E-3</v>
      </c>
      <c r="V29" s="108">
        <v>0.80996899070393835</v>
      </c>
      <c r="W29" s="105">
        <v>7.2613164025104298E-3</v>
      </c>
      <c r="X29" s="106">
        <v>0.81034285588946053</v>
      </c>
      <c r="Y29" s="107">
        <v>7.1029278337270971E-3</v>
      </c>
      <c r="Z29" s="109">
        <v>0.80286779767820038</v>
      </c>
    </row>
    <row r="30" spans="1:31">
      <c r="A30" s="122"/>
      <c r="B30" s="93" t="s">
        <v>20</v>
      </c>
      <c r="C30" s="87">
        <v>6.8775017970913504E-4</v>
      </c>
      <c r="D30" s="88">
        <v>0.2111218565249329</v>
      </c>
      <c r="E30" s="89">
        <v>-1.2228549295478853E-3</v>
      </c>
      <c r="F30" s="90">
        <v>0.2084639466221592</v>
      </c>
      <c r="G30" s="87">
        <v>1.3510132280007134E-3</v>
      </c>
      <c r="H30" s="88">
        <v>0.21278766101314453</v>
      </c>
      <c r="I30" s="89">
        <v>-7.3505824923801241E-4</v>
      </c>
      <c r="J30" s="90">
        <v>0.20902021743070903</v>
      </c>
      <c r="K30" s="87">
        <v>2.9070573272167001E-3</v>
      </c>
      <c r="L30" s="88">
        <v>0.20787259507579595</v>
      </c>
      <c r="M30" s="89">
        <v>2.5730559416400757E-3</v>
      </c>
      <c r="N30" s="90">
        <v>0.20214076516249124</v>
      </c>
      <c r="O30" s="87">
        <v>2.0579890063038321E-3</v>
      </c>
      <c r="P30" s="88">
        <v>0.19436397001618858</v>
      </c>
      <c r="Q30" s="89">
        <v>2.0865327266983307E-3</v>
      </c>
      <c r="R30" s="90">
        <v>0.19784572997097769</v>
      </c>
      <c r="S30" s="87">
        <v>6.618675105740099E-3</v>
      </c>
      <c r="T30" s="88">
        <v>0.19490688287046046</v>
      </c>
      <c r="U30" s="89">
        <v>1.217226646403402E-3</v>
      </c>
      <c r="V30" s="90">
        <v>0.1900310092960617</v>
      </c>
      <c r="W30" s="87">
        <v>2.083725787489563E-3</v>
      </c>
      <c r="X30" s="88">
        <v>0.18965714411053941</v>
      </c>
      <c r="Y30" s="89">
        <v>-1.3315056537270941E-3</v>
      </c>
      <c r="Z30" s="91">
        <v>0.19713220232179957</v>
      </c>
    </row>
    <row r="31" spans="1:31">
      <c r="A31" s="122"/>
      <c r="B31" s="94" t="s">
        <v>18</v>
      </c>
      <c r="C31" s="95">
        <v>6.8989729900000001E-3</v>
      </c>
      <c r="D31" s="96">
        <v>1</v>
      </c>
      <c r="E31" s="97">
        <v>5.9384107400000004E-3</v>
      </c>
      <c r="F31" s="98">
        <v>0.99999999999999967</v>
      </c>
      <c r="G31" s="95">
        <v>-5.4600616700000004E-3</v>
      </c>
      <c r="H31" s="96">
        <v>0.99999999999999967</v>
      </c>
      <c r="I31" s="97">
        <v>9.1630884300000007E-3</v>
      </c>
      <c r="J31" s="98">
        <v>0.99999999999999989</v>
      </c>
      <c r="K31" s="95">
        <v>1.4747536150000001E-2</v>
      </c>
      <c r="L31" s="96">
        <v>1</v>
      </c>
      <c r="M31" s="97">
        <v>2.0721207009999999E-2</v>
      </c>
      <c r="N31" s="98">
        <v>1.0000000000000002</v>
      </c>
      <c r="O31" s="95">
        <v>6.8901489100000003E-3</v>
      </c>
      <c r="P31" s="96">
        <v>1.0000000000000002</v>
      </c>
      <c r="Q31" s="97">
        <v>8.3751591199999996E-3</v>
      </c>
      <c r="R31" s="98">
        <v>1</v>
      </c>
      <c r="S31" s="95">
        <v>1.5638661889999999E-2</v>
      </c>
      <c r="T31" s="96">
        <v>1</v>
      </c>
      <c r="U31" s="97">
        <v>9.1100382799999997E-3</v>
      </c>
      <c r="V31" s="98">
        <v>0.99999999999999978</v>
      </c>
      <c r="W31" s="95">
        <v>9.3450421899999997E-3</v>
      </c>
      <c r="X31" s="96">
        <v>0.99999999999999989</v>
      </c>
      <c r="Y31" s="97">
        <v>5.7714221800000002E-3</v>
      </c>
      <c r="Z31" s="99">
        <v>1</v>
      </c>
    </row>
    <row r="32" spans="1:31">
      <c r="A32" s="122"/>
      <c r="B32" s="126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04"/>
    </row>
    <row r="33" spans="1:26">
      <c r="A33" s="122"/>
      <c r="B33" s="86" t="s">
        <v>21</v>
      </c>
      <c r="C33" s="105">
        <v>5.730612009698233E-3</v>
      </c>
      <c r="D33" s="106">
        <v>0.57073711099088587</v>
      </c>
      <c r="E33" s="107">
        <v>2.581599276285291E-3</v>
      </c>
      <c r="F33" s="108">
        <v>0.57426127771879421</v>
      </c>
      <c r="G33" s="105">
        <v>-6.1078213498842364E-3</v>
      </c>
      <c r="H33" s="106">
        <v>0.57445740957387847</v>
      </c>
      <c r="I33" s="107">
        <v>5.795275295619606E-3</v>
      </c>
      <c r="J33" s="108">
        <v>0.57801828802332311</v>
      </c>
      <c r="K33" s="105">
        <v>8.9513432183844499E-3</v>
      </c>
      <c r="L33" s="106">
        <v>0.57891440075370293</v>
      </c>
      <c r="M33" s="107">
        <v>1.8600073740771463E-2</v>
      </c>
      <c r="N33" s="108">
        <v>0.58076945090693533</v>
      </c>
      <c r="O33" s="105">
        <v>4.0968572228925575E-3</v>
      </c>
      <c r="P33" s="106">
        <v>0.58318274524495117</v>
      </c>
      <c r="Q33" s="107">
        <v>4.7808649970184532E-3</v>
      </c>
      <c r="R33" s="108">
        <v>0.58379362693696868</v>
      </c>
      <c r="S33" s="105">
        <v>1.1714866525038474E-2</v>
      </c>
      <c r="T33" s="106">
        <v>0.58143041565030196</v>
      </c>
      <c r="U33" s="107">
        <v>8.1922647652260573E-3</v>
      </c>
      <c r="V33" s="108">
        <v>0.59038444071772977</v>
      </c>
      <c r="W33" s="105">
        <v>5.7131510273197173E-3</v>
      </c>
      <c r="X33" s="106">
        <v>0.5912981952802473</v>
      </c>
      <c r="Y33" s="107">
        <v>4.9734178314538059E-3</v>
      </c>
      <c r="Z33" s="109">
        <v>0.59758459783228834</v>
      </c>
    </row>
    <row r="34" spans="1:26">
      <c r="A34" s="122"/>
      <c r="B34" s="93" t="s">
        <v>22</v>
      </c>
      <c r="C34" s="87">
        <v>1.1683609803017705E-3</v>
      </c>
      <c r="D34" s="88">
        <v>0.42926288900911408</v>
      </c>
      <c r="E34" s="89">
        <v>3.3568111353465312E-3</v>
      </c>
      <c r="F34" s="90">
        <v>0.42573872228120579</v>
      </c>
      <c r="G34" s="87">
        <v>6.4775967988422957E-4</v>
      </c>
      <c r="H34" s="88">
        <v>0.42554259042612164</v>
      </c>
      <c r="I34" s="89">
        <v>3.3678131343803999E-3</v>
      </c>
      <c r="J34" s="90">
        <v>0.42198171197667694</v>
      </c>
      <c r="K34" s="87">
        <v>5.7961929316155498E-3</v>
      </c>
      <c r="L34" s="88">
        <v>0.42108559924629713</v>
      </c>
      <c r="M34" s="89">
        <v>2.1211332692285434E-3</v>
      </c>
      <c r="N34" s="90">
        <v>0.41923054909306473</v>
      </c>
      <c r="O34" s="87">
        <v>2.7932916871074415E-3</v>
      </c>
      <c r="P34" s="88">
        <v>0.41681725475504888</v>
      </c>
      <c r="Q34" s="89">
        <v>3.5942941229815482E-3</v>
      </c>
      <c r="R34" s="90">
        <v>0.41620637306303121</v>
      </c>
      <c r="S34" s="87">
        <v>3.923795364961521E-3</v>
      </c>
      <c r="T34" s="88">
        <v>0.41856958434969799</v>
      </c>
      <c r="U34" s="89">
        <v>9.1777351477394166E-4</v>
      </c>
      <c r="V34" s="90">
        <v>0.40961555928227017</v>
      </c>
      <c r="W34" s="87">
        <v>3.6318911626802902E-3</v>
      </c>
      <c r="X34" s="88">
        <v>0.40870180471975276</v>
      </c>
      <c r="Y34" s="89">
        <v>7.9800434854620161E-4</v>
      </c>
      <c r="Z34" s="91">
        <v>0.4024154021677116</v>
      </c>
    </row>
    <row r="35" spans="1:26">
      <c r="A35" s="122"/>
      <c r="B35" s="110" t="s">
        <v>18</v>
      </c>
      <c r="C35" s="111">
        <v>6.8989729900000001E-3</v>
      </c>
      <c r="D35" s="112">
        <v>1</v>
      </c>
      <c r="E35" s="113">
        <v>5.9384107400000004E-3</v>
      </c>
      <c r="F35" s="114">
        <v>0.99999999999999967</v>
      </c>
      <c r="G35" s="111">
        <v>-5.4600616700000004E-3</v>
      </c>
      <c r="H35" s="112">
        <v>0.99999999999999967</v>
      </c>
      <c r="I35" s="113">
        <v>9.1630884300000007E-3</v>
      </c>
      <c r="J35" s="114">
        <v>0.99999999999999989</v>
      </c>
      <c r="K35" s="111">
        <v>1.4747536150000001E-2</v>
      </c>
      <c r="L35" s="112">
        <v>1</v>
      </c>
      <c r="M35" s="113">
        <v>2.0721207009999999E-2</v>
      </c>
      <c r="N35" s="114">
        <v>1.0000000000000002</v>
      </c>
      <c r="O35" s="111">
        <v>6.8901489100000003E-3</v>
      </c>
      <c r="P35" s="112">
        <v>1.0000000000000002</v>
      </c>
      <c r="Q35" s="113">
        <v>8.3751591199999996E-3</v>
      </c>
      <c r="R35" s="114">
        <v>1</v>
      </c>
      <c r="S35" s="111">
        <v>1.5638661889999999E-2</v>
      </c>
      <c r="T35" s="112">
        <v>1</v>
      </c>
      <c r="U35" s="113">
        <v>9.1100382799999997E-3</v>
      </c>
      <c r="V35" s="114">
        <v>0.99999999999999978</v>
      </c>
      <c r="W35" s="111">
        <v>9.3450421899999997E-3</v>
      </c>
      <c r="X35" s="112">
        <v>0.99999999999999989</v>
      </c>
      <c r="Y35" s="113">
        <v>5.7714221800000002E-3</v>
      </c>
      <c r="Z35" s="115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2"/>
      <c r="B37" s="80" t="s">
        <v>23</v>
      </c>
      <c r="C37" s="81" t="s">
        <v>54</v>
      </c>
      <c r="D37" s="82" t="s">
        <v>55</v>
      </c>
      <c r="E37" s="83" t="s">
        <v>56</v>
      </c>
      <c r="F37" s="84" t="s">
        <v>57</v>
      </c>
      <c r="G37" s="81" t="s">
        <v>58</v>
      </c>
      <c r="H37" s="82" t="s">
        <v>59</v>
      </c>
      <c r="I37" s="83" t="s">
        <v>60</v>
      </c>
      <c r="J37" s="85" t="s">
        <v>61</v>
      </c>
      <c r="K37" s="128" t="s">
        <v>1417</v>
      </c>
      <c r="L37" s="128" t="s">
        <v>1417</v>
      </c>
      <c r="M37" s="128" t="s">
        <v>1417</v>
      </c>
      <c r="N37" s="128" t="s">
        <v>1417</v>
      </c>
      <c r="O37" s="128" t="s">
        <v>1417</v>
      </c>
      <c r="P37" s="128" t="s">
        <v>1417</v>
      </c>
      <c r="Q37" s="128" t="s">
        <v>1417</v>
      </c>
      <c r="R37" s="128" t="s">
        <v>1417</v>
      </c>
      <c r="S37" s="128" t="s">
        <v>1417</v>
      </c>
      <c r="T37" s="128" t="s">
        <v>1417</v>
      </c>
      <c r="U37" s="128" t="s">
        <v>1417</v>
      </c>
      <c r="V37" s="128" t="s">
        <v>1417</v>
      </c>
      <c r="W37" s="128" t="s">
        <v>1417</v>
      </c>
      <c r="X37" s="128" t="s">
        <v>1417</v>
      </c>
      <c r="Y37" s="128" t="s">
        <v>1417</v>
      </c>
      <c r="Z37" s="33"/>
    </row>
    <row r="38" spans="1:26">
      <c r="A38" s="122"/>
      <c r="B38" s="86" t="s">
        <v>1</v>
      </c>
      <c r="C38" s="87">
        <v>1.7985343005577454E-3</v>
      </c>
      <c r="D38" s="88">
        <v>0.11518313230459658</v>
      </c>
      <c r="E38" s="89">
        <v>-2.214790709205443E-4</v>
      </c>
      <c r="F38" s="90">
        <v>0.12091735933162832</v>
      </c>
      <c r="G38" s="87">
        <v>6.483864766851752E-4</v>
      </c>
      <c r="H38" s="88">
        <v>0.12040844202699787</v>
      </c>
      <c r="I38" s="89">
        <v>1.1910698546247318E-3</v>
      </c>
      <c r="J38" s="91">
        <v>0.11876083356210908</v>
      </c>
      <c r="K38" s="128" t="s">
        <v>1417</v>
      </c>
      <c r="L38" s="128" t="s">
        <v>1417</v>
      </c>
      <c r="M38" s="128" t="s">
        <v>1417</v>
      </c>
      <c r="N38" s="128" t="s">
        <v>1417</v>
      </c>
      <c r="O38" s="128" t="s">
        <v>1417</v>
      </c>
      <c r="P38" s="128" t="s">
        <v>1417</v>
      </c>
      <c r="Q38" s="128" t="s">
        <v>1417</v>
      </c>
      <c r="R38" s="128" t="s">
        <v>1417</v>
      </c>
      <c r="S38" s="128" t="s">
        <v>1417</v>
      </c>
      <c r="T38" s="128" t="s">
        <v>1417</v>
      </c>
      <c r="U38" s="128" t="s">
        <v>1417</v>
      </c>
      <c r="V38" s="128" t="s">
        <v>1417</v>
      </c>
      <c r="W38" s="128" t="s">
        <v>1417</v>
      </c>
      <c r="X38" s="128" t="s">
        <v>1417</v>
      </c>
      <c r="Y38" s="128" t="s">
        <v>1417</v>
      </c>
      <c r="Z38" s="33"/>
    </row>
    <row r="39" spans="1:26" ht="30">
      <c r="A39" s="122"/>
      <c r="B39" s="92" t="s">
        <v>908</v>
      </c>
      <c r="C39" s="87">
        <v>4.5705398937834311E-3</v>
      </c>
      <c r="D39" s="88">
        <v>0.37479158214523123</v>
      </c>
      <c r="E39" s="89">
        <v>1.4711125155984944E-2</v>
      </c>
      <c r="F39" s="90">
        <v>0.37439163160287209</v>
      </c>
      <c r="G39" s="87">
        <v>2.4154746807086864E-2</v>
      </c>
      <c r="H39" s="88">
        <v>0.37735256172709519</v>
      </c>
      <c r="I39" s="89">
        <v>2.869705740114592E-2</v>
      </c>
      <c r="J39" s="91">
        <v>0.37894371973523439</v>
      </c>
      <c r="K39" s="128" t="s">
        <v>1417</v>
      </c>
      <c r="L39" s="128" t="s">
        <v>1417</v>
      </c>
      <c r="M39" s="128" t="s">
        <v>1417</v>
      </c>
      <c r="N39" s="128" t="s">
        <v>1417</v>
      </c>
      <c r="O39" s="128" t="s">
        <v>1417</v>
      </c>
      <c r="P39" s="128" t="s">
        <v>1417</v>
      </c>
      <c r="Q39" s="128" t="s">
        <v>1417</v>
      </c>
      <c r="R39" s="128" t="s">
        <v>1417</v>
      </c>
      <c r="S39" s="128" t="s">
        <v>1417</v>
      </c>
      <c r="T39" s="128" t="s">
        <v>1417</v>
      </c>
      <c r="U39" s="128" t="s">
        <v>1417</v>
      </c>
      <c r="V39" s="128" t="s">
        <v>1417</v>
      </c>
      <c r="W39" s="128" t="s">
        <v>1417</v>
      </c>
      <c r="X39" s="128" t="s">
        <v>1417</v>
      </c>
      <c r="Y39" s="128" t="s">
        <v>1417</v>
      </c>
      <c r="Z39" s="33"/>
    </row>
    <row r="40" spans="1:26">
      <c r="A40" s="122"/>
      <c r="B40" s="93" t="s">
        <v>2</v>
      </c>
      <c r="C40" s="87">
        <v>0</v>
      </c>
      <c r="D40" s="88">
        <v>0</v>
      </c>
      <c r="E40" s="89">
        <v>0</v>
      </c>
      <c r="F40" s="90">
        <v>0</v>
      </c>
      <c r="G40" s="87">
        <v>0</v>
      </c>
      <c r="H40" s="88">
        <v>0</v>
      </c>
      <c r="I40" s="89">
        <v>0</v>
      </c>
      <c r="J40" s="91">
        <v>0</v>
      </c>
      <c r="K40" s="128" t="s">
        <v>1417</v>
      </c>
      <c r="L40" s="128" t="s">
        <v>1417</v>
      </c>
      <c r="M40" s="128" t="s">
        <v>1417</v>
      </c>
      <c r="N40" s="128" t="s">
        <v>1417</v>
      </c>
      <c r="O40" s="128" t="s">
        <v>1417</v>
      </c>
      <c r="P40" s="128" t="s">
        <v>1417</v>
      </c>
      <c r="Q40" s="128" t="s">
        <v>1417</v>
      </c>
      <c r="R40" s="128" t="s">
        <v>1417</v>
      </c>
      <c r="S40" s="128" t="s">
        <v>1417</v>
      </c>
      <c r="T40" s="128" t="s">
        <v>1417</v>
      </c>
      <c r="U40" s="128" t="s">
        <v>1417</v>
      </c>
      <c r="V40" s="128" t="s">
        <v>1417</v>
      </c>
      <c r="W40" s="128" t="s">
        <v>1417</v>
      </c>
      <c r="X40" s="128" t="s">
        <v>1417</v>
      </c>
      <c r="Y40" s="128" t="s">
        <v>1417</v>
      </c>
      <c r="Z40" s="33"/>
    </row>
    <row r="41" spans="1:26">
      <c r="A41" s="122"/>
      <c r="B41" s="93" t="s">
        <v>3</v>
      </c>
      <c r="C41" s="87">
        <v>-1.1412436261461017E-5</v>
      </c>
      <c r="D41" s="88">
        <v>4.31500168765734E-4</v>
      </c>
      <c r="E41" s="89">
        <v>-1.1227442855683275E-5</v>
      </c>
      <c r="F41" s="90">
        <v>2.15750084382867E-4</v>
      </c>
      <c r="G41" s="87">
        <v>-1.1067358985964042E-5</v>
      </c>
      <c r="H41" s="88">
        <v>1.4383338958857798E-4</v>
      </c>
      <c r="I41" s="89">
        <v>-1.0963160572229107E-5</v>
      </c>
      <c r="J41" s="91">
        <v>1.078750421914335E-4</v>
      </c>
      <c r="K41" s="128" t="s">
        <v>1417</v>
      </c>
      <c r="L41" s="128" t="s">
        <v>1417</v>
      </c>
      <c r="M41" s="128" t="s">
        <v>1417</v>
      </c>
      <c r="N41" s="128" t="s">
        <v>1417</v>
      </c>
      <c r="O41" s="128" t="s">
        <v>1417</v>
      </c>
      <c r="P41" s="128" t="s">
        <v>1417</v>
      </c>
      <c r="Q41" s="128" t="s">
        <v>1417</v>
      </c>
      <c r="R41" s="128" t="s">
        <v>1417</v>
      </c>
      <c r="S41" s="128" t="s">
        <v>1417</v>
      </c>
      <c r="T41" s="128" t="s">
        <v>1417</v>
      </c>
      <c r="U41" s="128" t="s">
        <v>1417</v>
      </c>
      <c r="V41" s="128" t="s">
        <v>1417</v>
      </c>
      <c r="W41" s="128" t="s">
        <v>1417</v>
      </c>
      <c r="X41" s="128" t="s">
        <v>1417</v>
      </c>
      <c r="Y41" s="128" t="s">
        <v>1417</v>
      </c>
      <c r="Z41" s="33"/>
    </row>
    <row r="42" spans="1:26">
      <c r="A42" s="122"/>
      <c r="B42" s="93" t="s">
        <v>4</v>
      </c>
      <c r="C42" s="87">
        <v>2.0745121552070349E-3</v>
      </c>
      <c r="D42" s="88">
        <v>0.16367265071972745</v>
      </c>
      <c r="E42" s="89">
        <v>5.1673812603411345E-3</v>
      </c>
      <c r="F42" s="90">
        <v>0.16311575183535801</v>
      </c>
      <c r="G42" s="87">
        <v>8.453221893393122E-3</v>
      </c>
      <c r="H42" s="88">
        <v>0.16248997007568378</v>
      </c>
      <c r="I42" s="89">
        <v>1.0451344787031401E-2</v>
      </c>
      <c r="J42" s="91">
        <v>0.16252436039757903</v>
      </c>
      <c r="K42" s="128" t="s">
        <v>1417</v>
      </c>
      <c r="L42" s="128" t="s">
        <v>1417</v>
      </c>
      <c r="M42" s="128" t="s">
        <v>1417</v>
      </c>
      <c r="N42" s="128" t="s">
        <v>1417</v>
      </c>
      <c r="O42" s="128" t="s">
        <v>1417</v>
      </c>
      <c r="P42" s="128" t="s">
        <v>1417</v>
      </c>
      <c r="Q42" s="128" t="s">
        <v>1417</v>
      </c>
      <c r="R42" s="128" t="s">
        <v>1417</v>
      </c>
      <c r="S42" s="128" t="s">
        <v>1417</v>
      </c>
      <c r="T42" s="128" t="s">
        <v>1417</v>
      </c>
      <c r="U42" s="128" t="s">
        <v>1417</v>
      </c>
      <c r="V42" s="128" t="s">
        <v>1417</v>
      </c>
      <c r="W42" s="128" t="s">
        <v>1417</v>
      </c>
      <c r="X42" s="128" t="s">
        <v>1417</v>
      </c>
      <c r="Y42" s="128" t="s">
        <v>1417</v>
      </c>
      <c r="Z42" s="33"/>
    </row>
    <row r="43" spans="1:26">
      <c r="A43" s="122"/>
      <c r="B43" s="93" t="s">
        <v>5</v>
      </c>
      <c r="C43" s="87">
        <v>3.6661572141287425E-5</v>
      </c>
      <c r="D43" s="88">
        <v>5.9622139284127669E-3</v>
      </c>
      <c r="E43" s="89">
        <v>1.7375081203284355E-4</v>
      </c>
      <c r="F43" s="90">
        <v>5.7510562662216047E-3</v>
      </c>
      <c r="G43" s="87">
        <v>3.0232625469645675E-4</v>
      </c>
      <c r="H43" s="88">
        <v>5.6335199463068905E-3</v>
      </c>
      <c r="I43" s="89">
        <v>3.7513377143910497E-4</v>
      </c>
      <c r="J43" s="91">
        <v>5.5152439551138807E-3</v>
      </c>
      <c r="K43" s="128" t="s">
        <v>1417</v>
      </c>
      <c r="L43" s="128" t="s">
        <v>1417</v>
      </c>
      <c r="M43" s="128" t="s">
        <v>1417</v>
      </c>
      <c r="N43" s="128" t="s">
        <v>1417</v>
      </c>
      <c r="O43" s="128" t="s">
        <v>1417</v>
      </c>
      <c r="P43" s="128" t="s">
        <v>1417</v>
      </c>
      <c r="Q43" s="128" t="s">
        <v>1417</v>
      </c>
      <c r="R43" s="128" t="s">
        <v>1417</v>
      </c>
      <c r="S43" s="128" t="s">
        <v>1417</v>
      </c>
      <c r="T43" s="128" t="s">
        <v>1417</v>
      </c>
      <c r="U43" s="128" t="s">
        <v>1417</v>
      </c>
      <c r="V43" s="128" t="s">
        <v>1417</v>
      </c>
      <c r="W43" s="128" t="s">
        <v>1417</v>
      </c>
      <c r="X43" s="128" t="s">
        <v>1417</v>
      </c>
      <c r="Y43" s="128" t="s">
        <v>1417</v>
      </c>
      <c r="Z43" s="33"/>
    </row>
    <row r="44" spans="1:26">
      <c r="A44" s="122"/>
      <c r="B44" s="93" t="s">
        <v>6</v>
      </c>
      <c r="C44" s="87">
        <v>-2.1180331338100842E-3</v>
      </c>
      <c r="D44" s="88">
        <v>9.982792314590383E-2</v>
      </c>
      <c r="E44" s="89">
        <v>1.4975374416916766E-2</v>
      </c>
      <c r="F44" s="90">
        <v>0.10052796526536506</v>
      </c>
      <c r="G44" s="87">
        <v>2.2031682735120343E-2</v>
      </c>
      <c r="H44" s="88">
        <v>0.10307684336996087</v>
      </c>
      <c r="I44" s="89">
        <v>3.4429149031452902E-2</v>
      </c>
      <c r="J44" s="91">
        <v>0.10740629866740925</v>
      </c>
      <c r="K44" s="128" t="s">
        <v>1417</v>
      </c>
      <c r="L44" s="128" t="s">
        <v>1417</v>
      </c>
      <c r="M44" s="128" t="s">
        <v>1417</v>
      </c>
      <c r="N44" s="128" t="s">
        <v>1417</v>
      </c>
      <c r="O44" s="128" t="s">
        <v>1417</v>
      </c>
      <c r="P44" s="128" t="s">
        <v>1417</v>
      </c>
      <c r="Q44" s="128" t="s">
        <v>1417</v>
      </c>
      <c r="R44" s="128" t="s">
        <v>1417</v>
      </c>
      <c r="S44" s="128" t="s">
        <v>1417</v>
      </c>
      <c r="T44" s="128" t="s">
        <v>1417</v>
      </c>
      <c r="U44" s="128" t="s">
        <v>1417</v>
      </c>
      <c r="V44" s="128" t="s">
        <v>1417</v>
      </c>
      <c r="W44" s="128" t="s">
        <v>1417</v>
      </c>
      <c r="X44" s="128" t="s">
        <v>1417</v>
      </c>
      <c r="Y44" s="128" t="s">
        <v>1417</v>
      </c>
      <c r="Z44" s="33"/>
    </row>
    <row r="45" spans="1:26">
      <c r="A45" s="122"/>
      <c r="B45" s="93" t="s">
        <v>62</v>
      </c>
      <c r="C45" s="87">
        <v>2.986591871163713E-3</v>
      </c>
      <c r="D45" s="88">
        <v>8.723814279076747E-2</v>
      </c>
      <c r="E45" s="89">
        <v>6.8691961886682106E-3</v>
      </c>
      <c r="F45" s="90">
        <v>8.4064285098386995E-2</v>
      </c>
      <c r="G45" s="87">
        <v>1.0189777766629821E-2</v>
      </c>
      <c r="H45" s="88">
        <v>8.1985570412472619E-2</v>
      </c>
      <c r="I45" s="89">
        <v>1.1956429567687225E-2</v>
      </c>
      <c r="J45" s="91">
        <v>8.1247921138460633E-2</v>
      </c>
      <c r="K45" s="128" t="s">
        <v>1417</v>
      </c>
      <c r="L45" s="128" t="s">
        <v>1417</v>
      </c>
      <c r="M45" s="128" t="s">
        <v>1417</v>
      </c>
      <c r="N45" s="128" t="s">
        <v>1417</v>
      </c>
      <c r="O45" s="128" t="s">
        <v>1417</v>
      </c>
      <c r="P45" s="128" t="s">
        <v>1417</v>
      </c>
      <c r="Q45" s="128" t="s">
        <v>1417</v>
      </c>
      <c r="R45" s="128" t="s">
        <v>1417</v>
      </c>
      <c r="S45" s="128" t="s">
        <v>1417</v>
      </c>
      <c r="T45" s="128" t="s">
        <v>1417</v>
      </c>
      <c r="U45" s="128" t="s">
        <v>1417</v>
      </c>
      <c r="V45" s="128" t="s">
        <v>1417</v>
      </c>
      <c r="W45" s="128" t="s">
        <v>1417</v>
      </c>
      <c r="X45" s="128" t="s">
        <v>1417</v>
      </c>
      <c r="Y45" s="128" t="s">
        <v>1417</v>
      </c>
      <c r="Z45" s="33"/>
    </row>
    <row r="46" spans="1:26">
      <c r="A46" s="122"/>
      <c r="B46" s="93" t="s">
        <v>7</v>
      </c>
      <c r="C46" s="87">
        <v>1.4079822867549095E-4</v>
      </c>
      <c r="D46" s="88">
        <v>5.9382046127286576E-3</v>
      </c>
      <c r="E46" s="89">
        <v>-6.2747974001860666E-5</v>
      </c>
      <c r="F46" s="90">
        <v>5.9399591507885569E-3</v>
      </c>
      <c r="G46" s="87">
        <v>-1.1336338647661531E-4</v>
      </c>
      <c r="H46" s="88">
        <v>5.6190098888105359E-3</v>
      </c>
      <c r="I46" s="89">
        <v>-1.7437791548660154E-4</v>
      </c>
      <c r="J46" s="91">
        <v>5.3850536255970957E-3</v>
      </c>
      <c r="K46" s="128" t="s">
        <v>1417</v>
      </c>
      <c r="L46" s="128" t="s">
        <v>1417</v>
      </c>
      <c r="M46" s="128" t="s">
        <v>1417</v>
      </c>
      <c r="N46" s="128" t="s">
        <v>1417</v>
      </c>
      <c r="O46" s="128" t="s">
        <v>1417</v>
      </c>
      <c r="P46" s="128" t="s">
        <v>1417</v>
      </c>
      <c r="Q46" s="128" t="s">
        <v>1417</v>
      </c>
      <c r="R46" s="128" t="s">
        <v>1417</v>
      </c>
      <c r="S46" s="128" t="s">
        <v>1417</v>
      </c>
      <c r="T46" s="128" t="s">
        <v>1417</v>
      </c>
      <c r="U46" s="128" t="s">
        <v>1417</v>
      </c>
      <c r="V46" s="128" t="s">
        <v>1417</v>
      </c>
      <c r="W46" s="128" t="s">
        <v>1417</v>
      </c>
      <c r="X46" s="128" t="s">
        <v>1417</v>
      </c>
      <c r="Y46" s="128" t="s">
        <v>1417</v>
      </c>
      <c r="Z46" s="33"/>
    </row>
    <row r="47" spans="1:26">
      <c r="A47" s="122"/>
      <c r="B47" s="93" t="s">
        <v>8</v>
      </c>
      <c r="C47" s="87">
        <v>3.4713167763004479E-3</v>
      </c>
      <c r="D47" s="88">
        <v>6.9792706214383451E-2</v>
      </c>
      <c r="E47" s="89">
        <v>2.5123904316570679E-4</v>
      </c>
      <c r="F47" s="90">
        <v>6.9617332921254452E-2</v>
      </c>
      <c r="G47" s="87">
        <v>2.3681659932593533E-4</v>
      </c>
      <c r="H47" s="88">
        <v>6.7229949420509916E-2</v>
      </c>
      <c r="I47" s="89">
        <v>-6.3559447090917175E-4</v>
      </c>
      <c r="J47" s="91">
        <v>6.4989663949300822E-2</v>
      </c>
      <c r="K47" s="128" t="s">
        <v>1417</v>
      </c>
      <c r="L47" s="128" t="s">
        <v>1417</v>
      </c>
      <c r="M47" s="128" t="s">
        <v>1417</v>
      </c>
      <c r="N47" s="128" t="s">
        <v>1417</v>
      </c>
      <c r="O47" s="128" t="s">
        <v>1417</v>
      </c>
      <c r="P47" s="128" t="s">
        <v>1417</v>
      </c>
      <c r="Q47" s="128" t="s">
        <v>1417</v>
      </c>
      <c r="R47" s="128" t="s">
        <v>1417</v>
      </c>
      <c r="S47" s="128" t="s">
        <v>1417</v>
      </c>
      <c r="T47" s="128" t="s">
        <v>1417</v>
      </c>
      <c r="U47" s="128" t="s">
        <v>1417</v>
      </c>
      <c r="V47" s="128" t="s">
        <v>1417</v>
      </c>
      <c r="W47" s="128" t="s">
        <v>1417</v>
      </c>
      <c r="X47" s="128" t="s">
        <v>1417</v>
      </c>
      <c r="Y47" s="128" t="s">
        <v>1417</v>
      </c>
      <c r="Z47" s="33"/>
    </row>
    <row r="48" spans="1:26">
      <c r="A48" s="122"/>
      <c r="B48" s="93" t="s">
        <v>9</v>
      </c>
      <c r="C48" s="87">
        <v>-1.2992238477578238E-5</v>
      </c>
      <c r="D48" s="88">
        <v>1.5903659790852045E-4</v>
      </c>
      <c r="E48" s="89">
        <v>2.8995958572214934E-5</v>
      </c>
      <c r="F48" s="90">
        <v>1.3972466923333474E-4</v>
      </c>
      <c r="G48" s="87">
        <v>3.1359837004168634E-5</v>
      </c>
      <c r="H48" s="88">
        <v>1.4674303131596126E-4</v>
      </c>
      <c r="I48" s="89">
        <v>8.2323480977234865E-5</v>
      </c>
      <c r="J48" s="91">
        <v>1.5274685662069887E-4</v>
      </c>
      <c r="K48" s="128" t="s">
        <v>1417</v>
      </c>
      <c r="L48" s="128" t="s">
        <v>1417</v>
      </c>
      <c r="M48" s="128" t="s">
        <v>1417</v>
      </c>
      <c r="N48" s="128" t="s">
        <v>1417</v>
      </c>
      <c r="O48" s="128" t="s">
        <v>1417</v>
      </c>
      <c r="P48" s="128" t="s">
        <v>1417</v>
      </c>
      <c r="Q48" s="128" t="s">
        <v>1417</v>
      </c>
      <c r="R48" s="128" t="s">
        <v>1417</v>
      </c>
      <c r="S48" s="128" t="s">
        <v>1417</v>
      </c>
      <c r="T48" s="128" t="s">
        <v>1417</v>
      </c>
      <c r="U48" s="128" t="s">
        <v>1417</v>
      </c>
      <c r="V48" s="128" t="s">
        <v>1417</v>
      </c>
      <c r="W48" s="128" t="s">
        <v>1417</v>
      </c>
      <c r="X48" s="128" t="s">
        <v>1417</v>
      </c>
      <c r="Y48" s="128" t="s">
        <v>1417</v>
      </c>
      <c r="Z48" s="33"/>
    </row>
    <row r="49" spans="1:26">
      <c r="A49" s="122"/>
      <c r="B49" s="93" t="s">
        <v>10</v>
      </c>
      <c r="C49" s="87">
        <v>-6.739176034052493E-3</v>
      </c>
      <c r="D49" s="88">
        <v>1.404879701168647E-3</v>
      </c>
      <c r="E49" s="89">
        <v>9.0799722783874472E-3</v>
      </c>
      <c r="F49" s="90">
        <v>7.3597210772416443E-4</v>
      </c>
      <c r="G49" s="87">
        <v>1.7627540065671264E-2</v>
      </c>
      <c r="H49" s="88">
        <v>3.0934656011855979E-3</v>
      </c>
      <c r="I49" s="89">
        <v>2.2676256350282448E-2</v>
      </c>
      <c r="J49" s="91">
        <v>3.8027050126168073E-3</v>
      </c>
      <c r="K49" s="128" t="s">
        <v>1417</v>
      </c>
      <c r="L49" s="128" t="s">
        <v>1417</v>
      </c>
      <c r="M49" s="128" t="s">
        <v>1417</v>
      </c>
      <c r="N49" s="128" t="s">
        <v>1417</v>
      </c>
      <c r="O49" s="128" t="s">
        <v>1417</v>
      </c>
      <c r="P49" s="128" t="s">
        <v>1417</v>
      </c>
      <c r="Q49" s="128" t="s">
        <v>1417</v>
      </c>
      <c r="R49" s="128" t="s">
        <v>1417</v>
      </c>
      <c r="S49" s="128" t="s">
        <v>1417</v>
      </c>
      <c r="T49" s="128" t="s">
        <v>1417</v>
      </c>
      <c r="U49" s="128" t="s">
        <v>1417</v>
      </c>
      <c r="V49" s="128" t="s">
        <v>1417</v>
      </c>
      <c r="W49" s="128" t="s">
        <v>1417</v>
      </c>
      <c r="X49" s="128" t="s">
        <v>1417</v>
      </c>
      <c r="Y49" s="128" t="s">
        <v>1417</v>
      </c>
      <c r="Z49" s="33"/>
    </row>
    <row r="50" spans="1:26">
      <c r="A50" s="122"/>
      <c r="B50" s="93" t="s">
        <v>11</v>
      </c>
      <c r="C50" s="87">
        <v>1.4180657234246332E-4</v>
      </c>
      <c r="D50" s="88">
        <v>1.5680649630332052E-4</v>
      </c>
      <c r="E50" s="89">
        <v>7.6251087897467526E-4</v>
      </c>
      <c r="F50" s="90">
        <v>1.8337930686089063E-4</v>
      </c>
      <c r="G50" s="87">
        <v>6.9420139714103108E-4</v>
      </c>
      <c r="H50" s="88">
        <v>1.287351024076065E-4</v>
      </c>
      <c r="I50" s="89">
        <v>8.8070096697271836E-4</v>
      </c>
      <c r="J50" s="91">
        <v>1.2717653626795732E-4</v>
      </c>
      <c r="K50" s="128" t="s">
        <v>1417</v>
      </c>
      <c r="L50" s="128" t="s">
        <v>1417</v>
      </c>
      <c r="M50" s="128" t="s">
        <v>1417</v>
      </c>
      <c r="N50" s="128" t="s">
        <v>1417</v>
      </c>
      <c r="O50" s="128" t="s">
        <v>1417</v>
      </c>
      <c r="P50" s="128" t="s">
        <v>1417</v>
      </c>
      <c r="Q50" s="128" t="s">
        <v>1417</v>
      </c>
      <c r="R50" s="128" t="s">
        <v>1417</v>
      </c>
      <c r="S50" s="128" t="s">
        <v>1417</v>
      </c>
      <c r="T50" s="128" t="s">
        <v>1417</v>
      </c>
      <c r="U50" s="128" t="s">
        <v>1417</v>
      </c>
      <c r="V50" s="128" t="s">
        <v>1417</v>
      </c>
      <c r="W50" s="128" t="s">
        <v>1417</v>
      </c>
      <c r="X50" s="128" t="s">
        <v>1417</v>
      </c>
      <c r="Y50" s="128" t="s">
        <v>1417</v>
      </c>
      <c r="Z50" s="33"/>
    </row>
    <row r="51" spans="1:26">
      <c r="A51" s="122"/>
      <c r="B51" s="93" t="s">
        <v>12</v>
      </c>
      <c r="C51" s="87">
        <v>2.1082846633877692E-5</v>
      </c>
      <c r="D51" s="88">
        <v>2.0529757054716801E-3</v>
      </c>
      <c r="E51" s="89">
        <v>8.6140502999675845E-5</v>
      </c>
      <c r="F51" s="90">
        <v>2.4052886063774571E-3</v>
      </c>
      <c r="G51" s="87">
        <v>1.1981994061754143E-4</v>
      </c>
      <c r="H51" s="88">
        <v>3.0905018213178621E-3</v>
      </c>
      <c r="I51" s="89">
        <v>2.442306048833459E-4</v>
      </c>
      <c r="J51" s="91">
        <v>3.8587197425613401E-3</v>
      </c>
      <c r="K51" s="128" t="s">
        <v>1417</v>
      </c>
      <c r="L51" s="128" t="s">
        <v>1417</v>
      </c>
      <c r="M51" s="128" t="s">
        <v>1417</v>
      </c>
      <c r="N51" s="128" t="s">
        <v>1417</v>
      </c>
      <c r="O51" s="128" t="s">
        <v>1417</v>
      </c>
      <c r="P51" s="128" t="s">
        <v>1417</v>
      </c>
      <c r="Q51" s="128" t="s">
        <v>1417</v>
      </c>
      <c r="R51" s="128" t="s">
        <v>1417</v>
      </c>
      <c r="S51" s="128" t="s">
        <v>1417</v>
      </c>
      <c r="T51" s="128" t="s">
        <v>1417</v>
      </c>
      <c r="U51" s="128" t="s">
        <v>1417</v>
      </c>
      <c r="V51" s="128" t="s">
        <v>1417</v>
      </c>
      <c r="W51" s="128" t="s">
        <v>1417</v>
      </c>
      <c r="X51" s="128" t="s">
        <v>1417</v>
      </c>
      <c r="Y51" s="128" t="s">
        <v>1417</v>
      </c>
      <c r="Z51" s="33"/>
    </row>
    <row r="52" spans="1:26">
      <c r="A52" s="122"/>
      <c r="B52" s="93" t="s">
        <v>13</v>
      </c>
      <c r="C52" s="87">
        <v>9.1598561869584891E-4</v>
      </c>
      <c r="D52" s="88">
        <v>6.4686382216420937E-2</v>
      </c>
      <c r="E52" s="89">
        <v>9.7874037289307782E-4</v>
      </c>
      <c r="F52" s="90">
        <v>6.3621999769718648E-2</v>
      </c>
      <c r="G52" s="87">
        <v>1.323827168304248E-3</v>
      </c>
      <c r="H52" s="88">
        <v>6.1533128985670982E-2</v>
      </c>
      <c r="I52" s="89">
        <v>1.7512176606810238E-3</v>
      </c>
      <c r="J52" s="91">
        <v>5.9216518551827198E-2</v>
      </c>
      <c r="K52" s="128" t="s">
        <v>1417</v>
      </c>
      <c r="L52" s="128" t="s">
        <v>1417</v>
      </c>
      <c r="M52" s="128" t="s">
        <v>1417</v>
      </c>
      <c r="N52" s="128" t="s">
        <v>1417</v>
      </c>
      <c r="O52" s="128" t="s">
        <v>1417</v>
      </c>
      <c r="P52" s="128" t="s">
        <v>1417</v>
      </c>
      <c r="Q52" s="128" t="s">
        <v>1417</v>
      </c>
      <c r="R52" s="128" t="s">
        <v>1417</v>
      </c>
      <c r="S52" s="128" t="s">
        <v>1417</v>
      </c>
      <c r="T52" s="128" t="s">
        <v>1417</v>
      </c>
      <c r="U52" s="128" t="s">
        <v>1417</v>
      </c>
      <c r="V52" s="128" t="s">
        <v>1417</v>
      </c>
      <c r="W52" s="128" t="s">
        <v>1417</v>
      </c>
      <c r="X52" s="128" t="s">
        <v>1417</v>
      </c>
      <c r="Y52" s="128" t="s">
        <v>1417</v>
      </c>
      <c r="Z52" s="33"/>
    </row>
    <row r="53" spans="1:26">
      <c r="A53" s="122"/>
      <c r="B53" s="93" t="s">
        <v>14</v>
      </c>
      <c r="C53" s="87">
        <v>0</v>
      </c>
      <c r="D53" s="88">
        <v>0</v>
      </c>
      <c r="E53" s="89">
        <v>0</v>
      </c>
      <c r="F53" s="90">
        <v>0</v>
      </c>
      <c r="G53" s="87">
        <v>0</v>
      </c>
      <c r="H53" s="88">
        <v>0</v>
      </c>
      <c r="I53" s="89">
        <v>0</v>
      </c>
      <c r="J53" s="91">
        <v>0</v>
      </c>
      <c r="K53" s="128" t="s">
        <v>1417</v>
      </c>
      <c r="L53" s="128" t="s">
        <v>1417</v>
      </c>
      <c r="M53" s="128" t="s">
        <v>1417</v>
      </c>
      <c r="N53" s="128" t="s">
        <v>1417</v>
      </c>
      <c r="O53" s="128" t="s">
        <v>1417</v>
      </c>
      <c r="P53" s="128" t="s">
        <v>1417</v>
      </c>
      <c r="Q53" s="128" t="s">
        <v>1417</v>
      </c>
      <c r="R53" s="128" t="s">
        <v>1417</v>
      </c>
      <c r="S53" s="128" t="s">
        <v>1417</v>
      </c>
      <c r="T53" s="128" t="s">
        <v>1417</v>
      </c>
      <c r="U53" s="128" t="s">
        <v>1417</v>
      </c>
      <c r="V53" s="128" t="s">
        <v>1417</v>
      </c>
      <c r="W53" s="128" t="s">
        <v>1417</v>
      </c>
      <c r="X53" s="128" t="s">
        <v>1417</v>
      </c>
      <c r="Y53" s="128" t="s">
        <v>1417</v>
      </c>
      <c r="Z53" s="33"/>
    </row>
    <row r="54" spans="1:26">
      <c r="A54" s="122"/>
      <c r="B54" s="93" t="s">
        <v>15</v>
      </c>
      <c r="C54" s="87">
        <v>0</v>
      </c>
      <c r="D54" s="88">
        <v>0</v>
      </c>
      <c r="E54" s="89">
        <v>0</v>
      </c>
      <c r="F54" s="90">
        <v>0</v>
      </c>
      <c r="G54" s="87">
        <v>0</v>
      </c>
      <c r="H54" s="88">
        <v>0</v>
      </c>
      <c r="I54" s="89">
        <v>0</v>
      </c>
      <c r="J54" s="91">
        <v>0</v>
      </c>
      <c r="K54" s="128" t="s">
        <v>1417</v>
      </c>
      <c r="L54" s="128" t="s">
        <v>1417</v>
      </c>
      <c r="M54" s="128" t="s">
        <v>1417</v>
      </c>
      <c r="N54" s="128" t="s">
        <v>1417</v>
      </c>
      <c r="O54" s="128" t="s">
        <v>1417</v>
      </c>
      <c r="P54" s="128" t="s">
        <v>1417</v>
      </c>
      <c r="Q54" s="128" t="s">
        <v>1417</v>
      </c>
      <c r="R54" s="128" t="s">
        <v>1417</v>
      </c>
      <c r="S54" s="128" t="s">
        <v>1417</v>
      </c>
      <c r="T54" s="128" t="s">
        <v>1417</v>
      </c>
      <c r="U54" s="128" t="s">
        <v>1417</v>
      </c>
      <c r="V54" s="128" t="s">
        <v>1417</v>
      </c>
      <c r="W54" s="128" t="s">
        <v>1417</v>
      </c>
      <c r="X54" s="128" t="s">
        <v>1417</v>
      </c>
      <c r="Y54" s="128" t="s">
        <v>1417</v>
      </c>
      <c r="Z54" s="33"/>
    </row>
    <row r="55" spans="1:26">
      <c r="A55" s="122"/>
      <c r="B55" s="93" t="s">
        <v>16</v>
      </c>
      <c r="C55" s="87">
        <v>7.2348306536693468E-5</v>
      </c>
      <c r="D55" s="88">
        <v>8.7855734283827005E-3</v>
      </c>
      <c r="E55" s="89">
        <v>1.5703250924936225E-4</v>
      </c>
      <c r="F55" s="90">
        <v>8.4428422332161641E-3</v>
      </c>
      <c r="G55" s="87">
        <v>1.0972394119963663E-4</v>
      </c>
      <c r="H55" s="88">
        <v>8.1309165985578684E-3</v>
      </c>
      <c r="I55" s="89">
        <v>3.982464718001655E-4</v>
      </c>
      <c r="J55" s="91">
        <v>8.0190194068433824E-3</v>
      </c>
      <c r="K55" s="128" t="s">
        <v>1417</v>
      </c>
      <c r="L55" s="128" t="s">
        <v>1417</v>
      </c>
      <c r="M55" s="128" t="s">
        <v>1417</v>
      </c>
      <c r="N55" s="128" t="s">
        <v>1417</v>
      </c>
      <c r="O55" s="128" t="s">
        <v>1417</v>
      </c>
      <c r="P55" s="128" t="s">
        <v>1417</v>
      </c>
      <c r="Q55" s="128" t="s">
        <v>1417</v>
      </c>
      <c r="R55" s="128" t="s">
        <v>1417</v>
      </c>
      <c r="S55" s="128" t="s">
        <v>1417</v>
      </c>
      <c r="T55" s="128" t="s">
        <v>1417</v>
      </c>
      <c r="U55" s="128" t="s">
        <v>1417</v>
      </c>
      <c r="V55" s="128" t="s">
        <v>1417</v>
      </c>
      <c r="W55" s="128" t="s">
        <v>1417</v>
      </c>
      <c r="X55" s="128" t="s">
        <v>1417</v>
      </c>
      <c r="Y55" s="128" t="s">
        <v>1417</v>
      </c>
      <c r="Z55" s="33"/>
    </row>
    <row r="56" spans="1:26">
      <c r="A56" s="122"/>
      <c r="B56" s="93" t="s">
        <v>17</v>
      </c>
      <c r="C56" s="87">
        <v>-5.8990389839149547E-7</v>
      </c>
      <c r="D56" s="88">
        <v>-8.3710176173116537E-5</v>
      </c>
      <c r="E56" s="89">
        <v>-2.0111696259315979E-7</v>
      </c>
      <c r="F56" s="90">
        <v>-7.029824938865744E-5</v>
      </c>
      <c r="G56" s="87">
        <v>8.9388275789965953E-8</v>
      </c>
      <c r="H56" s="88">
        <v>-6.3191397882171978E-5</v>
      </c>
      <c r="I56" s="89">
        <v>6.019265986231139E-7</v>
      </c>
      <c r="J56" s="91">
        <v>-5.785617973302923E-5</v>
      </c>
      <c r="K56" s="128" t="s">
        <v>1417</v>
      </c>
      <c r="L56" s="128" t="s">
        <v>1417</v>
      </c>
      <c r="M56" s="128" t="s">
        <v>1417</v>
      </c>
      <c r="N56" s="128" t="s">
        <v>1417</v>
      </c>
      <c r="O56" s="128" t="s">
        <v>1417</v>
      </c>
      <c r="P56" s="128" t="s">
        <v>1417</v>
      </c>
      <c r="Q56" s="128" t="s">
        <v>1417</v>
      </c>
      <c r="R56" s="128" t="s">
        <v>1417</v>
      </c>
      <c r="S56" s="128" t="s">
        <v>1417</v>
      </c>
      <c r="T56" s="128" t="s">
        <v>1417</v>
      </c>
      <c r="U56" s="128" t="s">
        <v>1417</v>
      </c>
      <c r="V56" s="128" t="s">
        <v>1417</v>
      </c>
      <c r="W56" s="128" t="s">
        <v>1417</v>
      </c>
      <c r="X56" s="128" t="s">
        <v>1417</v>
      </c>
      <c r="Y56" s="128" t="s">
        <v>1417</v>
      </c>
      <c r="Z56" s="33"/>
    </row>
    <row r="57" spans="1:26">
      <c r="A57" s="122"/>
      <c r="B57" s="94" t="s">
        <v>25</v>
      </c>
      <c r="C57" s="95">
        <v>7.3479743955380261E-3</v>
      </c>
      <c r="D57" s="96">
        <v>0.99999999999999989</v>
      </c>
      <c r="E57" s="97">
        <v>5.2945803773445377E-2</v>
      </c>
      <c r="F57" s="98">
        <v>1</v>
      </c>
      <c r="G57" s="95">
        <v>8.5799089525688821E-2</v>
      </c>
      <c r="H57" s="96">
        <v>1</v>
      </c>
      <c r="I57" s="97">
        <v>0.11231282632860884</v>
      </c>
      <c r="J57" s="99">
        <v>1</v>
      </c>
      <c r="K57" s="128" t="s">
        <v>1417</v>
      </c>
      <c r="L57" s="128" t="s">
        <v>1417</v>
      </c>
      <c r="M57" s="128" t="s">
        <v>1417</v>
      </c>
      <c r="N57" s="128" t="s">
        <v>1417</v>
      </c>
      <c r="O57" s="128" t="s">
        <v>1417</v>
      </c>
      <c r="P57" s="128" t="s">
        <v>1417</v>
      </c>
      <c r="Q57" s="128" t="s">
        <v>1417</v>
      </c>
      <c r="R57" s="128" t="s">
        <v>1417</v>
      </c>
      <c r="S57" s="128" t="s">
        <v>1417</v>
      </c>
      <c r="T57" s="128" t="s">
        <v>1417</v>
      </c>
      <c r="U57" s="128" t="s">
        <v>1417</v>
      </c>
      <c r="V57" s="128" t="s">
        <v>1417</v>
      </c>
      <c r="W57" s="128" t="s">
        <v>1417</v>
      </c>
      <c r="X57" s="128" t="s">
        <v>1417</v>
      </c>
      <c r="Y57" s="128" t="s">
        <v>1417</v>
      </c>
      <c r="Z57" s="33"/>
    </row>
    <row r="58" spans="1:26">
      <c r="A58" s="122"/>
      <c r="B58" s="100" t="s">
        <v>24</v>
      </c>
      <c r="C58" s="101">
        <v>34775.965230000002</v>
      </c>
      <c r="D58" s="125"/>
      <c r="E58" s="102">
        <v>279691.58762000001</v>
      </c>
      <c r="F58" s="125"/>
      <c r="G58" s="101">
        <v>465098.34080000001</v>
      </c>
      <c r="H58" s="125"/>
      <c r="I58" s="102">
        <v>622767.24454999994</v>
      </c>
      <c r="J58" s="129"/>
      <c r="K58" s="128" t="s">
        <v>1417</v>
      </c>
      <c r="L58" s="128" t="s">
        <v>1417</v>
      </c>
      <c r="M58" s="128" t="s">
        <v>1417</v>
      </c>
      <c r="N58" s="128" t="s">
        <v>1417</v>
      </c>
      <c r="O58" s="128" t="s">
        <v>1417</v>
      </c>
      <c r="P58" s="128" t="s">
        <v>1417</v>
      </c>
      <c r="Q58" s="128" t="s">
        <v>1417</v>
      </c>
      <c r="R58" s="128" t="s">
        <v>1417</v>
      </c>
      <c r="S58" s="128" t="s">
        <v>1417</v>
      </c>
      <c r="T58" s="128" t="s">
        <v>1417</v>
      </c>
      <c r="U58" s="128" t="s">
        <v>1417</v>
      </c>
      <c r="V58" s="128" t="s">
        <v>1417</v>
      </c>
      <c r="W58" s="128" t="s">
        <v>1417</v>
      </c>
      <c r="X58" s="128" t="s">
        <v>1417</v>
      </c>
      <c r="Y58" s="128" t="s">
        <v>1417</v>
      </c>
      <c r="Z58" s="33"/>
    </row>
    <row r="59" spans="1:26">
      <c r="A59" s="122"/>
      <c r="B59" s="126"/>
      <c r="C59" s="127"/>
      <c r="D59" s="127"/>
      <c r="E59" s="127"/>
      <c r="F59" s="127"/>
      <c r="G59" s="127"/>
      <c r="H59" s="127"/>
      <c r="I59" s="127"/>
      <c r="J59" s="130"/>
      <c r="K59" s="128" t="s">
        <v>1417</v>
      </c>
      <c r="L59" s="128" t="s">
        <v>1417</v>
      </c>
      <c r="M59" s="128" t="s">
        <v>1417</v>
      </c>
      <c r="N59" s="128" t="s">
        <v>1417</v>
      </c>
      <c r="O59" s="128" t="s">
        <v>1417</v>
      </c>
      <c r="P59" s="128" t="s">
        <v>1417</v>
      </c>
      <c r="Q59" s="128" t="s">
        <v>1417</v>
      </c>
      <c r="R59" s="128" t="s">
        <v>1417</v>
      </c>
      <c r="S59" s="128" t="s">
        <v>1417</v>
      </c>
      <c r="T59" s="128" t="s">
        <v>1417</v>
      </c>
      <c r="U59" s="128" t="s">
        <v>1417</v>
      </c>
      <c r="V59" s="128" t="s">
        <v>1417</v>
      </c>
      <c r="W59" s="128" t="s">
        <v>1417</v>
      </c>
      <c r="X59" s="128" t="s">
        <v>1417</v>
      </c>
      <c r="Y59" s="128" t="s">
        <v>1417</v>
      </c>
      <c r="Z59" s="33"/>
    </row>
    <row r="60" spans="1:26">
      <c r="A60" s="122"/>
      <c r="B60" s="86" t="s">
        <v>19</v>
      </c>
      <c r="C60" s="105">
        <v>6.5296003598308483E-3</v>
      </c>
      <c r="D60" s="106">
        <v>0.78920884527992108</v>
      </c>
      <c r="E60" s="107">
        <v>4.7337217078609564E-2</v>
      </c>
      <c r="F60" s="108">
        <v>0.7914321596951277</v>
      </c>
      <c r="G60" s="105">
        <v>6.9179001938193874E-2</v>
      </c>
      <c r="H60" s="106">
        <v>0.79571959725701547</v>
      </c>
      <c r="I60" s="107">
        <v>9.3583526485188959E-2</v>
      </c>
      <c r="J60" s="109">
        <v>0.79872133496539488</v>
      </c>
      <c r="K60" s="128" t="s">
        <v>1417</v>
      </c>
      <c r="L60" s="128" t="s">
        <v>1417</v>
      </c>
      <c r="M60" s="128" t="s">
        <v>1417</v>
      </c>
      <c r="N60" s="128" t="s">
        <v>1417</v>
      </c>
      <c r="O60" s="128" t="s">
        <v>1417</v>
      </c>
      <c r="P60" s="128" t="s">
        <v>1417</v>
      </c>
      <c r="Q60" s="128" t="s">
        <v>1417</v>
      </c>
      <c r="R60" s="128" t="s">
        <v>1417</v>
      </c>
      <c r="S60" s="128" t="s">
        <v>1417</v>
      </c>
      <c r="T60" s="128" t="s">
        <v>1417</v>
      </c>
      <c r="U60" s="128" t="s">
        <v>1417</v>
      </c>
      <c r="V60" s="128" t="s">
        <v>1417</v>
      </c>
      <c r="W60" s="128" t="s">
        <v>1417</v>
      </c>
      <c r="X60" s="128" t="s">
        <v>1417</v>
      </c>
      <c r="Y60" s="128" t="s">
        <v>1417</v>
      </c>
      <c r="Z60" s="33"/>
    </row>
    <row r="61" spans="1:26">
      <c r="A61" s="122"/>
      <c r="B61" s="93" t="s">
        <v>20</v>
      </c>
      <c r="C61" s="87">
        <v>8.1837403570717774E-4</v>
      </c>
      <c r="D61" s="88">
        <v>0.21079115472007889</v>
      </c>
      <c r="E61" s="89">
        <v>5.6085866948358144E-3</v>
      </c>
      <c r="F61" s="90">
        <v>0.20856784030487216</v>
      </c>
      <c r="G61" s="87">
        <v>1.6620087587494951E-2</v>
      </c>
      <c r="H61" s="88">
        <v>0.20428040274298442</v>
      </c>
      <c r="I61" s="89">
        <v>1.872929984341988E-2</v>
      </c>
      <c r="J61" s="91">
        <v>0.20127866503460504</v>
      </c>
      <c r="K61" s="128" t="s">
        <v>1417</v>
      </c>
      <c r="L61" s="128" t="s">
        <v>1417</v>
      </c>
      <c r="M61" s="128" t="s">
        <v>1417</v>
      </c>
      <c r="N61" s="128" t="s">
        <v>1417</v>
      </c>
      <c r="O61" s="128" t="s">
        <v>1417</v>
      </c>
      <c r="P61" s="128" t="s">
        <v>1417</v>
      </c>
      <c r="Q61" s="128" t="s">
        <v>1417</v>
      </c>
      <c r="R61" s="128" t="s">
        <v>1417</v>
      </c>
      <c r="S61" s="128" t="s">
        <v>1417</v>
      </c>
      <c r="T61" s="128" t="s">
        <v>1417</v>
      </c>
      <c r="U61" s="128" t="s">
        <v>1417</v>
      </c>
      <c r="V61" s="128" t="s">
        <v>1417</v>
      </c>
      <c r="W61" s="128" t="s">
        <v>1417</v>
      </c>
      <c r="X61" s="128" t="s">
        <v>1417</v>
      </c>
      <c r="Y61" s="128" t="s">
        <v>1417</v>
      </c>
      <c r="Z61" s="33"/>
    </row>
    <row r="62" spans="1:26">
      <c r="A62" s="122"/>
      <c r="B62" s="94" t="s">
        <v>25</v>
      </c>
      <c r="C62" s="95">
        <v>7.3479743955380261E-3</v>
      </c>
      <c r="D62" s="96">
        <v>1</v>
      </c>
      <c r="E62" s="97">
        <v>5.2945803773445377E-2</v>
      </c>
      <c r="F62" s="98">
        <v>0.99999999999999989</v>
      </c>
      <c r="G62" s="95">
        <v>8.5799089525688821E-2</v>
      </c>
      <c r="H62" s="96">
        <v>0.99999999999999989</v>
      </c>
      <c r="I62" s="97">
        <v>0.11231282632860884</v>
      </c>
      <c r="J62" s="99">
        <v>0.99999999999999989</v>
      </c>
      <c r="K62" s="128" t="s">
        <v>1417</v>
      </c>
      <c r="L62" s="128" t="s">
        <v>1417</v>
      </c>
      <c r="M62" s="128" t="s">
        <v>1417</v>
      </c>
      <c r="N62" s="128" t="s">
        <v>1417</v>
      </c>
      <c r="O62" s="128" t="s">
        <v>1417</v>
      </c>
      <c r="P62" s="128" t="s">
        <v>1417</v>
      </c>
      <c r="Q62" s="128" t="s">
        <v>1417</v>
      </c>
      <c r="R62" s="128" t="s">
        <v>1417</v>
      </c>
      <c r="S62" s="128" t="s">
        <v>1417</v>
      </c>
      <c r="T62" s="128" t="s">
        <v>1417</v>
      </c>
      <c r="U62" s="128" t="s">
        <v>1417</v>
      </c>
      <c r="V62" s="128" t="s">
        <v>1417</v>
      </c>
      <c r="W62" s="128" t="s">
        <v>1417</v>
      </c>
      <c r="X62" s="128" t="s">
        <v>1417</v>
      </c>
      <c r="Y62" s="128" t="s">
        <v>1417</v>
      </c>
      <c r="Z62" s="33"/>
    </row>
    <row r="63" spans="1:26">
      <c r="A63" s="122"/>
      <c r="B63" s="126"/>
      <c r="C63" s="127"/>
      <c r="D63" s="127"/>
      <c r="E63" s="127"/>
      <c r="F63" s="127"/>
      <c r="G63" s="127"/>
      <c r="H63" s="127"/>
      <c r="I63" s="127"/>
      <c r="J63" s="130"/>
      <c r="K63" s="128" t="s">
        <v>1417</v>
      </c>
      <c r="L63" s="128" t="s">
        <v>1417</v>
      </c>
      <c r="M63" s="128" t="s">
        <v>1417</v>
      </c>
      <c r="N63" s="128" t="s">
        <v>1417</v>
      </c>
      <c r="O63" s="128" t="s">
        <v>1417</v>
      </c>
      <c r="P63" s="128" t="s">
        <v>1417</v>
      </c>
      <c r="Q63" s="128" t="s">
        <v>1417</v>
      </c>
      <c r="R63" s="128" t="s">
        <v>1417</v>
      </c>
      <c r="S63" s="128" t="s">
        <v>1417</v>
      </c>
      <c r="T63" s="128" t="s">
        <v>1417</v>
      </c>
      <c r="U63" s="128" t="s">
        <v>1417</v>
      </c>
      <c r="V63" s="128" t="s">
        <v>1417</v>
      </c>
      <c r="W63" s="128" t="s">
        <v>1417</v>
      </c>
      <c r="X63" s="128" t="s">
        <v>1417</v>
      </c>
      <c r="Y63" s="128" t="s">
        <v>1417</v>
      </c>
      <c r="Z63" s="33"/>
    </row>
    <row r="64" spans="1:26">
      <c r="A64" s="122"/>
      <c r="B64" s="86" t="s">
        <v>21</v>
      </c>
      <c r="C64" s="105">
        <v>2.1682454959259545E-3</v>
      </c>
      <c r="D64" s="106">
        <v>0.57315193276118626</v>
      </c>
      <c r="E64" s="107">
        <v>3.6184853406223287E-2</v>
      </c>
      <c r="F64" s="108">
        <v>0.57619298966125332</v>
      </c>
      <c r="G64" s="105">
        <v>5.8152395630120986E-2</v>
      </c>
      <c r="H64" s="106">
        <v>0.57839608064441572</v>
      </c>
      <c r="I64" s="107">
        <v>7.8783075913137018E-2</v>
      </c>
      <c r="J64" s="109">
        <v>0.58206932996916727</v>
      </c>
      <c r="K64" s="128" t="s">
        <v>1417</v>
      </c>
      <c r="L64" s="128" t="s">
        <v>1417</v>
      </c>
      <c r="M64" s="128" t="s">
        <v>1417</v>
      </c>
      <c r="N64" s="128" t="s">
        <v>1417</v>
      </c>
      <c r="O64" s="128" t="s">
        <v>1417</v>
      </c>
      <c r="P64" s="128" t="s">
        <v>1417</v>
      </c>
      <c r="Q64" s="128" t="s">
        <v>1417</v>
      </c>
      <c r="R64" s="128" t="s">
        <v>1417</v>
      </c>
      <c r="S64" s="128" t="s">
        <v>1417</v>
      </c>
      <c r="T64" s="128" t="s">
        <v>1417</v>
      </c>
      <c r="U64" s="128" t="s">
        <v>1417</v>
      </c>
      <c r="V64" s="128" t="s">
        <v>1417</v>
      </c>
      <c r="W64" s="128" t="s">
        <v>1417</v>
      </c>
      <c r="X64" s="128" t="s">
        <v>1417</v>
      </c>
      <c r="Y64" s="128" t="s">
        <v>1417</v>
      </c>
      <c r="Z64" s="33"/>
    </row>
    <row r="65" spans="1:26">
      <c r="A65" s="122"/>
      <c r="B65" s="93" t="s">
        <v>22</v>
      </c>
      <c r="C65" s="87">
        <v>5.1797288996120721E-3</v>
      </c>
      <c r="D65" s="88">
        <v>0.4268480672388138</v>
      </c>
      <c r="E65" s="89">
        <v>1.6760950367222086E-2</v>
      </c>
      <c r="F65" s="90">
        <v>0.42380701033874663</v>
      </c>
      <c r="G65" s="87">
        <v>2.7646693895567835E-2</v>
      </c>
      <c r="H65" s="88">
        <v>0.42160391935558422</v>
      </c>
      <c r="I65" s="89">
        <v>3.3529750415471828E-2</v>
      </c>
      <c r="J65" s="91">
        <v>0.41793067003083273</v>
      </c>
      <c r="K65" s="128" t="s">
        <v>1417</v>
      </c>
      <c r="L65" s="128" t="s">
        <v>1417</v>
      </c>
      <c r="M65" s="128" t="s">
        <v>1417</v>
      </c>
      <c r="N65" s="128" t="s">
        <v>1417</v>
      </c>
      <c r="O65" s="128" t="s">
        <v>1417</v>
      </c>
      <c r="P65" s="128" t="s">
        <v>1417</v>
      </c>
      <c r="Q65" s="128" t="s">
        <v>1417</v>
      </c>
      <c r="R65" s="128" t="s">
        <v>1417</v>
      </c>
      <c r="S65" s="128" t="s">
        <v>1417</v>
      </c>
      <c r="T65" s="128" t="s">
        <v>1417</v>
      </c>
      <c r="U65" s="128" t="s">
        <v>1417</v>
      </c>
      <c r="V65" s="128" t="s">
        <v>1417</v>
      </c>
      <c r="W65" s="128" t="s">
        <v>1417</v>
      </c>
      <c r="X65" s="128" t="s">
        <v>1417</v>
      </c>
      <c r="Y65" s="128" t="s">
        <v>1417</v>
      </c>
      <c r="Z65" s="33"/>
    </row>
    <row r="66" spans="1:26">
      <c r="A66" s="122"/>
      <c r="B66" s="110" t="s">
        <v>25</v>
      </c>
      <c r="C66" s="111">
        <v>7.3479743955380261E-3</v>
      </c>
      <c r="D66" s="112">
        <v>1</v>
      </c>
      <c r="E66" s="113">
        <v>5.2945803773445377E-2</v>
      </c>
      <c r="F66" s="114">
        <v>1</v>
      </c>
      <c r="G66" s="111">
        <v>8.5799089525688821E-2</v>
      </c>
      <c r="H66" s="112">
        <v>1</v>
      </c>
      <c r="I66" s="113">
        <v>0.11231282632860884</v>
      </c>
      <c r="J66" s="115">
        <v>1</v>
      </c>
      <c r="K66" s="128" t="s">
        <v>1417</v>
      </c>
      <c r="L66" s="128" t="s">
        <v>1417</v>
      </c>
      <c r="M66" s="128" t="s">
        <v>1417</v>
      </c>
      <c r="N66" s="128" t="s">
        <v>1417</v>
      </c>
      <c r="O66" s="128" t="s">
        <v>1417</v>
      </c>
      <c r="P66" s="128" t="s">
        <v>1417</v>
      </c>
      <c r="Q66" s="128" t="s">
        <v>1417</v>
      </c>
      <c r="R66" s="128" t="s">
        <v>1417</v>
      </c>
      <c r="S66" s="128" t="s">
        <v>1417</v>
      </c>
      <c r="T66" s="128" t="s">
        <v>1417</v>
      </c>
      <c r="U66" s="128" t="s">
        <v>1417</v>
      </c>
      <c r="V66" s="128" t="s">
        <v>1417</v>
      </c>
      <c r="W66" s="128" t="s">
        <v>1417</v>
      </c>
      <c r="X66" s="128" t="s">
        <v>1417</v>
      </c>
      <c r="Y66" s="128" t="s">
        <v>1417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2025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1408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1409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1406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1407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1404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1405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200000</v>
      </c>
      <c r="H700" s="64" t="s">
        <v>86</v>
      </c>
      <c r="I700" s="64" t="s">
        <v>1396</v>
      </c>
      <c r="J700" s="64" t="s">
        <v>83</v>
      </c>
      <c r="K700" s="65">
        <v>123456789</v>
      </c>
      <c r="L700" s="35" t="s">
        <v>88</v>
      </c>
    </row>
    <row r="701" spans="7:12">
      <c r="G701" s="64">
        <v>200000</v>
      </c>
      <c r="H701" s="64" t="s">
        <v>86</v>
      </c>
      <c r="I701" s="64" t="s">
        <v>1396</v>
      </c>
      <c r="J701" s="64" t="s">
        <v>83</v>
      </c>
      <c r="K701" s="65">
        <v>123456789</v>
      </c>
      <c r="L701" s="35" t="s">
        <v>88</v>
      </c>
    </row>
    <row r="702" spans="7:12">
      <c r="G702" s="64">
        <v>200000</v>
      </c>
      <c r="H702" s="64" t="s">
        <v>86</v>
      </c>
      <c r="I702" s="64" t="s">
        <v>1396</v>
      </c>
      <c r="J702" s="64" t="s">
        <v>83</v>
      </c>
      <c r="K702" s="65">
        <v>123456789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 hidden="1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2026-01-19T07:28:23Z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