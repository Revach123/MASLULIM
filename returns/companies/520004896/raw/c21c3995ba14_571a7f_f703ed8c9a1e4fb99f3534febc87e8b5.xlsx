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3-2026\דוח מרכיבי תשואה- 30.9.2026- לאתר- מונגש\"/>
    </mc:Choice>
  </mc:AlternateContent>
  <xr:revisionPtr revIDLastSave="0" documentId="13_ncr:1_{71EAE3C4-5DAC-4136-90EE-2B91AB2FB36B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4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<sst xmlns="http://schemas.openxmlformats.org/spreadsheetml/2006/main" count="5755" uniqueCount="1430">
  <si>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</si>
  <si>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</si>
  <si>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</si>
  <si>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</si>
  <si>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</si>
  <si>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</si>
  <si>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</si>
  <si>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</si>
  <si>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</si>
  <si>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</si>
  <si>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</si>
  <si>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</si>
  <si>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</si>
  <si>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</si>
  <si>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</si>
  <si>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</si>
  <si>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</si>
  <si>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</si>
  <si>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</si>
  <si>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</si>
  <si>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</si>
  <si>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</si>
  <si>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</si>
  <si>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</si>
  <si>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</si>
  <si>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</si>
  <si>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</si>
  <si>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</si>
  <si>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</si>
  <si>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</si>
  <si>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</si>
  <si>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</si>
  <si>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</si>
  <si>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</si>
  <si>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</si>
  <si>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</si>
  <si>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</si>
  <si>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</si>
  <si>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</si>
  <si>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</si>
  <si>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</si>
  <si>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</si>
  <si>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</si>
  <si>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</si>
  <si>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</si>
  <si>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</si>
  <si>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</si>
  <si>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</si>
  <si>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</si>
  <si>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</si>
  <si>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</si>
  <si>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</si>
  <si>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</si>
  <si>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</si>
  <si>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</si>
  <si>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</si>
  <si>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</si>
  <si>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</si>
  <si>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</si>
  <si>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</si>
  <si>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</si>
  <si>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</si>
  <si>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</si>
  <si>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</si>
  <si>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</si>
  <si>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</si>
  <si>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</si>
  <si>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</si>
  <si>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</si>
  <si>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</si>
  <si>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</si>
  <si>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</si>
  <si>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</si>
  <si>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</si>
  <si>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</si>
  <si>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</si>
  <si>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</si>
  <si>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</si>
  <si>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</si>
  <si>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</si>
  <si>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</si>
  <si>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</si>
  <si>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</si>
  <si>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</si>
  <si>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</si>
  <si>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</si>
  <si>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</si>
  <si>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</si>
  <si>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</si>
  <si>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</si>
  <si>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</si>
  <si>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</si>
  <si>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</si>
  <si>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</si>
  <si>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</si>
  <si>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</si>
  <si>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</si>
  <si>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</si>
  <si>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</si>
  <si>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</si>
  <si>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</si>
  <si>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</si>
  <si>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</si>
  <si>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</si>
  <si>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</si>
  <si>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</si>
  <si>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</si>
  <si>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</si>
  <si>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</si>
  <si>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</si>
  <si>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</si>
  <si>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</si>
  <si>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</si>
  <si>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</si>
  <si>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</si>
  <si>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</si>
  <si>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</si>
  <si>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</si>
  <si>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</si>
  <si>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</si>
  <si>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</si>
  <si>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</si>
  <si>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</si>
  <si>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</si>
  <si>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</si>
  <si>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</si>
  <si>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</si>
  <si>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</si>
  <si>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</si>
  <si>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</si>
  <si>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</si>
  <si>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</si>
  <si>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</si>
  <si>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</si>
  <si>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</si>
  <si>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</si>
  <si>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</si>
  <si>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</si>
  <si>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</si>
  <si>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</si>
  <si>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</si>
  <si>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</si>
  <si>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</si>
  <si>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</si>
  <si>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</si>
  <si>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</si>
  <si>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</si>
  <si>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</si>
  <si>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</si>
  <si>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</si>
  <si>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</si>
  <si>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</si>
  <si>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</si>
  <si>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</si>
  <si>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</si>
  <si>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</si>
  <si>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</si>
  <si>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</si>
  <si>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</si>
  <si>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</si>
  <si>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</si>
  <si>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</si>
  <si>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</si>
  <si>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</si>
  <si>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</si>
  <si>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</si>
  <si>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</si>
  <si>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</si>
  <si>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</si>
  <si>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</si>
  <si>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</si>
  <si>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</si>
  <si>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</si>
  <si>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</si>
  <si>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</si>
  <si>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</si>
  <si>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</si>
  <si>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</si>
  <si>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</si>
  <si>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</si>
  <si>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</si>
  <si>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</si>
  <si>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</si>
  <si>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</si>
  <si>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</si>
  <si>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</si>
  <si>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</si>
  <si>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</si>
  <si>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</si>
  <si>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</si>
  <si>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</si>
  <si>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</si>
  <si>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</si>
  <si>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</si>
  <si>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</si>
  <si>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</si>
  <si>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</si>
  <si>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</si>
  <si>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</si>
  <si>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</si>
  <si>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</si>
  <si>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</si>
  <si>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</si>
  <si>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</si>
  <si>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</si>
  <si>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</si>
  <si>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</si>
  <si>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</si>
  <si>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</si>
  <si>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</si>
  <si>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</si>
  <si>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</si>
  <si>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</si>
  <si>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</si>
  <si>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</si>
  <si>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</si>
  <si>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</si>
  <si>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</si>
  <si>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</si>
  <si>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</si>
  <si>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</si>
  <si>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</si>
  <si>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</si>
  <si>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</si>
  <si>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</si>
  <si>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</si>
  <si>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</si>
  <si>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</si>
  <si>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</si>
  <si>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</si>
  <si>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</si>
  <si>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</si>
  <si>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</si>
  <si>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</si>
  <si>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</si>
  <si>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</si>
  <si>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</si>
  <si>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</si>
  <si>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</si>
  <si>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</si>
  <si>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</si>
  <si>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</si>
  <si>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</si>
  <si>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</si>
  <si>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</si>
  <si>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</si>
  <si>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</si>
  <si>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</si>
  <si>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</si>
  <si>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</si>
  <si>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</si>
  <si>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</si>
  <si>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</si>
  <si>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</si>
  <si>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</si>
  <si>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</si>
  <si>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</si>
  <si>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</si>
  <si>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</si>
  <si>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</si>
  <si>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</si>
  <si>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</si>
  <si>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</si>
  <si>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</si>
  <si>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</si>
  <si>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</si>
  <si>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</si>
  <si>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</si>
  <si>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</si>
  <si>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</si>
  <si>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</si>
  <si>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</si>
  <si>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</si>
  <si>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</si>
  <si>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</si>
  <si>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</si>
  <si>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</si>
  <si>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</si>
  <si>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</si>
  <si>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</si>
  <si>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</si>
  <si>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</si>
  <si>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</si>
  <si>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</si>
  <si>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</si>
  <si>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</si>
  <si>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</si>
  <si>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</si>
  <si>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</si>
  <si>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</si>
  <si>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</si>
  <si>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</si>
  <si>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</si>
  <si>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</si>
  <si>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</si>
  <si>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</si>
  <si>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</si>
  <si>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</si>
  <si>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</si>
  <si>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</si>
  <si>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</si>
  <si>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</si>
  <si>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</si>
  <si>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</si>
  <si>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</si>
  <si>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</si>
  <si>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</si>
  <si>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</si>
  <si>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</si>
  <si>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</si>
  <si>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</si>
  <si>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</si>
  <si>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</si>
  <si>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</si>
  <si>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</si>
  <si>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</si>
  <si>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</si>
  <si>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</si>
  <si>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</si>
  <si>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</si>
  <si>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</si>
  <si>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</si>
  <si>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</si>
  <si>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</si>
  <si>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</si>
  <si>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</si>
  <si>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</si>
  <si>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</si>
  <si>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</si>
  <si>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</si>
  <si>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</si>
  <si>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</si>
  <si>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</si>
  <si>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</si>
  <si>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</si>
  <si>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</si>
  <si>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</si>
  <si>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</si>
  <si>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</si>
  <si>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</si>
  <si>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</si>
  <si>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</si>
  <si>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</si>
  <si>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</si>
  <si>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</si>
  <si>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</si>
  <si>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</si>
  <si>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</si>
  <si>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</si>
  <si>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</si>
  <si>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</si>
  <si>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</si>
  <si>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</si>
  <si>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</si>
  <si>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</si>
  <si>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</si>
  <si>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</si>
  <si>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</si>
  <si>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</si>
  <si>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</si>
  <si>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</si>
  <si>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</si>
  <si>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</si>
  <si>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</si>
  <si>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</si>
  <si>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</si>
  <si>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</si>
  <si>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</si>
  <si>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</si>
  <si>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</si>
  <si>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</si>
  <si>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</si>
  <si>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</si>
  <si>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</si>
  <si>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</si>
  <si>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</si>
  <si>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</si>
  <si>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</si>
  <si>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</si>
  <si>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</si>
  <si>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</si>
  <si>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</si>
  <si>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</si>
  <si>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</si>
  <si>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</si>
  <si>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</si>
  <si>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</si>
  <si>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</si>
  <si>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</si>
  <si>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</si>
  <si>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</si>
  <si>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</si>
  <si>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</si>
  <si>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</si>
  <si>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</si>
  <si>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</si>
  <si>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</si>
  <si>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</si>
  <si>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</si>
  <si>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</si>
  <si>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</si>
  <si>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</si>
  <si>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</si>
  <si>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</si>
  <si>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</si>
  <si>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</si>
  <si>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</si>
  <si>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</si>
  <si>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</si>
  <si>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</si>
  <si>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</si>
  <si>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</si>
  <si>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</si>
  <si>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</si>
  <si>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</si>
  <si>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</si>
  <si>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</si>
  <si>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</si>
  <si>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</si>
  <si>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</si>
  <si>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</si>
  <si>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</si>
  <si>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</si>
  <si>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</si>
  <si>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</si>
  <si>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</si>
  <si>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</si>
  <si>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</si>
  <si>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</si>
  <si>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</si>
  <si>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</si>
  <si>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</si>
  <si>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</si>
  <si>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</si>
  <si>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</si>
  <si>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</si>
  <si>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</si>
  <si>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</si>
  <si>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</si>
  <si>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</si>
  <si>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</si>
  <si>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</si>
  <si>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</si>
  <si>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</si>
  <si>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</si>
  <si>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</si>
  <si>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</si>
  <si>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</si>
  <si>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</si>
  <si>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</si>
  <si>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</si>
  <si>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</si>
  <si>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</si>
  <si>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</si>
  <si>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</si>
  <si>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</si>
  <si>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</si>
  <si>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</si>
  <si>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</si>
  <si>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</si>
  <si>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</si>
  <si>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</si>
  <si>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</si>
  <si>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</si>
  <si>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</si>
  <si>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</si>
  <si>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</si>
  <si>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</si>
  <si>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</si>
  <si>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</si>
  <si>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</si>
  <si>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</si>
  <si>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</si>
  <si>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</si>
  <si>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</si>
  <si>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</si>
  <si>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</si>
  <si>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</si>
  <si>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</si>
  <si>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</si>
  <si>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</si>
  <si>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</si>
  <si>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</si>
  <si>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</si>
  <si>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</si>
  <si>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</si>
  <si>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</si>
  <si>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</si>
  <si>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</si>
  <si>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</si>
  <si>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</si>
  <si>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</si>
  <si>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</si>
  <si>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</si>
  <si>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</si>
  <si>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</si>
  <si>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</si>
  <si>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</si>
  <si>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</si>
  <si>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</si>
  <si>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</si>
  <si>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</si>
  <si>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</si>
  <si>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</si>
  <si>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</si>
  <si>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</si>
  <si>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</si>
  <si>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</si>
  <si>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</si>
  <si>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</si>
  <si>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</si>
  <si>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</si>
  <si>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</si>
  <si>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</si>
  <si>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</si>
  <si>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</si>
  <si>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</si>
  <si>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</si>
  <si>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</si>
  <si>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</si>
  <si>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</si>
  <si>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</si>
  <si>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</si>
  <si>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</si>
  <si>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</si>
  <si>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</si>
  <si>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</si>
  <si>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</si>
  <si>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</si>
  <si>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</si>
  <si>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</si>
  <si>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</si>
  <si>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</si>
  <si>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</si>
  <si>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</si>
  <si>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</si>
  <si>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</si>
  <si>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</si>
  <si>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</si>
  <si>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</si>
  <si>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</si>
  <si>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</si>
  <si>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</si>
  <si>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</si>
  <si>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</si>
  <si>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</si>
  <si>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</si>
  <si>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</si>
  <si>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</si>
  <si>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</si>
  <si>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</si>
  <si>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</si>
  <si>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</si>
  <si>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</si>
  <si>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</si>
  <si>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</si>
  <si>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</si>
  <si>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</si>
  <si>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</si>
  <si>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</si>
  <si>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</si>
  <si>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</si>
  <si>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</si>
  <si>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</si>
  <si>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</si>
  <si>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</si>
  <si>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</si>
  <si>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</si>
  <si>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</si>
  <si>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</si>
  <si>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</si>
  <si>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</si>
  <si>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</si>
  <si>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</si>
  <si>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</si>
  <si>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</si>
  <si>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</si>
  <si>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</si>
  <si>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</si>
  <si>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</si>
  <si>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</si>
  <si>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</si>
  <si>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</si>
  <si>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</si>
  <si>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</si>
  <si>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</si>
  <si>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</si>
  <si>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</si>
  <si>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</si>
  <si>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</si>
  <si>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</si>
  <si>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</si>
  <si>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</si>
  <si>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</si>
  <si>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</si>
  <si>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</si>
  <si>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</si>
  <si>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</si>
  <si>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</si>
  <si>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</si>
  <si>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</si>
  <si>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</si>
  <si>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</si>
  <si>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</si>
  <si>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</si>
  <si>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</si>
  <si>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</si>
  <si>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</si>
  <si>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</si>
  <si>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</si>
  <si>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</si>
  <si>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</si>
  <si>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</si>
  <si>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</si>
  <si>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</si>
  <si>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</si>
  <si>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</si>
  <si>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</si>
  <si>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</si>
  <si>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</si>
  <si>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</si>
  <si>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</si>
  <si>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</si>
  <si>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</si>
  <si>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</si>
  <si>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</si>
  <si>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</si>
  <si>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</si>
  <si>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</si>
  <si>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</si>
  <si>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</si>
  <si>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</si>
  <si>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</si>
  <si>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</si>
  <si>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</si>
  <si>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</si>
  <si>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</si>
  <si>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</si>
  <si>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</si>
  <si>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</si>
  <si>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</si>
  <si>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</si>
  <si>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</si>
  <si>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</si>
  <si>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</si>
  <si>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</si>
  <si>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</si>
  <si>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</si>
  <si>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</si>
  <si>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</si>
  <si>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</si>
  <si>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</si>
  <si>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</si>
  <si>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</si>
  <si>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</si>
  <si>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</si>
  <si>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</si>
  <si>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</si>
  <si>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</si>
  <si>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</si>
  <si>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</si>
  <si>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</si>
  <si>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</si>
  <si>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</si>
  <si>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</si>
  <si>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</si>
  <si>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</si>
  <si>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</si>
  <si>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</si>
  <si>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</si>
  <si>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</si>
  <si>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</si>
  <si>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</si>
  <si>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</si>
  <si>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</si>
  <si>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</si>
  <si>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</si>
  <si>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</si>
  <si>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</si>
  <si>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</si>
  <si>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</si>
  <si>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</si>
  <si>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</si>
  <si>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</si>
  <si>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</si>
  <si>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</si>
  <si>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</si>
  <si>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</si>
  <si>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</si>
  <si>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</si>
  <si>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</si>
  <si>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</si>
  <si>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</si>
  <si>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</si>
  <si>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</si>
  <si>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</si>
  <si>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</si>
  <si>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</si>
  <si>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</si>
  <si>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</si>
  <si>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</si>
  <si>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</si>
  <si>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</si>
  <si>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</si>
  <si>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</si>
  <si>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</si>
  <si>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</si>
  <si>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</si>
  <si>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</si>
  <si>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</si>
  <si>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</si>
  <si>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</si>
  <si>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</si>
  <si>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</si>
  <si>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</si>
  <si>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</si>
  <si>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</si>
  <si>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</si>
  <si>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</si>
  <si>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</si>
  <si>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</si>
  <si>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</si>
  <si>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</si>
  <si>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</si>
  <si>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</si>
  <si>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</si>
  <si>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</si>
  <si>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</si>
  <si>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</si>
  <si>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</si>
  <si>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</si>
  <si>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</si>
  <si>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</si>
  <si>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</si>
  <si>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</si>
  <si>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</si>
  <si>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</si>
  <si>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</si>
  <si>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</si>
  <si>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</si>
  <si>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</si>
  <si>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</si>
  <si>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</si>
  <si>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</si>
  <si>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</si>
  <si>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</si>
  <si>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</si>
  <si>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</si>
  <si>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</si>
  <si>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</si>
  <si>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</si>
  <si>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</si>
  <si>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</si>
  <si>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</si>
  <si>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</si>
  <si>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</si>
  <si>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</si>
  <si>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</si>
  <si>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</si>
  <si>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</si>
  <si>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</si>
  <si>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</si>
  <si>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</si>
  <si>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</si>
  <si>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</si>
  <si>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</si>
  <si>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</si>
  <si>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</si>
  <si>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</si>
  <si>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</si>
  <si>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</si>
  <si>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</si>
  <si>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</si>
  <si>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</si>
  <si>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</si>
  <si>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</si>
  <si>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</si>
  <si>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</si>
  <si>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</si>
  <si>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</si>
  <si>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</si>
  <si>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</si>
  <si>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</si>
  <si>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</si>
  <si>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</si>
  <si>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</si>
  <si>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</si>
  <si>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</si>
  <si>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</si>
  <si>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</si>
  <si>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</si>
  <si>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</si>
  <si>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</si>
  <si>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</si>
  <si>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</si>
  <si>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</si>
  <si>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</si>
  <si>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</si>
  <si>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</si>
  <si>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</si>
  <si>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</si>
  <si>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</si>
  <si>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</si>
  <si>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</si>
  <si>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</si>
  <si>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</si>
  <si>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</si>
  <si>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</si>
  <si>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</si>
  <si>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</si>
  <si>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</si>
  <si>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</si>
  <si>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</si>
  <si>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</si>
  <si>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</si>
  <si>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</si>
  <si>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</si>
  <si>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</si>
  <si>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</si>
  <si>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</si>
  <si>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</si>
  <si>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</si>
  <si>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</si>
  <si>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</si>
  <si>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</si>
  <si>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</si>
  <si>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</si>
  <si>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</si>
  <si>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</si>
  <si>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</si>
  <si>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</si>
  <si>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</si>
  <si>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</si>
  <si>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</si>
  <si>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</si>
  <si>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</si>
  <si>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</si>
  <si>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</si>
  <si>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</si>
  <si>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</si>
  <si>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</si>
  <si>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</si>
  <si>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</si>
  <si>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</si>
  <si>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</si>
  <si>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</si>
  <si>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</si>
  <si>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</si>
  <si>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</si>
  <si>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</si>
  <si>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</si>
  <si>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</si>
  <si>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</si>
  <si>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</si>
  <si>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</si>
  <si>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</si>
  <si>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</si>
  <si>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</si>
  <si>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</si>
  <si>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</si>
  <si>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</si>
  <si>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</si>
  <si>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</si>
  <si>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</si>
  <si>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</si>
  <si>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</si>
  <si>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</si>
  <si>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</si>
  <si>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</si>
  <si>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</si>
  <si>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</si>
  <si>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</si>
  <si>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</si>
  <si>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</si>
  <si>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</si>
  <si>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</si>
  <si>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</si>
  <si>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</si>
  <si>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</si>
  <si>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</si>
  <si>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</si>
  <si>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</si>
  <si>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</si>
  <si>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</si>
  <si>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</si>
  <si>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</si>
  <si>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</si>
  <si>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</si>
  <si>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</si>
  <si>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</si>
  <si>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</si>
  <si>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</si>
  <si>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</si>
  <si>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</si>
  <si>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</si>
  <si>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</si>
  <si>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</si>
  <si>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</si>
  <si>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</si>
  <si>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</si>
  <si>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</si>
  <si>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</si>
  <si>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</si>
  <si>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</si>
  <si>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</si>
  <si>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</si>
  <si>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</si>
  <si>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</si>
  <si>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</si>
  <si>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</si>
  <si>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</si>
  <si>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</si>
  <si>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</si>
  <si>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</si>
  <si>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</si>
  <si>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</si>
  <si>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</si>
  <si>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</si>
  <si>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</si>
  <si>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</si>
  <si>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</si>
  <si>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</si>
  <si>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</si>
  <si>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</si>
  <si>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</si>
  <si>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</si>
  <si>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</si>
  <si>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</si>
  <si>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</si>
  <si>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</si>
  <si>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</si>
  <si>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</si>
  <si>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</si>
  <si>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</si>
  <si>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</si>
  <si>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</si>
  <si>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</si>
  <si>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</si>
  <si>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</si>
  <si>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</si>
  <si>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</si>
  <si>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</si>
  <si>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</si>
  <si>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</si>
  <si>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</si>
  <si>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</si>
  <si>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</si>
  <si>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</si>
  <si>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</si>
  <si>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</si>
  <si>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</si>
  <si>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</si>
  <si>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</si>
  <si>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</si>
  <si>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</si>
  <si>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</si>
  <si>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</si>
  <si>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</si>
  <si>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</si>
  <si>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</si>
  <si>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</si>
  <si>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</si>
  <si>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</si>
  <si>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</si>
  <si>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</si>
  <si>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</si>
  <si>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</si>
  <si>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</si>
  <si>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</si>
  <si>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</si>
  <si>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</si>
  <si>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</si>
  <si>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</si>
  <si>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</si>
  <si>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</si>
  <si>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</si>
  <si>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</si>
  <si>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</si>
  <si>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</si>
  <si>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</si>
  <si>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</si>
  <si>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</si>
  <si>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</si>
  <si>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</si>
  <si>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</si>
  <si>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</si>
  <si>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</si>
  <si>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</si>
  <si>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</si>
  <si>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</si>
  <si>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</si>
  <si>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</si>
  <si>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</si>
  <si>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</si>
  <si>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</si>
  <si>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</si>
  <si>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</si>
  <si>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</si>
  <si>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</si>
  <si>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</si>
  <si>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</si>
  <si>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</si>
  <si>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</si>
  <si>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</si>
  <si>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</si>
  <si>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</si>
  <si>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</si>
  <si>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</si>
  <si>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</si>
  <si>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</si>
  <si>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</si>
  <si>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</si>
  <si>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</si>
  <si>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</si>
  <si>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</si>
  <si>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</si>
  <si>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</si>
  <si>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</si>
  <si>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</si>
  <si>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</si>
  <si>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</si>
  <si>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</si>
  <si>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</si>
  <si>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</si>
  <si>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</si>
  <si>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</si>
  <si>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</si>
  <si>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</si>
  <si>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</si>
  <si>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</si>
  <si>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</si>
  <si>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</si>
  <si>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</si>
  <si>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</si>
  <si>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</si>
  <si>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</si>
  <si>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</si>
  <si>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</si>
  <si>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</si>
  <si>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</si>
  <si>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</si>
  <si>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</si>
  <si>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</si>
  <si>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</si>
  <si>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</si>
  <si>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</si>
  <si>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</si>
  <si>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</si>
  <si>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</si>
  <si>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</si>
  <si>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</si>
  <si>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</si>
  <si>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</si>
  <si>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</si>
  <si>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</si>
  <si>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</si>
  <si>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</si>
  <si>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</si>
  <si>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</si>
  <si>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</si>
  <si>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</si>
  <si>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</si>
  <si>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</si>
  <si>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</si>
  <si>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</si>
  <si>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</si>
  <si>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</si>
  <si>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</si>
  <si>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</si>
  <si>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</si>
  <si>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</si>
  <si>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</si>
  <si>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</si>
  <si>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</si>
  <si>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</si>
  <si>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</si>
  <si>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</si>
  <si>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</si>
  <si>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</si>
  <si>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</si>
  <si>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</si>
  <si>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</si>
  <si>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</si>
  <si>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</si>
  <si>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</si>
  <si>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</si>
  <si>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</si>
  <si>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</si>
  <si>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</si>
  <si>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</si>
  <si>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</si>
  <si>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</si>
  <si>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</si>
  <si>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</si>
  <si>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</si>
  <si>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</si>
  <si>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</si>
  <si>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</si>
  <si>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</si>
  <si>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</si>
  <si>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</si>
  <si>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</si>
  <si>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</si>
  <si>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</si>
  <si>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</si>
  <si>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</si>
  <si>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</si>
  <si>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</si>
  <si>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</si>
  <si>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</si>
  <si>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</si>
  <si>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</si>
  <si>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</si>
  <si>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</si>
  <si>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</si>
  <si>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</si>
  <si>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</si>
  <si>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</si>
  <si>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</si>
  <si>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</si>
  <si>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</si>
  <si>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</si>
  <si>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</si>
  <si>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</si>
  <si>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</si>
  <si>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</si>
  <si>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</si>
  <si>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</si>
  <si>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</si>
  <si>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</si>
  <si>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</si>
  <si>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</si>
  <si>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</si>
  <si>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</si>
  <si>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</si>
  <si>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</si>
  <si>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</si>
  <si>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</si>
  <si>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</si>
  <si>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</si>
  <si>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</si>
  <si>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</si>
  <si>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</si>
  <si>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</si>
  <si>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</si>
  <si>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</si>
  <si>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</si>
  <si>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</si>
  <si>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</si>
  <si>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</si>
  <si>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</si>
  <si>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</si>
  <si>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</si>
  <si>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</si>
  <si>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</si>
  <si>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</si>
  <si>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</si>
  <si>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</si>
  <si>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</si>
  <si>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</si>
  <si>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</si>
  <si>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</si>
  <si>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</si>
  <si>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</si>
  <si>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</si>
  <si>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</si>
  <si>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</si>
  <si>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</si>
  <si>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</si>
  <si>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</si>
  <si>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</si>
  <si>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</si>
  <si>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</si>
  <si>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</si>
  <si>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</si>
  <si>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</si>
  <si>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</si>
  <si>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</si>
  <si>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</si>
  <si>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</si>
  <si>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</si>
  <si>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</si>
  <si>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</si>
  <si>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</si>
  <si>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</si>
  <si>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</si>
  <si>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</si>
  <si>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</si>
  <si>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</si>
  <si>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</si>
  <si>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</si>
  <si>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</si>
  <si>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</si>
  <si>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</si>
  <si>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</si>
  <si>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</si>
  <si>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</si>
  <si>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</si>
  <si>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</si>
  <si>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</si>
  <si>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</si>
  <si>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</si>
  <si>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</si>
  <si>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</si>
  <si>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</si>
  <si>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</si>
  <si>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</si>
  <si>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</si>
  <si>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</si>
  <si>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</si>
  <si>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</si>
  <si>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</si>
  <si>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</si>
  <si>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</si>
  <si>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</si>
  <si>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</si>
  <si>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</si>
  <si>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</si>
  <si>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</si>
  <si>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</si>
  <si>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</si>
  <si>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</si>
  <si>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</si>
  <si>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</si>
  <si>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</si>
  <si>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</si>
  <si>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</si>
  <si>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</si>
  <si>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</si>
  <si>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</si>
  <si>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</si>
  <si>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</si>
  <si>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</si>
  <si>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</si>
  <si>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</si>
  <si>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</si>
  <si>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</si>
  <si>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</si>
  <si>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</si>
  <si>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</si>
  <si>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</si>
  <si>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</si>
  <si>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</si>
  <si>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</si>
  <si>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</si>
  <si>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</si>
  <si>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</si>
  <si>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</si>
  <si>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</si>
  <si>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</si>
  <si>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</si>
  <si>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</si>
  <si>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</si>
  <si>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</si>
  <si>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</si>
  <si>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</si>
  <si>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</si>
  <si>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</si>
  <si>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</si>
  <si>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</si>
  <si>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</si>
  <si>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</si>
  <si>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</si>
  <si>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</si>
  <si>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</si>
  <si>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</si>
  <si>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</si>
  <si>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</si>
  <si>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</si>
  <si>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</si>
  <si>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</si>
  <si>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</si>
  <si>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</si>
  <si>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</si>
  <si>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</si>
  <si>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</si>
  <si>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</si>
  <si>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</si>
  <si>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</si>
  <si>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</si>
  <si>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</si>
  <si>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</si>
  <si>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</si>
  <si>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</si>
  <si>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</si>
  <si>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</si>
  <si>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</si>
  <si>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</si>
  <si>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</si>
  <si>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</si>
  <si>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</si>
  <si>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</si>
  <si>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</si>
  <si>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</si>
  <si>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</si>
  <si>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</si>
  <si>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</si>
  <si>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</si>
  <si>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</si>
  <si>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</si>
  <si>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</si>
  <si>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</si>
  <si>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</si>
  <si>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</si>
  <si>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</si>
  <si>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</si>
  <si>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</si>
  <si>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</si>
  <si>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</si>
  <si>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</si>
  <si>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</si>
  <si>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</si>
  <si>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</si>
  <si>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</si>
  <si>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</si>
  <si>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</si>
  <si>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</si>
  <si>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</si>
  <si>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</si>
  <si>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</si>
  <si>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</si>
  <si>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</si>
  <si>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</si>
  <si>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</si>
  <si>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</si>
  <si>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</si>
  <si>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</si>
  <si>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</si>
  <si>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</si>
  <si>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</si>
  <si>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</si>
  <si>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</si>
  <si>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</si>
  <si>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</si>
  <si>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</si>
  <si>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</si>
  <si>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</si>
  <si>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</si>
  <si>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</si>
  <si>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</si>
  <si>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</si>
  <si>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</si>
  <si>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</si>
  <si>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</si>
  <si>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</si>
  <si>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</si>
  <si>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</si>
  <si>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</si>
  <si>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</si>
  <si>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</si>
  <si>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</si>
  <si>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</si>
  <si>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</si>
  <si>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</si>
  <si>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</si>
  <si>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</si>
  <si>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</si>
  <si>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</si>
  <si>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</si>
  <si>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</si>
  <si>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</si>
  <si>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</si>
  <si>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</si>
  <si>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</si>
  <si>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</si>
  <si>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</si>
  <si>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</si>
  <si>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</si>
  <si>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</si>
  <si>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</si>
  <si>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</si>
  <si>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</si>
  <si>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</si>
  <si>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</si>
  <si>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</si>
  <si>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</si>
  <si>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</si>
  <si>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</si>
  <si>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</si>
  <si>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</si>
  <si>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</si>
  <si>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</si>
  <si>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</si>
  <si>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</si>
  <si>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</si>
  <si>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</si>
  <si>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</si>
  <si>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</si>
  <si>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</si>
  <si>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</si>
  <si>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</si>
  <si>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</si>
  <si>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</si>
  <si>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</si>
  <si>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</si>
  <si>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</si>
  <si>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</si>
  <si>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</si>
  <si>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</si>
  <si>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</si>
  <si>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</si>
  <si>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</si>
  <si>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</si>
  <si>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</si>
  <si>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</si>
  <si>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</si>
  <si>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</si>
  <si>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</si>
  <si>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</si>
  <si>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</si>
  <si>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</si>
  <si>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</si>
  <si>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</si>
  <si>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</si>
  <si>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</si>
  <si>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</si>
  <si>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</si>
  <si>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</si>
  <si>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</si>
  <si>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</si>
  <si>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</si>
  <si>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</si>
  <si>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</si>
  <si>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</si>
  <si>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</si>
  <si>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</si>
  <si>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</si>
  <si>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</si>
  <si>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30.09.26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</si>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</sst>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6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7" xfId="1" applyNumberFormat="1" applyFont="1" applyFill="1" applyBorder="1"/>
    <xf numFmtId="178" fontId="2" fillId="0" borderId="29" xfId="0" applyNumberFormat="1" applyFont="1" applyBorder="1"/>
    <xf numFmtId="178" fontId="2" fillId="0" borderId="20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8" xfId="1" applyNumberFormat="1" applyFont="1" applyFill="1" applyBorder="1"/>
    <xf numFmtId="178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9" t="s">
        <v>1429</v>
      </c>
      <c r="D1" s="8" t="s">
        <v>74</v>
      </c>
    </row>
    <row r="2" spans="1:4">
      <c r="A2" s="75" t="s">
        <v>64</v>
      </c>
      <c r="B2" s="9">
        <v>1</v>
      </c>
      <c r="C2" s="9" t="s">
        <v>65</v>
      </c>
      <c r="D2" s="10" t="s">
        <v>79</v>
      </c>
    </row>
    <row r="3" spans="1:4">
      <c r="A3" s="80"/>
      <c r="B3" s="9">
        <v>2</v>
      </c>
      <c r="C3" s="9" t="s">
        <v>66</v>
      </c>
      <c r="D3" s="10" t="s">
        <v>67</v>
      </c>
    </row>
    <row r="4" spans="1:4">
      <c r="A4" s="80"/>
      <c r="B4" s="9">
        <v>3</v>
      </c>
      <c r="C4" s="9" t="s">
        <v>68</v>
      </c>
      <c r="D4" s="10" t="s">
        <v>69</v>
      </c>
    </row>
    <row r="5" spans="1:4">
      <c r="A5" s="80"/>
      <c r="B5" s="76">
        <v>4</v>
      </c>
      <c r="C5" s="9" t="s">
        <v>70</v>
      </c>
      <c r="D5" s="10" t="s">
        <v>75</v>
      </c>
    </row>
    <row r="6" spans="1:4">
      <c r="A6" s="80"/>
      <c r="B6" s="81"/>
      <c r="C6" s="82"/>
      <c r="D6" s="58" t="s">
        <v>909</v>
      </c>
    </row>
    <row r="7" spans="1:4">
      <c r="A7" s="80"/>
      <c r="B7" s="81"/>
      <c r="C7" s="82"/>
      <c r="D7" s="57" t="s">
        <v>1384</v>
      </c>
    </row>
    <row r="8" spans="1:4">
      <c r="A8" s="80"/>
      <c r="B8" s="81"/>
      <c r="C8" s="82"/>
      <c r="D8" s="59" t="s">
        <v>1385</v>
      </c>
    </row>
    <row r="9" spans="1:4">
      <c r="A9" s="80"/>
      <c r="B9" s="81"/>
      <c r="C9" s="82"/>
      <c r="D9" s="10" t="s">
        <v>76</v>
      </c>
    </row>
    <row r="10" spans="1:4">
      <c r="A10" s="80"/>
      <c r="B10" s="81"/>
      <c r="C10" s="82"/>
      <c r="D10" s="58" t="s">
        <v>77</v>
      </c>
    </row>
    <row r="11" spans="1:4">
      <c r="A11" s="80"/>
      <c r="B11" s="81"/>
      <c r="C11" s="82"/>
      <c r="D11" s="57" t="s">
        <v>78</v>
      </c>
    </row>
    <row r="12" spans="1:4">
      <c r="A12" s="80"/>
      <c r="B12" s="81"/>
      <c r="C12" s="82"/>
      <c r="D12" s="10" t="s">
        <v>71</v>
      </c>
    </row>
    <row r="13" spans="1:4">
      <c r="A13" s="80"/>
      <c r="B13" s="81"/>
      <c r="C13" s="82"/>
      <c r="D13" s="10" t="s">
        <v>1377</v>
      </c>
    </row>
    <row r="14" spans="1:4">
      <c r="A14" s="80"/>
      <c r="B14" s="81"/>
      <c r="C14" s="82"/>
      <c r="D14" s="10" t="s">
        <v>1378</v>
      </c>
    </row>
    <row r="15" spans="1:4">
      <c r="A15" s="77" t="s">
        <v>905</v>
      </c>
      <c r="B15" s="9">
        <v>5</v>
      </c>
      <c r="C15" s="9" t="s">
        <v>72</v>
      </c>
      <c r="D15" s="10" t="s">
        <v>73</v>
      </c>
    </row>
    <row r="16" spans="1:4">
      <c r="A16" s="83"/>
      <c r="B16" s="9">
        <v>6</v>
      </c>
      <c r="C16" s="82"/>
      <c r="D16" s="9" t="s">
        <v>904</v>
      </c>
    </row>
    <row r="17" spans="1:4" ht="28.5">
      <c r="A17" s="84"/>
      <c r="B17" s="9">
        <v>7</v>
      </c>
      <c r="C17" s="82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88</v>
      </c>
      <c r="C20" s="29" t="str">
        <f>VLOOKUP(B20,Tab_Type,2,0)</f>
        <v>TabB</v>
      </c>
    </row>
    <row r="21" spans="1:4" ht="15">
      <c r="A21" s="13" t="s">
        <v>890</v>
      </c>
      <c r="B21" s="30">
        <v>1161</v>
      </c>
      <c r="C21" s="27"/>
    </row>
    <row r="22" spans="1:4" ht="15">
      <c r="A22" s="13" t="s">
        <v>886</v>
      </c>
      <c r="B22" s="30" t="s">
        <v>1428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מקפת דמי מחלה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512237744_g1161_Yield326.xlsx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7"/>
      <c r="B1" s="3" t="s">
        <v>0</v>
      </c>
    </row>
    <row r="2" spans="1:31" ht="18.75">
      <c r="A2" s="127"/>
      <c r="B2" s="6" t="s">
        <v>821</v>
      </c>
      <c r="C2" s="25">
        <f>הנחיות!B21</f>
        <v>1161</v>
      </c>
      <c r="D2" s="78"/>
      <c r="E2" s="78"/>
    </row>
    <row r="3" spans="1:31" ht="18.75">
      <c r="A3" s="127"/>
      <c r="B3" s="7" t="s">
        <v>28</v>
      </c>
      <c r="C3" s="24" t="str">
        <f ca="1">הנחיות!B23</f>
        <v>מקפת דמי מחלה</v>
      </c>
      <c r="D3" s="24"/>
    </row>
    <row r="4" spans="1:31" ht="18.75">
      <c r="A4" s="127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7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30.09.26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4">
        <f>W5+1</f>
        <v>1</v>
      </c>
      <c r="Z5" s="4"/>
    </row>
    <row r="6" spans="1:31" s="20" customFormat="1" ht="47.45" customHeight="1">
      <c r="A6" s="129"/>
      <c r="B6" s="121" t="s">
        <v>26</v>
      </c>
      <c r="C6" s="122" t="s">
        <v>30</v>
      </c>
      <c r="D6" s="123" t="s">
        <v>31</v>
      </c>
      <c r="E6" s="124" t="s">
        <v>32</v>
      </c>
      <c r="F6" s="125" t="s">
        <v>33</v>
      </c>
      <c r="G6" s="122" t="s">
        <v>34</v>
      </c>
      <c r="H6" s="123" t="s">
        <v>35</v>
      </c>
      <c r="I6" s="124" t="s">
        <v>36</v>
      </c>
      <c r="J6" s="125" t="s">
        <v>37</v>
      </c>
      <c r="K6" s="122" t="s">
        <v>38</v>
      </c>
      <c r="L6" s="123" t="s">
        <v>39</v>
      </c>
      <c r="M6" s="124" t="s">
        <v>40</v>
      </c>
      <c r="N6" s="125" t="s">
        <v>41</v>
      </c>
      <c r="O6" s="122" t="s">
        <v>42</v>
      </c>
      <c r="P6" s="123" t="s">
        <v>43</v>
      </c>
      <c r="Q6" s="124" t="s">
        <v>44</v>
      </c>
      <c r="R6" s="125" t="s">
        <v>45</v>
      </c>
      <c r="S6" s="122" t="s">
        <v>46</v>
      </c>
      <c r="T6" s="123" t="s">
        <v>47</v>
      </c>
      <c r="U6" s="124" t="s">
        <v>48</v>
      </c>
      <c r="V6" s="125" t="s">
        <v>49</v>
      </c>
      <c r="W6" s="122" t="s">
        <v>50</v>
      </c>
      <c r="X6" s="123" t="s">
        <v>51</v>
      </c>
      <c r="Y6" s="124" t="s">
        <v>52</v>
      </c>
      <c r="Z6" s="126" t="s">
        <v>53</v>
      </c>
      <c r="AE6" s="21"/>
    </row>
    <row r="7" spans="1:31">
      <c r="A7" s="127"/>
      <c r="B7" s="91" t="s">
        <v>1</v>
      </c>
      <c r="C7" s="92">
        <v>-9.1013655898281346E-4</v>
      </c>
      <c r="D7" s="93">
        <v>0.15427773392489014</v>
      </c>
      <c r="E7" s="94">
        <v>7.0298601653907399E-4</v>
      </c>
      <c r="F7" s="95">
        <v>0.15242177266042148</v>
      </c>
      <c r="G7" s="92">
        <v>1.4361088863286918E-3</v>
      </c>
      <c r="H7" s="93">
        <v>0.15651257237770094</v>
      </c>
      <c r="I7" s="94">
        <v>-2.4689732636196155E-3</v>
      </c>
      <c r="J7" s="95">
        <v>0.1559299799432444</v>
      </c>
      <c r="K7" s="92">
        <v>-8.2420525885266527E-4</v>
      </c>
      <c r="L7" s="93">
        <v>0.13897003322499957</v>
      </c>
      <c r="M7" s="94">
        <v>2.5184912876112108E-3</v>
      </c>
      <c r="N7" s="95">
        <v>0.15120902157182026</v>
      </c>
      <c r="O7" s="92">
        <v>2.1389860595002605E-3</v>
      </c>
      <c r="P7" s="93">
        <v>0.17366995347903944</v>
      </c>
      <c r="Q7" s="94">
        <v>-9.7085707047982206E-4</v>
      </c>
      <c r="R7" s="95">
        <v>0.18068517232949011</v>
      </c>
      <c r="S7" s="92">
        <v>1.9624291909823622E-3</v>
      </c>
      <c r="T7" s="93">
        <v>0.18842170068103856</v>
      </c>
      <c r="U7" s="94" t="s">
        <v>1409</v>
      </c>
      <c r="V7" s="95" t="s">
        <v>1409</v>
      </c>
      <c r="W7" s="92" t="s">
        <v>1409</v>
      </c>
      <c r="X7" s="93" t="s">
        <v>1409</v>
      </c>
      <c r="Y7" s="94" t="s">
        <v>1409</v>
      </c>
      <c r="Z7" s="96" t="s">
        <v>1409</v>
      </c>
      <c r="AE7" s="2"/>
    </row>
    <row r="8" spans="1:31" ht="30">
      <c r="A8" s="127"/>
      <c r="B8" s="97" t="s">
        <v>908</v>
      </c>
      <c r="C8" s="92">
        <v>1.3611630155628159E-3</v>
      </c>
      <c r="D8" s="93">
        <v>0.19314458791994718</v>
      </c>
      <c r="E8" s="94">
        <v>4.2105937063353151E-4</v>
      </c>
      <c r="F8" s="95">
        <v>0.19299785555454194</v>
      </c>
      <c r="G8" s="92">
        <v>-2.4143719485539006E-3</v>
      </c>
      <c r="H8" s="93">
        <v>0.19501438771392599</v>
      </c>
      <c r="I8" s="94">
        <v>1.6064833956157135E-3</v>
      </c>
      <c r="J8" s="95">
        <v>0.19241241444622584</v>
      </c>
      <c r="K8" s="92">
        <v>2.9935121914339718E-3</v>
      </c>
      <c r="L8" s="93">
        <v>0.19353880628912135</v>
      </c>
      <c r="M8" s="94">
        <v>1.1338855190642606E-3</v>
      </c>
      <c r="N8" s="95">
        <v>0.19508654962463351</v>
      </c>
      <c r="O8" s="92">
        <v>-9.2005368154892623E-4</v>
      </c>
      <c r="P8" s="93">
        <v>0.19380275315120318</v>
      </c>
      <c r="Q8" s="94">
        <v>6.5138075380816987E-4</v>
      </c>
      <c r="R8" s="95">
        <v>0.19500383928240708</v>
      </c>
      <c r="S8" s="92">
        <v>-1.4374305918085258E-3</v>
      </c>
      <c r="T8" s="93">
        <v>0.19308657010034469</v>
      </c>
      <c r="U8" s="94" t="s">
        <v>1409</v>
      </c>
      <c r="V8" s="95" t="s">
        <v>1409</v>
      </c>
      <c r="W8" s="92" t="s">
        <v>1409</v>
      </c>
      <c r="X8" s="93" t="s">
        <v>1409</v>
      </c>
      <c r="Y8" s="94" t="s">
        <v>1409</v>
      </c>
      <c r="Z8" s="96" t="s">
        <v>1409</v>
      </c>
      <c r="AE8" s="2"/>
    </row>
    <row r="9" spans="1:31">
      <c r="A9" s="127"/>
      <c r="B9" s="98" t="s">
        <v>2</v>
      </c>
      <c r="C9" s="92">
        <v>0</v>
      </c>
      <c r="D9" s="93">
        <v>0</v>
      </c>
      <c r="E9" s="94">
        <v>0</v>
      </c>
      <c r="F9" s="95">
        <v>0</v>
      </c>
      <c r="G9" s="92">
        <v>0</v>
      </c>
      <c r="H9" s="93">
        <v>0</v>
      </c>
      <c r="I9" s="94">
        <v>0</v>
      </c>
      <c r="J9" s="95">
        <v>0</v>
      </c>
      <c r="K9" s="92">
        <v>0</v>
      </c>
      <c r="L9" s="93">
        <v>0</v>
      </c>
      <c r="M9" s="94">
        <v>0</v>
      </c>
      <c r="N9" s="95">
        <v>0</v>
      </c>
      <c r="O9" s="92">
        <v>0</v>
      </c>
      <c r="P9" s="93">
        <v>0</v>
      </c>
      <c r="Q9" s="94">
        <v>0</v>
      </c>
      <c r="R9" s="95">
        <v>0</v>
      </c>
      <c r="S9" s="92">
        <v>0</v>
      </c>
      <c r="T9" s="93">
        <v>0</v>
      </c>
      <c r="U9" s="94" t="s">
        <v>1409</v>
      </c>
      <c r="V9" s="95" t="s">
        <v>1409</v>
      </c>
      <c r="W9" s="92" t="s">
        <v>1409</v>
      </c>
      <c r="X9" s="93" t="s">
        <v>1409</v>
      </c>
      <c r="Y9" s="94" t="s">
        <v>1409</v>
      </c>
      <c r="Z9" s="96" t="s">
        <v>1409</v>
      </c>
      <c r="AE9" s="2"/>
    </row>
    <row r="10" spans="1:31">
      <c r="A10" s="127"/>
      <c r="B10" s="98" t="s">
        <v>3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>
        <v>0</v>
      </c>
      <c r="P10" s="93">
        <v>0</v>
      </c>
      <c r="Q10" s="94">
        <v>0</v>
      </c>
      <c r="R10" s="95">
        <v>0</v>
      </c>
      <c r="S10" s="92">
        <v>0</v>
      </c>
      <c r="T10" s="93">
        <v>0</v>
      </c>
      <c r="U10" s="94" t="s">
        <v>1409</v>
      </c>
      <c r="V10" s="95" t="s">
        <v>1409</v>
      </c>
      <c r="W10" s="92" t="s">
        <v>1409</v>
      </c>
      <c r="X10" s="93" t="s">
        <v>1409</v>
      </c>
      <c r="Y10" s="94" t="s">
        <v>1409</v>
      </c>
      <c r="Z10" s="96" t="s">
        <v>1409</v>
      </c>
      <c r="AE10" s="2"/>
    </row>
    <row r="11" spans="1:31">
      <c r="A11" s="127"/>
      <c r="B11" s="98" t="s">
        <v>4</v>
      </c>
      <c r="C11" s="92">
        <v>3.7108001109871166E-4</v>
      </c>
      <c r="D11" s="93">
        <v>0.21942791131808162</v>
      </c>
      <c r="E11" s="94">
        <v>-4.3573500691402507E-5</v>
      </c>
      <c r="F11" s="95">
        <v>0.22125915236774016</v>
      </c>
      <c r="G11" s="92">
        <v>-7.7102343057650568E-4</v>
      </c>
      <c r="H11" s="93">
        <v>0.21943339756791239</v>
      </c>
      <c r="I11" s="94">
        <v>1.4833367121199481E-3</v>
      </c>
      <c r="J11" s="95">
        <v>0.21644363123929761</v>
      </c>
      <c r="K11" s="92">
        <v>2.0196790971649908E-3</v>
      </c>
      <c r="L11" s="93">
        <v>0.21809182762749951</v>
      </c>
      <c r="M11" s="94">
        <v>2.2673234971736103E-3</v>
      </c>
      <c r="N11" s="95">
        <v>0.22109829497245598</v>
      </c>
      <c r="O11" s="92">
        <v>4.9589960737188798E-4</v>
      </c>
      <c r="P11" s="93">
        <v>0.21881842959154585</v>
      </c>
      <c r="Q11" s="94">
        <v>1.9786692285054212E-4</v>
      </c>
      <c r="R11" s="95">
        <v>0.21886191375418138</v>
      </c>
      <c r="S11" s="92">
        <v>-5.3323522962414236E-4</v>
      </c>
      <c r="T11" s="93">
        <v>0.21987312075101254</v>
      </c>
      <c r="U11" s="94" t="s">
        <v>1409</v>
      </c>
      <c r="V11" s="95" t="s">
        <v>1409</v>
      </c>
      <c r="W11" s="92" t="s">
        <v>1409</v>
      </c>
      <c r="X11" s="93" t="s">
        <v>1409</v>
      </c>
      <c r="Y11" s="94" t="s">
        <v>1409</v>
      </c>
      <c r="Z11" s="96" t="s">
        <v>1409</v>
      </c>
      <c r="AE11" s="2"/>
    </row>
    <row r="12" spans="1:31">
      <c r="A12" s="127"/>
      <c r="B12" s="98" t="s">
        <v>5</v>
      </c>
      <c r="C12" s="92">
        <v>-3.0150817815876914E-7</v>
      </c>
      <c r="D12" s="93">
        <v>6.9318609426956954E-5</v>
      </c>
      <c r="E12" s="94">
        <v>2.8606629329570362E-7</v>
      </c>
      <c r="F12" s="95">
        <v>6.9631940525250873E-5</v>
      </c>
      <c r="G12" s="92">
        <v>-9.6298545076220036E-7</v>
      </c>
      <c r="H12" s="93">
        <v>7.1260887025118984E-5</v>
      </c>
      <c r="I12" s="94">
        <v>-2.8189227164437812E-7</v>
      </c>
      <c r="J12" s="95">
        <v>7.1076083258416148E-5</v>
      </c>
      <c r="K12" s="92">
        <v>7.0349588211283073E-7</v>
      </c>
      <c r="L12" s="93">
        <v>5.3142771037152189E-5</v>
      </c>
      <c r="M12" s="94">
        <v>1.8821525609967563E-7</v>
      </c>
      <c r="N12" s="95">
        <v>4.3930530577456639E-5</v>
      </c>
      <c r="O12" s="92">
        <v>-1.0161179419008089E-7</v>
      </c>
      <c r="P12" s="93">
        <v>4.0680725124397542E-5</v>
      </c>
      <c r="Q12" s="94">
        <v>2.3878622235833294E-7</v>
      </c>
      <c r="R12" s="95">
        <v>4.3998906064050225E-5</v>
      </c>
      <c r="S12" s="92">
        <v>-8.3053010951900052E-8</v>
      </c>
      <c r="T12" s="93">
        <v>4.2859339416415822E-5</v>
      </c>
      <c r="U12" s="94" t="s">
        <v>1409</v>
      </c>
      <c r="V12" s="95" t="s">
        <v>1409</v>
      </c>
      <c r="W12" s="92" t="s">
        <v>1409</v>
      </c>
      <c r="X12" s="93" t="s">
        <v>1409</v>
      </c>
      <c r="Y12" s="94" t="s">
        <v>1409</v>
      </c>
      <c r="Z12" s="96" t="s">
        <v>1409</v>
      </c>
      <c r="AE12" s="2"/>
    </row>
    <row r="13" spans="1:31">
      <c r="A13" s="127"/>
      <c r="B13" s="98" t="s">
        <v>6</v>
      </c>
      <c r="C13" s="92">
        <v>1.3982318775610446E-2</v>
      </c>
      <c r="D13" s="93">
        <v>0.19763714532292093</v>
      </c>
      <c r="E13" s="94">
        <v>6.7279228642036799E-5</v>
      </c>
      <c r="F13" s="95">
        <v>0.20260787131335267</v>
      </c>
      <c r="G13" s="92">
        <v>-4.0675777462274984E-3</v>
      </c>
      <c r="H13" s="93">
        <v>0.21864273285231972</v>
      </c>
      <c r="I13" s="94">
        <v>1.748666083779736E-2</v>
      </c>
      <c r="J13" s="95">
        <v>0.22169969359544861</v>
      </c>
      <c r="K13" s="92">
        <v>8.1765129260307767E-3</v>
      </c>
      <c r="L13" s="93">
        <v>0.23102029033303309</v>
      </c>
      <c r="M13" s="94">
        <v>-1.2253794894696839E-2</v>
      </c>
      <c r="N13" s="95">
        <v>0.2246652579246263</v>
      </c>
      <c r="O13" s="92">
        <v>-3.1241664585942787E-3</v>
      </c>
      <c r="P13" s="93">
        <v>0.21757965838929613</v>
      </c>
      <c r="Q13" s="94">
        <v>-8.8688687917175957E-5</v>
      </c>
      <c r="R13" s="95">
        <v>0.20771583597974108</v>
      </c>
      <c r="S13" s="92">
        <v>2.5836091531234104E-3</v>
      </c>
      <c r="T13" s="93">
        <v>0.20428338300498419</v>
      </c>
      <c r="U13" s="94" t="s">
        <v>1409</v>
      </c>
      <c r="V13" s="95" t="s">
        <v>1409</v>
      </c>
      <c r="W13" s="92" t="s">
        <v>1409</v>
      </c>
      <c r="X13" s="93" t="s">
        <v>1409</v>
      </c>
      <c r="Y13" s="94" t="s">
        <v>1409</v>
      </c>
      <c r="Z13" s="96" t="s">
        <v>1409</v>
      </c>
      <c r="AE13" s="2"/>
    </row>
    <row r="14" spans="1:31">
      <c r="A14" s="127"/>
      <c r="B14" s="98" t="s">
        <v>62</v>
      </c>
      <c r="C14" s="92">
        <v>3.4565279961923882E-3</v>
      </c>
      <c r="D14" s="93">
        <v>0.21976490524134959</v>
      </c>
      <c r="E14" s="94">
        <v>2.1043512280944096E-3</v>
      </c>
      <c r="F14" s="95">
        <v>0.21415843106599439</v>
      </c>
      <c r="G14" s="92">
        <v>-7.5513598863187568E-3</v>
      </c>
      <c r="H14" s="93">
        <v>0.20042824022396674</v>
      </c>
      <c r="I14" s="94">
        <v>5.0591794020111158E-3</v>
      </c>
      <c r="J14" s="95">
        <v>0.19779657593232028</v>
      </c>
      <c r="K14" s="92">
        <v>1.479933325290423E-3</v>
      </c>
      <c r="L14" s="93">
        <v>0.19452241594881123</v>
      </c>
      <c r="M14" s="94">
        <v>3.0845204623024289E-3</v>
      </c>
      <c r="N14" s="95">
        <v>0.19429261806173945</v>
      </c>
      <c r="O14" s="92">
        <v>1.7934890243669313E-3</v>
      </c>
      <c r="P14" s="93">
        <v>0.19173808636530473</v>
      </c>
      <c r="Q14" s="94">
        <v>1.5519853222084842E-3</v>
      </c>
      <c r="R14" s="95">
        <v>0.18846616813850575</v>
      </c>
      <c r="S14" s="92">
        <v>3.4708359214102473E-4</v>
      </c>
      <c r="T14" s="93">
        <v>0.18681595097056272</v>
      </c>
      <c r="U14" s="94" t="s">
        <v>1409</v>
      </c>
      <c r="V14" s="95" t="s">
        <v>1409</v>
      </c>
      <c r="W14" s="92" t="s">
        <v>1409</v>
      </c>
      <c r="X14" s="93" t="s">
        <v>1409</v>
      </c>
      <c r="Y14" s="94" t="s">
        <v>1409</v>
      </c>
      <c r="Z14" s="96" t="s">
        <v>1409</v>
      </c>
      <c r="AE14" s="2"/>
    </row>
    <row r="15" spans="1:31">
      <c r="A15" s="127"/>
      <c r="B15" s="98" t="s">
        <v>7</v>
      </c>
      <c r="C15" s="92">
        <v>-1.4766581432844127E-4</v>
      </c>
      <c r="D15" s="93">
        <v>5.142764148241212E-3</v>
      </c>
      <c r="E15" s="94">
        <v>8.0572456981782683E-5</v>
      </c>
      <c r="F15" s="95">
        <v>4.8742446073681764E-3</v>
      </c>
      <c r="G15" s="92">
        <v>-1.5470162964417426E-4</v>
      </c>
      <c r="H15" s="93">
        <v>4.7847195173063468E-3</v>
      </c>
      <c r="I15" s="94">
        <v>-1.3921989724824149E-4</v>
      </c>
      <c r="J15" s="95">
        <v>4.3265977680634867E-3</v>
      </c>
      <c r="K15" s="92">
        <v>-1.3366904141233067E-4</v>
      </c>
      <c r="L15" s="93">
        <v>3.6377772098165981E-3</v>
      </c>
      <c r="M15" s="94">
        <v>1.9291782131268255E-4</v>
      </c>
      <c r="N15" s="95">
        <v>3.5121324112082934E-3</v>
      </c>
      <c r="O15" s="92">
        <v>8.9165537456051456E-5</v>
      </c>
      <c r="P15" s="93">
        <v>3.4545975521634324E-3</v>
      </c>
      <c r="Q15" s="94">
        <v>-3.5827178594783718E-5</v>
      </c>
      <c r="R15" s="95">
        <v>3.4065507697024727E-3</v>
      </c>
      <c r="S15" s="92">
        <v>6.3862851499543909E-5</v>
      </c>
      <c r="T15" s="93">
        <v>3.7014020028770787E-3</v>
      </c>
      <c r="U15" s="94" t="s">
        <v>1409</v>
      </c>
      <c r="V15" s="95" t="s">
        <v>1409</v>
      </c>
      <c r="W15" s="92" t="s">
        <v>1409</v>
      </c>
      <c r="X15" s="93" t="s">
        <v>1409</v>
      </c>
      <c r="Y15" s="94" t="s">
        <v>1409</v>
      </c>
      <c r="Z15" s="96" t="s">
        <v>1409</v>
      </c>
      <c r="AE15" s="2"/>
    </row>
    <row r="16" spans="1:31">
      <c r="A16" s="127"/>
      <c r="B16" s="98" t="s">
        <v>8</v>
      </c>
      <c r="C16" s="92">
        <v>7.0275439950947191E-6</v>
      </c>
      <c r="D16" s="93">
        <v>1.0364523203246982E-3</v>
      </c>
      <c r="E16" s="94">
        <v>3.5812049844497747E-5</v>
      </c>
      <c r="F16" s="95">
        <v>1.0464965229782931E-3</v>
      </c>
      <c r="G16" s="92">
        <v>6.2965962444083346E-6</v>
      </c>
      <c r="H16" s="93">
        <v>1.1066171967678031E-3</v>
      </c>
      <c r="I16" s="94">
        <v>-3.8023813150658995E-5</v>
      </c>
      <c r="J16" s="95">
        <v>1.0680766774357284E-3</v>
      </c>
      <c r="K16" s="92">
        <v>4.6105250624645284E-5</v>
      </c>
      <c r="L16" s="93">
        <v>1.0491122449151769E-3</v>
      </c>
      <c r="M16" s="94">
        <v>5.8026337738241829E-5</v>
      </c>
      <c r="N16" s="95">
        <v>1.0908041863618458E-3</v>
      </c>
      <c r="O16" s="92">
        <v>2.9857488396210487E-6</v>
      </c>
      <c r="P16" s="93">
        <v>1.4210253449120521E-3</v>
      </c>
      <c r="Q16" s="94">
        <v>-4.1372605141326483E-5</v>
      </c>
      <c r="R16" s="95">
        <v>1.4321925059443093E-3</v>
      </c>
      <c r="S16" s="92">
        <v>4.071880228893607E-5</v>
      </c>
      <c r="T16" s="93">
        <v>1.4195661572650134E-3</v>
      </c>
      <c r="U16" s="94" t="s">
        <v>1409</v>
      </c>
      <c r="V16" s="95" t="s">
        <v>1409</v>
      </c>
      <c r="W16" s="92" t="s">
        <v>1409</v>
      </c>
      <c r="X16" s="93" t="s">
        <v>1409</v>
      </c>
      <c r="Y16" s="94" t="s">
        <v>1409</v>
      </c>
      <c r="Z16" s="96" t="s">
        <v>1409</v>
      </c>
      <c r="AE16" s="2"/>
    </row>
    <row r="17" spans="1:31">
      <c r="A17" s="127"/>
      <c r="B17" s="98" t="s">
        <v>9</v>
      </c>
      <c r="C17" s="92">
        <v>1.6680393611265353E-5</v>
      </c>
      <c r="D17" s="93">
        <v>1.826176358470085E-4</v>
      </c>
      <c r="E17" s="94">
        <v>1.6936765742251127E-5</v>
      </c>
      <c r="F17" s="95">
        <v>2.2230280288776979E-4</v>
      </c>
      <c r="G17" s="92">
        <v>2.2874845333811832E-5</v>
      </c>
      <c r="H17" s="93">
        <v>2.7377251211357229E-4</v>
      </c>
      <c r="I17" s="94">
        <v>6.106297778073651E-5</v>
      </c>
      <c r="J17" s="95">
        <v>2.9551225831408952E-4</v>
      </c>
      <c r="K17" s="92">
        <v>7.8442193593846959E-5</v>
      </c>
      <c r="L17" s="93">
        <v>3.1988127530055714E-4</v>
      </c>
      <c r="M17" s="94">
        <v>-9.2121900334924948E-5</v>
      </c>
      <c r="N17" s="95">
        <v>3.101046513019244E-4</v>
      </c>
      <c r="O17" s="92">
        <v>-1.7697229875894917E-5</v>
      </c>
      <c r="P17" s="93">
        <v>2.2696234600559252E-4</v>
      </c>
      <c r="Q17" s="94">
        <v>5.6284752235257196E-5</v>
      </c>
      <c r="R17" s="95">
        <v>2.5257472920420026E-4</v>
      </c>
      <c r="S17" s="92">
        <v>-2.1773478314674462E-5</v>
      </c>
      <c r="T17" s="93">
        <v>2.5906011908653461E-4</v>
      </c>
      <c r="U17" s="94" t="s">
        <v>1409</v>
      </c>
      <c r="V17" s="95" t="s">
        <v>1409</v>
      </c>
      <c r="W17" s="92" t="s">
        <v>1409</v>
      </c>
      <c r="X17" s="93" t="s">
        <v>1409</v>
      </c>
      <c r="Y17" s="94" t="s">
        <v>1409</v>
      </c>
      <c r="Z17" s="96" t="s">
        <v>1409</v>
      </c>
      <c r="AE17" s="2"/>
    </row>
    <row r="18" spans="1:31">
      <c r="A18" s="127"/>
      <c r="B18" s="98" t="s">
        <v>10</v>
      </c>
      <c r="C18" s="92">
        <v>5.5727263152381247E-3</v>
      </c>
      <c r="D18" s="93">
        <v>7.235937879284191E-3</v>
      </c>
      <c r="E18" s="94">
        <v>1.6363769264182435E-3</v>
      </c>
      <c r="F18" s="95">
        <v>8.2450688230319442E-3</v>
      </c>
      <c r="G18" s="92">
        <v>-1.2186897188345976E-2</v>
      </c>
      <c r="H18" s="93">
        <v>1.679815053662996E-3</v>
      </c>
      <c r="I18" s="94">
        <v>1.8319888500955363E-2</v>
      </c>
      <c r="J18" s="95">
        <v>8.0690872099887304E-3</v>
      </c>
      <c r="K18" s="92">
        <v>8.4246712089338753E-3</v>
      </c>
      <c r="L18" s="93">
        <v>1.7303212713505059E-2</v>
      </c>
      <c r="M18" s="94">
        <v>-5.0698718787048416E-3</v>
      </c>
      <c r="N18" s="95">
        <v>7.3328469264420815E-3</v>
      </c>
      <c r="O18" s="92">
        <v>-6.0761942869891894E-3</v>
      </c>
      <c r="P18" s="93">
        <v>-1.9183900806268007E-3</v>
      </c>
      <c r="Q18" s="94">
        <v>9.140287251775691E-3</v>
      </c>
      <c r="R18" s="95">
        <v>2.9089135723344285E-3</v>
      </c>
      <c r="S18" s="92">
        <v>-3.5000116031838001E-3</v>
      </c>
      <c r="T18" s="93">
        <v>8.3048142373290824E-4</v>
      </c>
      <c r="U18" s="94" t="s">
        <v>1409</v>
      </c>
      <c r="V18" s="95" t="s">
        <v>1409</v>
      </c>
      <c r="W18" s="92" t="s">
        <v>1409</v>
      </c>
      <c r="X18" s="93" t="s">
        <v>1409</v>
      </c>
      <c r="Y18" s="94" t="s">
        <v>1409</v>
      </c>
      <c r="Z18" s="96" t="s">
        <v>1409</v>
      </c>
      <c r="AE18" s="2"/>
    </row>
    <row r="19" spans="1:31">
      <c r="A19" s="127"/>
      <c r="B19" s="98" t="s">
        <v>11</v>
      </c>
      <c r="C19" s="92">
        <v>1.8811842901079312E-4</v>
      </c>
      <c r="D19" s="93">
        <v>1.5331077453953199E-4</v>
      </c>
      <c r="E19" s="94">
        <v>5.1830902824469945E-5</v>
      </c>
      <c r="F19" s="95">
        <v>2.1826831576364107E-4</v>
      </c>
      <c r="G19" s="92">
        <v>-1.4429858171173556E-4</v>
      </c>
      <c r="H19" s="93">
        <v>1.3831092855746166E-4</v>
      </c>
      <c r="I19" s="94">
        <v>3.2137509495647815E-6</v>
      </c>
      <c r="J19" s="95">
        <v>5.3539932084378E-5</v>
      </c>
      <c r="K19" s="92">
        <v>-5.319204716027219E-5</v>
      </c>
      <c r="L19" s="93">
        <v>2.5251526747590718E-5</v>
      </c>
      <c r="M19" s="94">
        <v>7.213381214192574E-5</v>
      </c>
      <c r="N19" s="95">
        <v>-3.2794527162293525E-6</v>
      </c>
      <c r="O19" s="92">
        <v>2.2227253055065425E-4</v>
      </c>
      <c r="P19" s="93">
        <v>7.5966036696478564E-6</v>
      </c>
      <c r="Q19" s="94">
        <v>-3.9769552174877712E-5</v>
      </c>
      <c r="R19" s="95">
        <v>6.5271369951161413E-5</v>
      </c>
      <c r="S19" s="92">
        <v>1.221132120059183E-4</v>
      </c>
      <c r="T19" s="93">
        <v>1.0652354929777534E-4</v>
      </c>
      <c r="U19" s="94" t="s">
        <v>1409</v>
      </c>
      <c r="V19" s="95" t="s">
        <v>1409</v>
      </c>
      <c r="W19" s="92" t="s">
        <v>1409</v>
      </c>
      <c r="X19" s="93" t="s">
        <v>1409</v>
      </c>
      <c r="Y19" s="94" t="s">
        <v>1409</v>
      </c>
      <c r="Z19" s="96" t="s">
        <v>1409</v>
      </c>
    </row>
    <row r="20" spans="1:31">
      <c r="A20" s="127"/>
      <c r="B20" s="98" t="s">
        <v>12</v>
      </c>
      <c r="C20" s="92">
        <v>5.4502441281032574E-8</v>
      </c>
      <c r="D20" s="93">
        <v>6.4257829986762307E-5</v>
      </c>
      <c r="E20" s="94">
        <v>9.49431209247093E-8</v>
      </c>
      <c r="F20" s="95">
        <v>6.2241131670670965E-5</v>
      </c>
      <c r="G20" s="92">
        <v>-5.3674228020409115E-7</v>
      </c>
      <c r="H20" s="93">
        <v>7.2051431719836562E-5</v>
      </c>
      <c r="I20" s="94">
        <v>9.0609701987558662E-7</v>
      </c>
      <c r="J20" s="95">
        <v>7.1790173350117466E-5</v>
      </c>
      <c r="K20" s="92">
        <v>8.2893207676926019E-7</v>
      </c>
      <c r="L20" s="93">
        <v>6.7231303218905002E-5</v>
      </c>
      <c r="M20" s="94">
        <v>2.8182882078582988E-7</v>
      </c>
      <c r="N20" s="95">
        <v>6.4993332947052069E-5</v>
      </c>
      <c r="O20" s="92">
        <v>3.2539858263904425E-7</v>
      </c>
      <c r="P20" s="93">
        <v>6.3656393729697759E-5</v>
      </c>
      <c r="Q20" s="94">
        <v>3.0530290178201904E-7</v>
      </c>
      <c r="R20" s="95">
        <v>6.0540901339465609E-5</v>
      </c>
      <c r="S20" s="92">
        <v>3.2682935447288236E-7</v>
      </c>
      <c r="T20" s="93">
        <v>5.4757303316066075E-5</v>
      </c>
      <c r="U20" s="94" t="s">
        <v>1409</v>
      </c>
      <c r="V20" s="95" t="s">
        <v>1409</v>
      </c>
      <c r="W20" s="92" t="s">
        <v>1409</v>
      </c>
      <c r="X20" s="93" t="s">
        <v>1409</v>
      </c>
      <c r="Y20" s="94" t="s">
        <v>1409</v>
      </c>
      <c r="Z20" s="96" t="s">
        <v>1409</v>
      </c>
    </row>
    <row r="21" spans="1:31">
      <c r="A21" s="127"/>
      <c r="B21" s="98" t="s">
        <v>13</v>
      </c>
      <c r="C21" s="92">
        <v>-3.3804528162343264E-5</v>
      </c>
      <c r="D21" s="93">
        <v>1.8634754040245535E-3</v>
      </c>
      <c r="E21" s="94">
        <v>1.4763659729831111E-5</v>
      </c>
      <c r="F21" s="95">
        <v>1.8168778079410764E-3</v>
      </c>
      <c r="G21" s="92">
        <v>1.6327822751048752E-5</v>
      </c>
      <c r="H21" s="93">
        <v>1.842014381228368E-3</v>
      </c>
      <c r="I21" s="94">
        <v>-6.8976053290714965E-5</v>
      </c>
      <c r="J21" s="95">
        <v>1.7623123743002458E-3</v>
      </c>
      <c r="K21" s="92">
        <v>-3.6425072603900774E-5</v>
      </c>
      <c r="L21" s="93">
        <v>1.4010818605729321E-3</v>
      </c>
      <c r="M21" s="94">
        <v>5.2468941534624774E-5</v>
      </c>
      <c r="N21" s="95">
        <v>1.2968037631879707E-3</v>
      </c>
      <c r="O21" s="92">
        <v>2.4197422134433927E-5</v>
      </c>
      <c r="P21" s="93">
        <v>1.0949901386329618E-3</v>
      </c>
      <c r="Q21" s="94">
        <v>-1.2594578306138061E-5</v>
      </c>
      <c r="R21" s="95">
        <v>1.0852087235452756E-3</v>
      </c>
      <c r="S21" s="92">
        <v>1.7912007785103471E-5</v>
      </c>
      <c r="T21" s="93">
        <v>1.0928038794969811E-3</v>
      </c>
      <c r="U21" s="94" t="s">
        <v>1409</v>
      </c>
      <c r="V21" s="95" t="s">
        <v>1409</v>
      </c>
      <c r="W21" s="92" t="s">
        <v>1409</v>
      </c>
      <c r="X21" s="93" t="s">
        <v>1409</v>
      </c>
      <c r="Y21" s="94" t="s">
        <v>1409</v>
      </c>
      <c r="Z21" s="96" t="s">
        <v>1409</v>
      </c>
    </row>
    <row r="22" spans="1:31">
      <c r="A22" s="127"/>
      <c r="B22" s="98" t="s">
        <v>14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>
        <v>0</v>
      </c>
      <c r="P22" s="93">
        <v>0</v>
      </c>
      <c r="Q22" s="94">
        <v>0</v>
      </c>
      <c r="R22" s="95">
        <v>0</v>
      </c>
      <c r="S22" s="92">
        <v>0</v>
      </c>
      <c r="T22" s="93">
        <v>0</v>
      </c>
      <c r="U22" s="94" t="s">
        <v>1409</v>
      </c>
      <c r="V22" s="95" t="s">
        <v>1409</v>
      </c>
      <c r="W22" s="92" t="s">
        <v>1409</v>
      </c>
      <c r="X22" s="93" t="s">
        <v>1409</v>
      </c>
      <c r="Y22" s="94" t="s">
        <v>1409</v>
      </c>
      <c r="Z22" s="96" t="s">
        <v>1409</v>
      </c>
    </row>
    <row r="23" spans="1:31">
      <c r="A23" s="127"/>
      <c r="B23" s="98" t="s">
        <v>15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>
        <v>0</v>
      </c>
      <c r="P23" s="93">
        <v>0</v>
      </c>
      <c r="Q23" s="94">
        <v>0</v>
      </c>
      <c r="R23" s="95">
        <v>0</v>
      </c>
      <c r="S23" s="92">
        <v>0</v>
      </c>
      <c r="T23" s="93">
        <v>0</v>
      </c>
      <c r="U23" s="94" t="s">
        <v>1409</v>
      </c>
      <c r="V23" s="95" t="s">
        <v>1409</v>
      </c>
      <c r="W23" s="92" t="s">
        <v>1409</v>
      </c>
      <c r="X23" s="93" t="s">
        <v>1409</v>
      </c>
      <c r="Y23" s="94" t="s">
        <v>1409</v>
      </c>
      <c r="Z23" s="96" t="s">
        <v>1409</v>
      </c>
    </row>
    <row r="24" spans="1:31">
      <c r="A24" s="127"/>
      <c r="B24" s="98" t="s">
        <v>16</v>
      </c>
      <c r="C24" s="92">
        <v>0</v>
      </c>
      <c r="D24" s="93">
        <v>0</v>
      </c>
      <c r="E24" s="94">
        <v>0</v>
      </c>
      <c r="F24" s="95">
        <v>0</v>
      </c>
      <c r="G24" s="92">
        <v>0</v>
      </c>
      <c r="H24" s="93">
        <v>0</v>
      </c>
      <c r="I24" s="94">
        <v>0</v>
      </c>
      <c r="J24" s="95">
        <v>0</v>
      </c>
      <c r="K24" s="92">
        <v>0</v>
      </c>
      <c r="L24" s="93">
        <v>0</v>
      </c>
      <c r="M24" s="94">
        <v>0</v>
      </c>
      <c r="N24" s="95">
        <v>0</v>
      </c>
      <c r="O24" s="92">
        <v>0</v>
      </c>
      <c r="P24" s="93">
        <v>0</v>
      </c>
      <c r="Q24" s="94">
        <v>0</v>
      </c>
      <c r="R24" s="95">
        <v>0</v>
      </c>
      <c r="S24" s="92">
        <v>0</v>
      </c>
      <c r="T24" s="93">
        <v>0</v>
      </c>
      <c r="U24" s="94" t="s">
        <v>1409</v>
      </c>
      <c r="V24" s="95" t="s">
        <v>1409</v>
      </c>
      <c r="W24" s="92" t="s">
        <v>1409</v>
      </c>
      <c r="X24" s="93" t="s">
        <v>1409</v>
      </c>
      <c r="Y24" s="94" t="s">
        <v>1409</v>
      </c>
      <c r="Z24" s="96" t="s">
        <v>1409</v>
      </c>
    </row>
    <row r="25" spans="1:31">
      <c r="A25" s="127"/>
      <c r="B25" s="98" t="s">
        <v>17</v>
      </c>
      <c r="C25" s="92">
        <v>4.9268908343137133E-9</v>
      </c>
      <c r="D25" s="93">
        <v>-4.1832886467879529E-7</v>
      </c>
      <c r="E25" s="94">
        <v>-2.4417294632638518E-10</v>
      </c>
      <c r="F25" s="95">
        <v>-2.1491421750240333E-7</v>
      </c>
      <c r="G25" s="92">
        <v>-1.9154844267925135E-10</v>
      </c>
      <c r="H25" s="93">
        <v>1.0735579294329248E-7</v>
      </c>
      <c r="I25" s="94">
        <v>1.1255331208355461E-8</v>
      </c>
      <c r="J25" s="95">
        <v>-2.8763333158294772E-7</v>
      </c>
      <c r="K25" s="92">
        <v>2.5889977587726414E-9</v>
      </c>
      <c r="L25" s="93">
        <v>-6.4328578395860051E-8</v>
      </c>
      <c r="M25" s="94">
        <v>-1.1921926469807555E-10</v>
      </c>
      <c r="N25" s="95">
        <v>-7.8504585648178772E-8</v>
      </c>
      <c r="O25" s="92">
        <v>0</v>
      </c>
      <c r="P25" s="93">
        <v>0</v>
      </c>
      <c r="Q25" s="94">
        <v>-3.3238938816366162E-7</v>
      </c>
      <c r="R25" s="95">
        <v>1.1819037589700383E-5</v>
      </c>
      <c r="S25" s="92">
        <v>2.8990676132261244E-7</v>
      </c>
      <c r="T25" s="93">
        <v>1.1820717568531396E-5</v>
      </c>
      <c r="U25" s="94" t="s">
        <v>1409</v>
      </c>
      <c r="V25" s="95" t="s">
        <v>1409</v>
      </c>
      <c r="W25" s="92" t="s">
        <v>1409</v>
      </c>
      <c r="X25" s="93" t="s">
        <v>1409</v>
      </c>
      <c r="Y25" s="94" t="s">
        <v>1409</v>
      </c>
      <c r="Z25" s="96" t="s">
        <v>1409</v>
      </c>
    </row>
    <row r="26" spans="1:31">
      <c r="A26" s="127"/>
      <c r="B26" s="99" t="s">
        <v>18</v>
      </c>
      <c r="C26" s="100">
        <v>2.3863793500000001E-2</v>
      </c>
      <c r="D26" s="101">
        <v>0.99999999999999978</v>
      </c>
      <c r="E26" s="102">
        <v>5.0887758700000002E-3</v>
      </c>
      <c r="F26" s="103">
        <v>1</v>
      </c>
      <c r="G26" s="100">
        <v>-2.5810122179999999E-2</v>
      </c>
      <c r="H26" s="101">
        <v>1.0000000000000002</v>
      </c>
      <c r="I26" s="102">
        <v>4.130526801E-2</v>
      </c>
      <c r="J26" s="103">
        <v>1.0000000000000002</v>
      </c>
      <c r="K26" s="100">
        <v>2.2172899789999999E-2</v>
      </c>
      <c r="L26" s="101">
        <v>1.0000000000000004</v>
      </c>
      <c r="M26" s="102">
        <v>-8.0355510700000007E-3</v>
      </c>
      <c r="N26" s="103">
        <v>1.0000000000000002</v>
      </c>
      <c r="O26" s="100">
        <v>-5.3708919399999997E-3</v>
      </c>
      <c r="P26" s="101">
        <v>1.0000000000000004</v>
      </c>
      <c r="Q26" s="102">
        <v>1.0408907029999999E-2</v>
      </c>
      <c r="R26" s="103">
        <v>1.0000000000000004</v>
      </c>
      <c r="S26" s="100">
        <v>-3.5418841000000001E-4</v>
      </c>
      <c r="T26" s="101">
        <v>0.99999999999999978</v>
      </c>
      <c r="U26" s="102" t="s">
        <v>1409</v>
      </c>
      <c r="V26" s="103" t="s">
        <v>1409</v>
      </c>
      <c r="W26" s="100" t="s">
        <v>1409</v>
      </c>
      <c r="X26" s="101" t="s">
        <v>1409</v>
      </c>
      <c r="Y26" s="102" t="s">
        <v>1409</v>
      </c>
      <c r="Z26" s="104" t="s">
        <v>1409</v>
      </c>
    </row>
    <row r="27" spans="1:31">
      <c r="A27" s="127"/>
      <c r="B27" s="105" t="s">
        <v>24</v>
      </c>
      <c r="C27" s="106">
        <v>406.97613000000001</v>
      </c>
      <c r="D27" s="130"/>
      <c r="E27" s="107">
        <v>88.835770000000039</v>
      </c>
      <c r="F27" s="130"/>
      <c r="G27" s="106">
        <v>-452.51542999999992</v>
      </c>
      <c r="H27" s="130"/>
      <c r="I27" s="107">
        <v>705.46766000000014</v>
      </c>
      <c r="J27" s="130"/>
      <c r="K27" s="106">
        <v>394.22110000000004</v>
      </c>
      <c r="L27" s="130"/>
      <c r="M27" s="107">
        <v>-145.97929000000011</v>
      </c>
      <c r="N27" s="130"/>
      <c r="O27" s="106">
        <v>-96.698110000000042</v>
      </c>
      <c r="P27" s="130"/>
      <c r="Q27" s="107">
        <v>186.46862999999988</v>
      </c>
      <c r="R27" s="130"/>
      <c r="S27" s="106">
        <v>-6.3380299999999803</v>
      </c>
      <c r="T27" s="130"/>
      <c r="U27" s="107" t="s">
        <v>1409</v>
      </c>
      <c r="V27" s="130"/>
      <c r="W27" s="106" t="s">
        <v>1409</v>
      </c>
      <c r="X27" s="130"/>
      <c r="Y27" s="107" t="s">
        <v>1409</v>
      </c>
      <c r="Z27" s="108"/>
    </row>
    <row r="28" spans="1:31">
      <c r="A28" s="127"/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09"/>
    </row>
    <row r="29" spans="1:31">
      <c r="A29" s="127"/>
      <c r="B29" s="91" t="s">
        <v>19</v>
      </c>
      <c r="C29" s="110">
        <v>1.6727420553906251E-2</v>
      </c>
      <c r="D29" s="111">
        <v>0.81649964881610471</v>
      </c>
      <c r="E29" s="112">
        <v>2.3331037942273714E-3</v>
      </c>
      <c r="F29" s="113">
        <v>0.8178522229351467</v>
      </c>
      <c r="G29" s="110">
        <v>-5.2269564812681404E-3</v>
      </c>
      <c r="H29" s="111">
        <v>0.82298001438640855</v>
      </c>
      <c r="I29" s="112">
        <v>2.1104546648812682E-2</v>
      </c>
      <c r="J29" s="113">
        <v>0.81384566108683176</v>
      </c>
      <c r="K29" s="110">
        <v>1.4228874643982073E-2</v>
      </c>
      <c r="L29" s="111">
        <v>0.79945639411704461</v>
      </c>
      <c r="M29" s="112">
        <v>-1.8556393214867562E-2</v>
      </c>
      <c r="N29" s="113">
        <v>0.79943811347752414</v>
      </c>
      <c r="O29" s="110">
        <v>1.3555555649305722E-3</v>
      </c>
      <c r="P29" s="111">
        <v>0.81159778291568041</v>
      </c>
      <c r="Q29" s="112">
        <v>2.774288704704731E-3</v>
      </c>
      <c r="R29" s="113">
        <v>0.80356096368355512</v>
      </c>
      <c r="S29" s="110">
        <v>-2.41154851783603E-3</v>
      </c>
      <c r="T29" s="111">
        <v>0.80543897545027177</v>
      </c>
      <c r="U29" s="112" t="s">
        <v>1409</v>
      </c>
      <c r="V29" s="113" t="s">
        <v>1409</v>
      </c>
      <c r="W29" s="110" t="s">
        <v>1409</v>
      </c>
      <c r="X29" s="111" t="s">
        <v>1409</v>
      </c>
      <c r="Y29" s="112" t="s">
        <v>1409</v>
      </c>
      <c r="Z29" s="114" t="s">
        <v>1409</v>
      </c>
    </row>
    <row r="30" spans="1:31">
      <c r="A30" s="127"/>
      <c r="B30" s="98" t="s">
        <v>20</v>
      </c>
      <c r="C30" s="92">
        <v>7.13637294609376E-3</v>
      </c>
      <c r="D30" s="93">
        <v>0.18350035118389538</v>
      </c>
      <c r="E30" s="94">
        <v>2.755672075772625E-3</v>
      </c>
      <c r="F30" s="95">
        <v>0.18214777706485319</v>
      </c>
      <c r="G30" s="92">
        <v>-2.058316569873184E-2</v>
      </c>
      <c r="H30" s="93">
        <v>0.17701998561359142</v>
      </c>
      <c r="I30" s="94">
        <v>2.0200769088313843E-2</v>
      </c>
      <c r="J30" s="95">
        <v>0.18615433891316827</v>
      </c>
      <c r="K30" s="92">
        <v>7.9442789224012638E-3</v>
      </c>
      <c r="L30" s="93">
        <v>0.2005436058829555</v>
      </c>
      <c r="M30" s="94">
        <v>1.052060577869585E-2</v>
      </c>
      <c r="N30" s="95">
        <v>0.20056188652247575</v>
      </c>
      <c r="O30" s="92">
        <v>-6.7265095684251215E-3</v>
      </c>
      <c r="P30" s="93">
        <v>0.18840221708431951</v>
      </c>
      <c r="Q30" s="94">
        <v>7.6345459903396284E-3</v>
      </c>
      <c r="R30" s="95">
        <v>0.19643903631644488</v>
      </c>
      <c r="S30" s="92">
        <v>2.0573143576523667E-3</v>
      </c>
      <c r="T30" s="93">
        <v>0.19456102454972818</v>
      </c>
      <c r="U30" s="94" t="s">
        <v>1409</v>
      </c>
      <c r="V30" s="95" t="s">
        <v>1409</v>
      </c>
      <c r="W30" s="92" t="s">
        <v>1409</v>
      </c>
      <c r="X30" s="93" t="s">
        <v>1409</v>
      </c>
      <c r="Y30" s="94" t="s">
        <v>1409</v>
      </c>
      <c r="Z30" s="96" t="s">
        <v>1409</v>
      </c>
    </row>
    <row r="31" spans="1:31">
      <c r="A31" s="127"/>
      <c r="B31" s="99" t="s">
        <v>18</v>
      </c>
      <c r="C31" s="100">
        <v>2.3863793500000001E-2</v>
      </c>
      <c r="D31" s="101">
        <v>0.99999999999999978</v>
      </c>
      <c r="E31" s="102">
        <v>5.0887758700000002E-3</v>
      </c>
      <c r="F31" s="103">
        <v>1</v>
      </c>
      <c r="G31" s="100">
        <v>-2.5810122179999999E-2</v>
      </c>
      <c r="H31" s="101">
        <v>1.0000000000000002</v>
      </c>
      <c r="I31" s="102">
        <v>4.130526801E-2</v>
      </c>
      <c r="J31" s="103">
        <v>1.0000000000000002</v>
      </c>
      <c r="K31" s="100">
        <v>2.2172899789999999E-2</v>
      </c>
      <c r="L31" s="101">
        <v>1.0000000000000004</v>
      </c>
      <c r="M31" s="102">
        <v>-8.0355510700000007E-3</v>
      </c>
      <c r="N31" s="103">
        <v>1.0000000000000002</v>
      </c>
      <c r="O31" s="100">
        <v>-5.3708919399999997E-3</v>
      </c>
      <c r="P31" s="101">
        <v>1.0000000000000004</v>
      </c>
      <c r="Q31" s="102">
        <v>1.0408907029999999E-2</v>
      </c>
      <c r="R31" s="103">
        <v>1.0000000000000004</v>
      </c>
      <c r="S31" s="100">
        <v>-3.5418841000000001E-4</v>
      </c>
      <c r="T31" s="101">
        <v>0.99999999999999978</v>
      </c>
      <c r="U31" s="102" t="s">
        <v>1409</v>
      </c>
      <c r="V31" s="103" t="s">
        <v>1409</v>
      </c>
      <c r="W31" s="100" t="s">
        <v>1409</v>
      </c>
      <c r="X31" s="101" t="s">
        <v>1409</v>
      </c>
      <c r="Y31" s="102" t="s">
        <v>1409</v>
      </c>
      <c r="Z31" s="104" t="s">
        <v>1409</v>
      </c>
    </row>
    <row r="32" spans="1:31">
      <c r="A32" s="127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09"/>
    </row>
    <row r="33" spans="1:26">
      <c r="A33" s="127"/>
      <c r="B33" s="91" t="s">
        <v>21</v>
      </c>
      <c r="C33" s="110">
        <v>2.1616393891444062E-2</v>
      </c>
      <c r="D33" s="111">
        <v>0.99218890497225198</v>
      </c>
      <c r="E33" s="112">
        <v>4.5976919343332532E-3</v>
      </c>
      <c r="F33" s="113">
        <v>0.99186813529985807</v>
      </c>
      <c r="G33" s="110">
        <v>-2.2974138574687341E-2</v>
      </c>
      <c r="H33" s="111">
        <v>0.9935114177909723</v>
      </c>
      <c r="I33" s="112">
        <v>3.5198246732000442E-2</v>
      </c>
      <c r="J33" s="113">
        <v>0.99218674462789636</v>
      </c>
      <c r="K33" s="110">
        <v>1.9268128309783961E-2</v>
      </c>
      <c r="L33" s="111">
        <v>0.99026247646468213</v>
      </c>
      <c r="M33" s="112">
        <v>-3.1780508188616178E-3</v>
      </c>
      <c r="N33" s="113">
        <v>0.99507701010381244</v>
      </c>
      <c r="O33" s="110">
        <v>-2.9935824910224539E-3</v>
      </c>
      <c r="P33" s="111">
        <v>0.99790415851227687</v>
      </c>
      <c r="Q33" s="112">
        <v>6.3222760286146262E-3</v>
      </c>
      <c r="R33" s="113">
        <v>0.99610793130877973</v>
      </c>
      <c r="S33" s="110">
        <v>1.8526831610786144E-3</v>
      </c>
      <c r="T33" s="111">
        <v>0.99731267864495254</v>
      </c>
      <c r="U33" s="112" t="s">
        <v>1409</v>
      </c>
      <c r="V33" s="113" t="s">
        <v>1409</v>
      </c>
      <c r="W33" s="110" t="s">
        <v>1409</v>
      </c>
      <c r="X33" s="111" t="s">
        <v>1409</v>
      </c>
      <c r="Y33" s="112" t="s">
        <v>1409</v>
      </c>
      <c r="Z33" s="114" t="s">
        <v>1409</v>
      </c>
    </row>
    <row r="34" spans="1:26">
      <c r="A34" s="127"/>
      <c r="B34" s="98" t="s">
        <v>22</v>
      </c>
      <c r="C34" s="92">
        <v>2.2473996085559619E-3</v>
      </c>
      <c r="D34" s="93">
        <v>7.8110950277480475E-3</v>
      </c>
      <c r="E34" s="94">
        <v>4.910839356667418E-4</v>
      </c>
      <c r="F34" s="95">
        <v>8.1318647001418897E-3</v>
      </c>
      <c r="G34" s="92">
        <v>-2.835983605312641E-3</v>
      </c>
      <c r="H34" s="93">
        <v>6.4885822090277453E-3</v>
      </c>
      <c r="I34" s="94">
        <v>6.1070222793021701E-3</v>
      </c>
      <c r="J34" s="95">
        <v>7.813255372103577E-3</v>
      </c>
      <c r="K34" s="92">
        <v>2.9047714802160293E-3</v>
      </c>
      <c r="L34" s="93">
        <v>9.7375235353179875E-3</v>
      </c>
      <c r="M34" s="94">
        <v>-4.8575002511383903E-3</v>
      </c>
      <c r="N34" s="95">
        <v>4.9229898961875261E-3</v>
      </c>
      <c r="O34" s="92">
        <v>-2.3773085310446591E-3</v>
      </c>
      <c r="P34" s="93">
        <v>2.0958414877230583E-3</v>
      </c>
      <c r="Q34" s="94">
        <v>4.0866310013853773E-3</v>
      </c>
      <c r="R34" s="95">
        <v>3.8920686912203039E-3</v>
      </c>
      <c r="S34" s="92">
        <v>-2.2068715710786163E-3</v>
      </c>
      <c r="T34" s="93">
        <v>2.6873213550474779E-3</v>
      </c>
      <c r="U34" s="94" t="s">
        <v>1409</v>
      </c>
      <c r="V34" s="95" t="s">
        <v>1409</v>
      </c>
      <c r="W34" s="92" t="s">
        <v>1409</v>
      </c>
      <c r="X34" s="93" t="s">
        <v>1409</v>
      </c>
      <c r="Y34" s="94" t="s">
        <v>1409</v>
      </c>
      <c r="Z34" s="96" t="s">
        <v>1409</v>
      </c>
    </row>
    <row r="35" spans="1:26">
      <c r="A35" s="127"/>
      <c r="B35" s="115" t="s">
        <v>18</v>
      </c>
      <c r="C35" s="116">
        <v>2.3863793500000001E-2</v>
      </c>
      <c r="D35" s="117">
        <v>0.99999999999999978</v>
      </c>
      <c r="E35" s="118">
        <v>5.0887758700000002E-3</v>
      </c>
      <c r="F35" s="119">
        <v>1</v>
      </c>
      <c r="G35" s="116">
        <v>-2.5810122179999999E-2</v>
      </c>
      <c r="H35" s="117">
        <v>1.0000000000000002</v>
      </c>
      <c r="I35" s="118">
        <v>4.130526801E-2</v>
      </c>
      <c r="J35" s="119">
        <v>1.0000000000000002</v>
      </c>
      <c r="K35" s="116">
        <v>2.2172899789999999E-2</v>
      </c>
      <c r="L35" s="117">
        <v>1.0000000000000004</v>
      </c>
      <c r="M35" s="118">
        <v>-8.0355510700000007E-3</v>
      </c>
      <c r="N35" s="119">
        <v>1.0000000000000002</v>
      </c>
      <c r="O35" s="116">
        <v>-5.3708919399999997E-3</v>
      </c>
      <c r="P35" s="117">
        <v>1.0000000000000004</v>
      </c>
      <c r="Q35" s="118">
        <v>1.0408907029999999E-2</v>
      </c>
      <c r="R35" s="119">
        <v>1.0000000000000004</v>
      </c>
      <c r="S35" s="116">
        <v>-3.5418841000000001E-4</v>
      </c>
      <c r="T35" s="117">
        <v>0.99999999999999978</v>
      </c>
      <c r="U35" s="118" t="s">
        <v>1409</v>
      </c>
      <c r="V35" s="119" t="s">
        <v>1409</v>
      </c>
      <c r="W35" s="116" t="s">
        <v>1409</v>
      </c>
      <c r="X35" s="117" t="s">
        <v>1409</v>
      </c>
      <c r="Y35" s="118" t="s">
        <v>1409</v>
      </c>
      <c r="Z35" s="120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7"/>
      <c r="B37" s="85" t="s">
        <v>23</v>
      </c>
      <c r="C37" s="86" t="s">
        <v>54</v>
      </c>
      <c r="D37" s="87" t="s">
        <v>55</v>
      </c>
      <c r="E37" s="88" t="s">
        <v>56</v>
      </c>
      <c r="F37" s="89" t="s">
        <v>57</v>
      </c>
      <c r="G37" s="86" t="s">
        <v>58</v>
      </c>
      <c r="H37" s="87" t="s">
        <v>59</v>
      </c>
      <c r="I37" s="88" t="s">
        <v>60</v>
      </c>
      <c r="J37" s="90" t="s">
        <v>61</v>
      </c>
      <c r="K37" s="133" t="s">
        <v>1429</v>
      </c>
      <c r="L37" s="133" t="s">
        <v>1429</v>
      </c>
      <c r="M37" s="133" t="s">
        <v>1429</v>
      </c>
      <c r="N37" s="133" t="s">
        <v>1429</v>
      </c>
      <c r="O37" s="133" t="s">
        <v>1429</v>
      </c>
      <c r="P37" s="133" t="s">
        <v>1429</v>
      </c>
      <c r="Q37" s="133" t="s">
        <v>1429</v>
      </c>
      <c r="R37" s="133" t="s">
        <v>1429</v>
      </c>
      <c r="S37" s="133" t="s">
        <v>1429</v>
      </c>
      <c r="T37" s="133" t="s">
        <v>1429</v>
      </c>
      <c r="U37" s="133" t="s">
        <v>1429</v>
      </c>
      <c r="V37" s="133" t="s">
        <v>1429</v>
      </c>
      <c r="W37" s="133" t="s">
        <v>1429</v>
      </c>
      <c r="X37" s="133" t="s">
        <v>1429</v>
      </c>
      <c r="Y37" s="133" t="s">
        <v>1429</v>
      </c>
      <c r="Z37" s="33"/>
    </row>
    <row r="38" spans="1:26">
      <c r="A38" s="127"/>
      <c r="B38" s="91" t="s">
        <v>1</v>
      </c>
      <c r="C38" s="92">
        <v>1.1578945249505403E-3</v>
      </c>
      <c r="D38" s="93">
        <v>0.1544040263210042</v>
      </c>
      <c r="E38" s="94">
        <v>4.7681553665674569E-4</v>
      </c>
      <c r="F38" s="95">
        <v>0.15155351895051281</v>
      </c>
      <c r="G38" s="92">
        <v>3.6569198245868092E-3</v>
      </c>
      <c r="H38" s="93">
        <v>0.16134421557696055</v>
      </c>
      <c r="I38" s="94" t="s">
        <v>1409</v>
      </c>
      <c r="J38" s="96" t="s">
        <v>1409</v>
      </c>
      <c r="K38" s="133" t="s">
        <v>1429</v>
      </c>
      <c r="L38" s="133" t="s">
        <v>1429</v>
      </c>
      <c r="M38" s="133" t="s">
        <v>1429</v>
      </c>
      <c r="N38" s="133" t="s">
        <v>1429</v>
      </c>
      <c r="O38" s="133" t="s">
        <v>1429</v>
      </c>
      <c r="P38" s="133" t="s">
        <v>1429</v>
      </c>
      <c r="Q38" s="133" t="s">
        <v>1429</v>
      </c>
      <c r="R38" s="133" t="s">
        <v>1429</v>
      </c>
      <c r="S38" s="133" t="s">
        <v>1429</v>
      </c>
      <c r="T38" s="133" t="s">
        <v>1429</v>
      </c>
      <c r="U38" s="133" t="s">
        <v>1429</v>
      </c>
      <c r="V38" s="133" t="s">
        <v>1429</v>
      </c>
      <c r="W38" s="133" t="s">
        <v>1429</v>
      </c>
      <c r="X38" s="133" t="s">
        <v>1429</v>
      </c>
      <c r="Y38" s="133" t="s">
        <v>1429</v>
      </c>
      <c r="Z38" s="33"/>
    </row>
    <row r="39" spans="1:26" ht="30">
      <c r="A39" s="127"/>
      <c r="B39" s="97" t="s">
        <v>908</v>
      </c>
      <c r="C39" s="92">
        <v>-7.2386199501350509E-4</v>
      </c>
      <c r="D39" s="93">
        <v>0.19371894372947171</v>
      </c>
      <c r="E39" s="94">
        <v>5.1436097932645456E-3</v>
      </c>
      <c r="F39" s="95">
        <v>0.19369910025806594</v>
      </c>
      <c r="G39" s="92">
        <v>3.4837976743564265E-3</v>
      </c>
      <c r="H39" s="93">
        <v>0.19378752934248342</v>
      </c>
      <c r="I39" s="94" t="s">
        <v>1409</v>
      </c>
      <c r="J39" s="96" t="s">
        <v>1409</v>
      </c>
      <c r="K39" s="133" t="s">
        <v>1429</v>
      </c>
      <c r="L39" s="133" t="s">
        <v>1429</v>
      </c>
      <c r="M39" s="133" t="s">
        <v>1429</v>
      </c>
      <c r="N39" s="133" t="s">
        <v>1429</v>
      </c>
      <c r="O39" s="133" t="s">
        <v>1429</v>
      </c>
      <c r="P39" s="133" t="s">
        <v>1429</v>
      </c>
      <c r="Q39" s="133" t="s">
        <v>1429</v>
      </c>
      <c r="R39" s="133" t="s">
        <v>1429</v>
      </c>
      <c r="S39" s="133" t="s">
        <v>1429</v>
      </c>
      <c r="T39" s="133" t="s">
        <v>1429</v>
      </c>
      <c r="U39" s="133" t="s">
        <v>1429</v>
      </c>
      <c r="V39" s="133" t="s">
        <v>1429</v>
      </c>
      <c r="W39" s="133" t="s">
        <v>1429</v>
      </c>
      <c r="X39" s="133" t="s">
        <v>1429</v>
      </c>
      <c r="Y39" s="133" t="s">
        <v>1429</v>
      </c>
      <c r="Z39" s="33"/>
    </row>
    <row r="40" spans="1:26">
      <c r="A40" s="127"/>
      <c r="B40" s="98" t="s">
        <v>2</v>
      </c>
      <c r="C40" s="92">
        <v>0</v>
      </c>
      <c r="D40" s="93">
        <v>0</v>
      </c>
      <c r="E40" s="94">
        <v>0</v>
      </c>
      <c r="F40" s="95">
        <v>0</v>
      </c>
      <c r="G40" s="92">
        <v>0</v>
      </c>
      <c r="H40" s="93">
        <v>0</v>
      </c>
      <c r="I40" s="94" t="s">
        <v>1409</v>
      </c>
      <c r="J40" s="96" t="s">
        <v>1409</v>
      </c>
      <c r="K40" s="133" t="s">
        <v>1429</v>
      </c>
      <c r="L40" s="133" t="s">
        <v>1429</v>
      </c>
      <c r="M40" s="133" t="s">
        <v>1429</v>
      </c>
      <c r="N40" s="133" t="s">
        <v>1429</v>
      </c>
      <c r="O40" s="133" t="s">
        <v>1429</v>
      </c>
      <c r="P40" s="133" t="s">
        <v>1429</v>
      </c>
      <c r="Q40" s="133" t="s">
        <v>1429</v>
      </c>
      <c r="R40" s="133" t="s">
        <v>1429</v>
      </c>
      <c r="S40" s="133" t="s">
        <v>1429</v>
      </c>
      <c r="T40" s="133" t="s">
        <v>1429</v>
      </c>
      <c r="U40" s="133" t="s">
        <v>1429</v>
      </c>
      <c r="V40" s="133" t="s">
        <v>1429</v>
      </c>
      <c r="W40" s="133" t="s">
        <v>1429</v>
      </c>
      <c r="X40" s="133" t="s">
        <v>1429</v>
      </c>
      <c r="Y40" s="133" t="s">
        <v>1429</v>
      </c>
      <c r="Z40" s="33"/>
    </row>
    <row r="41" spans="1:26">
      <c r="A41" s="127"/>
      <c r="B41" s="98" t="s">
        <v>3</v>
      </c>
      <c r="C41" s="92">
        <v>0</v>
      </c>
      <c r="D41" s="93">
        <v>0</v>
      </c>
      <c r="E41" s="94">
        <v>0</v>
      </c>
      <c r="F41" s="95">
        <v>0</v>
      </c>
      <c r="G41" s="92">
        <v>0</v>
      </c>
      <c r="H41" s="93">
        <v>0</v>
      </c>
      <c r="I41" s="94" t="s">
        <v>1409</v>
      </c>
      <c r="J41" s="96" t="s">
        <v>1409</v>
      </c>
      <c r="K41" s="133" t="s">
        <v>1429</v>
      </c>
      <c r="L41" s="133" t="s">
        <v>1429</v>
      </c>
      <c r="M41" s="133" t="s">
        <v>1429</v>
      </c>
      <c r="N41" s="133" t="s">
        <v>1429</v>
      </c>
      <c r="O41" s="133" t="s">
        <v>1429</v>
      </c>
      <c r="P41" s="133" t="s">
        <v>1429</v>
      </c>
      <c r="Q41" s="133" t="s">
        <v>1429</v>
      </c>
      <c r="R41" s="133" t="s">
        <v>1429</v>
      </c>
      <c r="S41" s="133" t="s">
        <v>1429</v>
      </c>
      <c r="T41" s="133" t="s">
        <v>1429</v>
      </c>
      <c r="U41" s="133" t="s">
        <v>1429</v>
      </c>
      <c r="V41" s="133" t="s">
        <v>1429</v>
      </c>
      <c r="W41" s="133" t="s">
        <v>1429</v>
      </c>
      <c r="X41" s="133" t="s">
        <v>1429</v>
      </c>
      <c r="Y41" s="133" t="s">
        <v>1429</v>
      </c>
      <c r="Z41" s="33"/>
    </row>
    <row r="42" spans="1:26">
      <c r="A42" s="127"/>
      <c r="B42" s="98" t="s">
        <v>4</v>
      </c>
      <c r="C42" s="92">
        <v>-5.4372111398795888E-4</v>
      </c>
      <c r="D42" s="93">
        <v>0.22004015375124472</v>
      </c>
      <c r="E42" s="94">
        <v>5.3793483596624682E-3</v>
      </c>
      <c r="F42" s="95">
        <v>0.21929236918216455</v>
      </c>
      <c r="G42" s="92">
        <v>5.6029050541036825E-3</v>
      </c>
      <c r="H42" s="93">
        <v>0.21925640879885855</v>
      </c>
      <c r="I42" s="94" t="s">
        <v>1409</v>
      </c>
      <c r="J42" s="96" t="s">
        <v>1409</v>
      </c>
      <c r="K42" s="133" t="s">
        <v>1429</v>
      </c>
      <c r="L42" s="133" t="s">
        <v>1429</v>
      </c>
      <c r="M42" s="133" t="s">
        <v>1429</v>
      </c>
      <c r="N42" s="133" t="s">
        <v>1429</v>
      </c>
      <c r="O42" s="133" t="s">
        <v>1429</v>
      </c>
      <c r="P42" s="133" t="s">
        <v>1429</v>
      </c>
      <c r="Q42" s="133" t="s">
        <v>1429</v>
      </c>
      <c r="R42" s="133" t="s">
        <v>1429</v>
      </c>
      <c r="S42" s="133" t="s">
        <v>1429</v>
      </c>
      <c r="T42" s="133" t="s">
        <v>1429</v>
      </c>
      <c r="U42" s="133" t="s">
        <v>1429</v>
      </c>
      <c r="V42" s="133" t="s">
        <v>1429</v>
      </c>
      <c r="W42" s="133" t="s">
        <v>1429</v>
      </c>
      <c r="X42" s="133" t="s">
        <v>1429</v>
      </c>
      <c r="Y42" s="133" t="s">
        <v>1429</v>
      </c>
      <c r="Z42" s="33"/>
    </row>
    <row r="43" spans="1:26">
      <c r="A43" s="127"/>
      <c r="B43" s="98" t="s">
        <v>5</v>
      </c>
      <c r="C43" s="92">
        <v>-1.0102512798727475E-6</v>
      </c>
      <c r="D43" s="93">
        <v>7.0070478992442279E-5</v>
      </c>
      <c r="E43" s="94">
        <v>-3.5583714419307545E-7</v>
      </c>
      <c r="F43" s="95">
        <v>6.3060136975058624E-5</v>
      </c>
      <c r="G43" s="92">
        <v>-2.8709268999764221E-7</v>
      </c>
      <c r="H43" s="93">
        <v>5.6211088050579483E-5</v>
      </c>
      <c r="I43" s="94" t="s">
        <v>1409</v>
      </c>
      <c r="J43" s="96" t="s">
        <v>1409</v>
      </c>
      <c r="K43" s="133" t="s">
        <v>1429</v>
      </c>
      <c r="L43" s="133" t="s">
        <v>1429</v>
      </c>
      <c r="M43" s="133" t="s">
        <v>1429</v>
      </c>
      <c r="N43" s="133" t="s">
        <v>1429</v>
      </c>
      <c r="O43" s="133" t="s">
        <v>1429</v>
      </c>
      <c r="P43" s="133" t="s">
        <v>1429</v>
      </c>
      <c r="Q43" s="133" t="s">
        <v>1429</v>
      </c>
      <c r="R43" s="133" t="s">
        <v>1429</v>
      </c>
      <c r="S43" s="133" t="s">
        <v>1429</v>
      </c>
      <c r="T43" s="133" t="s">
        <v>1429</v>
      </c>
      <c r="U43" s="133" t="s">
        <v>1429</v>
      </c>
      <c r="V43" s="133" t="s">
        <v>1429</v>
      </c>
      <c r="W43" s="133" t="s">
        <v>1429</v>
      </c>
      <c r="X43" s="133" t="s">
        <v>1429</v>
      </c>
      <c r="Y43" s="133" t="s">
        <v>1429</v>
      </c>
      <c r="Z43" s="33"/>
    </row>
    <row r="44" spans="1:26">
      <c r="A44" s="127"/>
      <c r="B44" s="98" t="s">
        <v>6</v>
      </c>
      <c r="C44" s="92">
        <v>9.8321160102376234E-3</v>
      </c>
      <c r="D44" s="93">
        <v>0.2062959164961978</v>
      </c>
      <c r="E44" s="94">
        <v>2.3337081691787234E-2</v>
      </c>
      <c r="F44" s="95">
        <v>0.21604549855695021</v>
      </c>
      <c r="G44" s="92">
        <v>2.2745498725437487E-2</v>
      </c>
      <c r="H44" s="93">
        <v>0.21398354096841363</v>
      </c>
      <c r="I44" s="94" t="s">
        <v>1409</v>
      </c>
      <c r="J44" s="96" t="s">
        <v>1409</v>
      </c>
      <c r="K44" s="133" t="s">
        <v>1429</v>
      </c>
      <c r="L44" s="133" t="s">
        <v>1429</v>
      </c>
      <c r="M44" s="133" t="s">
        <v>1429</v>
      </c>
      <c r="N44" s="133" t="s">
        <v>1429</v>
      </c>
      <c r="O44" s="133" t="s">
        <v>1429</v>
      </c>
      <c r="P44" s="133" t="s">
        <v>1429</v>
      </c>
      <c r="Q44" s="133" t="s">
        <v>1429</v>
      </c>
      <c r="R44" s="133" t="s">
        <v>1429</v>
      </c>
      <c r="S44" s="133" t="s">
        <v>1429</v>
      </c>
      <c r="T44" s="133" t="s">
        <v>1429</v>
      </c>
      <c r="U44" s="133" t="s">
        <v>1429</v>
      </c>
      <c r="V44" s="133" t="s">
        <v>1429</v>
      </c>
      <c r="W44" s="133" t="s">
        <v>1429</v>
      </c>
      <c r="X44" s="133" t="s">
        <v>1429</v>
      </c>
      <c r="Y44" s="133" t="s">
        <v>1429</v>
      </c>
      <c r="Z44" s="33"/>
    </row>
    <row r="45" spans="1:26">
      <c r="A45" s="127"/>
      <c r="B45" s="98" t="s">
        <v>62</v>
      </c>
      <c r="C45" s="92">
        <v>-2.121288414961179E-3</v>
      </c>
      <c r="D45" s="93">
        <v>0.21145052551043689</v>
      </c>
      <c r="E45" s="94">
        <v>7.64772851976656E-3</v>
      </c>
      <c r="F45" s="95">
        <v>0.20349386441236361</v>
      </c>
      <c r="G45" s="92">
        <v>1.1427956075896027E-2</v>
      </c>
      <c r="H45" s="93">
        <v>0.1986648213276172</v>
      </c>
      <c r="I45" s="94" t="s">
        <v>1409</v>
      </c>
      <c r="J45" s="96" t="s">
        <v>1409</v>
      </c>
      <c r="K45" s="133" t="s">
        <v>1429</v>
      </c>
      <c r="L45" s="133" t="s">
        <v>1429</v>
      </c>
      <c r="M45" s="133" t="s">
        <v>1429</v>
      </c>
      <c r="N45" s="133" t="s">
        <v>1429</v>
      </c>
      <c r="O45" s="133" t="s">
        <v>1429</v>
      </c>
      <c r="P45" s="133" t="s">
        <v>1429</v>
      </c>
      <c r="Q45" s="133" t="s">
        <v>1429</v>
      </c>
      <c r="R45" s="133" t="s">
        <v>1429</v>
      </c>
      <c r="S45" s="133" t="s">
        <v>1429</v>
      </c>
      <c r="T45" s="133" t="s">
        <v>1429</v>
      </c>
      <c r="U45" s="133" t="s">
        <v>1429</v>
      </c>
      <c r="V45" s="133" t="s">
        <v>1429</v>
      </c>
      <c r="W45" s="133" t="s">
        <v>1429</v>
      </c>
      <c r="X45" s="133" t="s">
        <v>1429</v>
      </c>
      <c r="Y45" s="133" t="s">
        <v>1429</v>
      </c>
      <c r="Z45" s="33"/>
    </row>
    <row r="46" spans="1:26">
      <c r="A46" s="127"/>
      <c r="B46" s="98" t="s">
        <v>7</v>
      </c>
      <c r="C46" s="92">
        <v>-2.2403733456536194E-4</v>
      </c>
      <c r="D46" s="93">
        <v>4.9339094243052448E-3</v>
      </c>
      <c r="E46" s="94">
        <v>-3.008968486335754E-4</v>
      </c>
      <c r="F46" s="95">
        <v>4.379705943667352E-3</v>
      </c>
      <c r="G46" s="92">
        <v>-1.8262287392951267E-4</v>
      </c>
      <c r="H46" s="93">
        <v>4.0934206651941215E-3</v>
      </c>
      <c r="I46" s="94" t="s">
        <v>1409</v>
      </c>
      <c r="J46" s="96" t="s">
        <v>1409</v>
      </c>
      <c r="K46" s="133" t="s">
        <v>1429</v>
      </c>
      <c r="L46" s="133" t="s">
        <v>1429</v>
      </c>
      <c r="M46" s="133" t="s">
        <v>1429</v>
      </c>
      <c r="N46" s="133" t="s">
        <v>1429</v>
      </c>
      <c r="O46" s="133" t="s">
        <v>1429</v>
      </c>
      <c r="P46" s="133" t="s">
        <v>1429</v>
      </c>
      <c r="Q46" s="133" t="s">
        <v>1429</v>
      </c>
      <c r="R46" s="133" t="s">
        <v>1429</v>
      </c>
      <c r="S46" s="133" t="s">
        <v>1429</v>
      </c>
      <c r="T46" s="133" t="s">
        <v>1429</v>
      </c>
      <c r="U46" s="133" t="s">
        <v>1429</v>
      </c>
      <c r="V46" s="133" t="s">
        <v>1429</v>
      </c>
      <c r="W46" s="133" t="s">
        <v>1429</v>
      </c>
      <c r="X46" s="133" t="s">
        <v>1429</v>
      </c>
      <c r="Y46" s="133" t="s">
        <v>1429</v>
      </c>
      <c r="Z46" s="33"/>
    </row>
    <row r="47" spans="1:26">
      <c r="A47" s="127"/>
      <c r="B47" s="98" t="s">
        <v>8</v>
      </c>
      <c r="C47" s="92">
        <v>4.865384365170806E-5</v>
      </c>
      <c r="D47" s="93">
        <v>1.063188680023598E-3</v>
      </c>
      <c r="E47" s="94">
        <v>1.1546240948297021E-4</v>
      </c>
      <c r="F47" s="95">
        <v>1.0662598581305911E-3</v>
      </c>
      <c r="G47" s="92">
        <v>1.1815479313845195E-4</v>
      </c>
      <c r="H47" s="93">
        <v>1.1855936841005468E-3</v>
      </c>
      <c r="I47" s="94" t="s">
        <v>1409</v>
      </c>
      <c r="J47" s="96" t="s">
        <v>1409</v>
      </c>
      <c r="K47" s="133" t="s">
        <v>1429</v>
      </c>
      <c r="L47" s="133" t="s">
        <v>1429</v>
      </c>
      <c r="M47" s="133" t="s">
        <v>1429</v>
      </c>
      <c r="N47" s="133" t="s">
        <v>1429</v>
      </c>
      <c r="O47" s="133" t="s">
        <v>1429</v>
      </c>
      <c r="P47" s="133" t="s">
        <v>1429</v>
      </c>
      <c r="Q47" s="133" t="s">
        <v>1429</v>
      </c>
      <c r="R47" s="133" t="s">
        <v>1429</v>
      </c>
      <c r="S47" s="133" t="s">
        <v>1429</v>
      </c>
      <c r="T47" s="133" t="s">
        <v>1429</v>
      </c>
      <c r="U47" s="133" t="s">
        <v>1429</v>
      </c>
      <c r="V47" s="133" t="s">
        <v>1429</v>
      </c>
      <c r="W47" s="133" t="s">
        <v>1429</v>
      </c>
      <c r="X47" s="133" t="s">
        <v>1429</v>
      </c>
      <c r="Y47" s="133" t="s">
        <v>1429</v>
      </c>
      <c r="Z47" s="33"/>
    </row>
    <row r="48" spans="1:26">
      <c r="A48" s="127"/>
      <c r="B48" s="98" t="s">
        <v>9</v>
      </c>
      <c r="C48" s="92">
        <v>5.6390308985455562E-5</v>
      </c>
      <c r="D48" s="93">
        <v>2.2623098361611687E-4</v>
      </c>
      <c r="E48" s="94">
        <v>1.0392509336508174E-4</v>
      </c>
      <c r="F48" s="95">
        <v>2.6736518929415363E-4</v>
      </c>
      <c r="G48" s="92">
        <v>1.2081176106320304E-4</v>
      </c>
      <c r="H48" s="93">
        <v>2.603098144512499E-4</v>
      </c>
      <c r="I48" s="94" t="s">
        <v>1409</v>
      </c>
      <c r="J48" s="96" t="s">
        <v>1409</v>
      </c>
      <c r="K48" s="133" t="s">
        <v>1429</v>
      </c>
      <c r="L48" s="133" t="s">
        <v>1429</v>
      </c>
      <c r="M48" s="133" t="s">
        <v>1429</v>
      </c>
      <c r="N48" s="133" t="s">
        <v>1429</v>
      </c>
      <c r="O48" s="133" t="s">
        <v>1429</v>
      </c>
      <c r="P48" s="133" t="s">
        <v>1429</v>
      </c>
      <c r="Q48" s="133" t="s">
        <v>1429</v>
      </c>
      <c r="R48" s="133" t="s">
        <v>1429</v>
      </c>
      <c r="S48" s="133" t="s">
        <v>1429</v>
      </c>
      <c r="T48" s="133" t="s">
        <v>1429</v>
      </c>
      <c r="U48" s="133" t="s">
        <v>1429</v>
      </c>
      <c r="V48" s="133" t="s">
        <v>1429</v>
      </c>
      <c r="W48" s="133" t="s">
        <v>1429</v>
      </c>
      <c r="X48" s="133" t="s">
        <v>1429</v>
      </c>
      <c r="Y48" s="133" t="s">
        <v>1429</v>
      </c>
      <c r="Z48" s="33"/>
    </row>
    <row r="49" spans="1:26">
      <c r="A49" s="127"/>
      <c r="B49" s="98" t="s">
        <v>10</v>
      </c>
      <c r="C49" s="92">
        <v>-5.0592405730775425E-3</v>
      </c>
      <c r="D49" s="93">
        <v>5.7202739186597096E-3</v>
      </c>
      <c r="E49" s="94">
        <v>1.6528001603310971E-2</v>
      </c>
      <c r="F49" s="95">
        <v>8.3109947676524992E-3</v>
      </c>
      <c r="G49" s="92">
        <v>1.6018834460785839E-2</v>
      </c>
      <c r="H49" s="93">
        <v>5.7429970579283927E-3</v>
      </c>
      <c r="I49" s="94" t="s">
        <v>1409</v>
      </c>
      <c r="J49" s="96" t="s">
        <v>1409</v>
      </c>
      <c r="K49" s="133" t="s">
        <v>1429</v>
      </c>
      <c r="L49" s="133" t="s">
        <v>1429</v>
      </c>
      <c r="M49" s="133" t="s">
        <v>1429</v>
      </c>
      <c r="N49" s="133" t="s">
        <v>1429</v>
      </c>
      <c r="O49" s="133" t="s">
        <v>1429</v>
      </c>
      <c r="P49" s="133" t="s">
        <v>1429</v>
      </c>
      <c r="Q49" s="133" t="s">
        <v>1429</v>
      </c>
      <c r="R49" s="133" t="s">
        <v>1429</v>
      </c>
      <c r="S49" s="133" t="s">
        <v>1429</v>
      </c>
      <c r="T49" s="133" t="s">
        <v>1429</v>
      </c>
      <c r="U49" s="133" t="s">
        <v>1429</v>
      </c>
      <c r="V49" s="133" t="s">
        <v>1429</v>
      </c>
      <c r="W49" s="133" t="s">
        <v>1429</v>
      </c>
      <c r="X49" s="133" t="s">
        <v>1429</v>
      </c>
      <c r="Y49" s="133" t="s">
        <v>1429</v>
      </c>
      <c r="Z49" s="33"/>
    </row>
    <row r="50" spans="1:26">
      <c r="A50" s="127"/>
      <c r="B50" s="98" t="s">
        <v>11</v>
      </c>
      <c r="C50" s="92">
        <v>9.554868255538816E-5</v>
      </c>
      <c r="D50" s="93">
        <v>1.6996333962021156E-4</v>
      </c>
      <c r="E50" s="94">
        <v>1.1779949392835276E-4</v>
      </c>
      <c r="F50" s="95">
        <v>9.7567004162729023E-5</v>
      </c>
      <c r="G50" s="92">
        <v>4.2248666236446039E-4</v>
      </c>
      <c r="H50" s="93">
        <v>8.4977060877217624E-5</v>
      </c>
      <c r="I50" s="94" t="s">
        <v>1409</v>
      </c>
      <c r="J50" s="96" t="s">
        <v>1409</v>
      </c>
      <c r="K50" s="133" t="s">
        <v>1429</v>
      </c>
      <c r="L50" s="133" t="s">
        <v>1429</v>
      </c>
      <c r="M50" s="133" t="s">
        <v>1429</v>
      </c>
      <c r="N50" s="133" t="s">
        <v>1429</v>
      </c>
      <c r="O50" s="133" t="s">
        <v>1429</v>
      </c>
      <c r="P50" s="133" t="s">
        <v>1429</v>
      </c>
      <c r="Q50" s="133" t="s">
        <v>1429</v>
      </c>
      <c r="R50" s="133" t="s">
        <v>1429</v>
      </c>
      <c r="S50" s="133" t="s">
        <v>1429</v>
      </c>
      <c r="T50" s="133" t="s">
        <v>1429</v>
      </c>
      <c r="U50" s="133" t="s">
        <v>1429</v>
      </c>
      <c r="V50" s="133" t="s">
        <v>1429</v>
      </c>
      <c r="W50" s="133" t="s">
        <v>1429</v>
      </c>
      <c r="X50" s="133" t="s">
        <v>1429</v>
      </c>
      <c r="Y50" s="133" t="s">
        <v>1429</v>
      </c>
      <c r="Z50" s="33"/>
    </row>
    <row r="51" spans="1:26">
      <c r="A51" s="127"/>
      <c r="B51" s="98" t="s">
        <v>12</v>
      </c>
      <c r="C51" s="92">
        <v>-4.1735530271814363E-7</v>
      </c>
      <c r="D51" s="93">
        <v>6.6183464459089949E-5</v>
      </c>
      <c r="E51" s="94">
        <v>1.6431507486138355E-6</v>
      </c>
      <c r="F51" s="95">
        <v>6.7094200482224062E-5</v>
      </c>
      <c r="G51" s="92">
        <v>2.6185844252165482E-6</v>
      </c>
      <c r="H51" s="93">
        <v>6.4613311253174872E-5</v>
      </c>
      <c r="I51" s="94" t="s">
        <v>1409</v>
      </c>
      <c r="J51" s="96" t="s">
        <v>1409</v>
      </c>
      <c r="K51" s="133" t="s">
        <v>1429</v>
      </c>
      <c r="L51" s="133" t="s">
        <v>1429</v>
      </c>
      <c r="M51" s="133" t="s">
        <v>1429</v>
      </c>
      <c r="N51" s="133" t="s">
        <v>1429</v>
      </c>
      <c r="O51" s="133" t="s">
        <v>1429</v>
      </c>
      <c r="P51" s="133" t="s">
        <v>1429</v>
      </c>
      <c r="Q51" s="133" t="s">
        <v>1429</v>
      </c>
      <c r="R51" s="133" t="s">
        <v>1429</v>
      </c>
      <c r="S51" s="133" t="s">
        <v>1429</v>
      </c>
      <c r="T51" s="133" t="s">
        <v>1429</v>
      </c>
      <c r="U51" s="133" t="s">
        <v>1429</v>
      </c>
      <c r="V51" s="133" t="s">
        <v>1429</v>
      </c>
      <c r="W51" s="133" t="s">
        <v>1429</v>
      </c>
      <c r="X51" s="133" t="s">
        <v>1429</v>
      </c>
      <c r="Y51" s="133" t="s">
        <v>1429</v>
      </c>
      <c r="Z51" s="33"/>
    </row>
    <row r="52" spans="1:26">
      <c r="A52" s="127"/>
      <c r="B52" s="98" t="s">
        <v>13</v>
      </c>
      <c r="C52" s="92">
        <v>-3.5498859338141975E-6</v>
      </c>
      <c r="D52" s="93">
        <v>1.8407891977313326E-3</v>
      </c>
      <c r="E52" s="94">
        <v>-5.5311938252919768E-5</v>
      </c>
      <c r="F52" s="95">
        <v>1.6637609318758578E-3</v>
      </c>
      <c r="G52" s="92">
        <v>-2.5417993674695933E-5</v>
      </c>
      <c r="H52" s="93">
        <v>1.4728409258811517E-3</v>
      </c>
      <c r="I52" s="94" t="s">
        <v>1409</v>
      </c>
      <c r="J52" s="96" t="s">
        <v>1409</v>
      </c>
      <c r="K52" s="133" t="s">
        <v>1429</v>
      </c>
      <c r="L52" s="133" t="s">
        <v>1429</v>
      </c>
      <c r="M52" s="133" t="s">
        <v>1429</v>
      </c>
      <c r="N52" s="133" t="s">
        <v>1429</v>
      </c>
      <c r="O52" s="133" t="s">
        <v>1429</v>
      </c>
      <c r="P52" s="133" t="s">
        <v>1429</v>
      </c>
      <c r="Q52" s="133" t="s">
        <v>1429</v>
      </c>
      <c r="R52" s="133" t="s">
        <v>1429</v>
      </c>
      <c r="S52" s="133" t="s">
        <v>1429</v>
      </c>
      <c r="T52" s="133" t="s">
        <v>1429</v>
      </c>
      <c r="U52" s="133" t="s">
        <v>1429</v>
      </c>
      <c r="V52" s="133" t="s">
        <v>1429</v>
      </c>
      <c r="W52" s="133" t="s">
        <v>1429</v>
      </c>
      <c r="X52" s="133" t="s">
        <v>1429</v>
      </c>
      <c r="Y52" s="133" t="s">
        <v>1429</v>
      </c>
      <c r="Z52" s="33"/>
    </row>
    <row r="53" spans="1:26">
      <c r="A53" s="127"/>
      <c r="B53" s="98" t="s">
        <v>14</v>
      </c>
      <c r="C53" s="92">
        <v>0</v>
      </c>
      <c r="D53" s="93">
        <v>0</v>
      </c>
      <c r="E53" s="94">
        <v>0</v>
      </c>
      <c r="F53" s="95">
        <v>0</v>
      </c>
      <c r="G53" s="92">
        <v>0</v>
      </c>
      <c r="H53" s="93">
        <v>0</v>
      </c>
      <c r="I53" s="94" t="s">
        <v>1409</v>
      </c>
      <c r="J53" s="96" t="s">
        <v>1409</v>
      </c>
      <c r="K53" s="133" t="s">
        <v>1429</v>
      </c>
      <c r="L53" s="133" t="s">
        <v>1429</v>
      </c>
      <c r="M53" s="133" t="s">
        <v>1429</v>
      </c>
      <c r="N53" s="133" t="s">
        <v>1429</v>
      </c>
      <c r="O53" s="133" t="s">
        <v>1429</v>
      </c>
      <c r="P53" s="133" t="s">
        <v>1429</v>
      </c>
      <c r="Q53" s="133" t="s">
        <v>1429</v>
      </c>
      <c r="R53" s="133" t="s">
        <v>1429</v>
      </c>
      <c r="S53" s="133" t="s">
        <v>1429</v>
      </c>
      <c r="T53" s="133" t="s">
        <v>1429</v>
      </c>
      <c r="U53" s="133" t="s">
        <v>1429</v>
      </c>
      <c r="V53" s="133" t="s">
        <v>1429</v>
      </c>
      <c r="W53" s="133" t="s">
        <v>1429</v>
      </c>
      <c r="X53" s="133" t="s">
        <v>1429</v>
      </c>
      <c r="Y53" s="133" t="s">
        <v>1429</v>
      </c>
      <c r="Z53" s="33"/>
    </row>
    <row r="54" spans="1:26">
      <c r="A54" s="127"/>
      <c r="B54" s="98" t="s">
        <v>15</v>
      </c>
      <c r="C54" s="92">
        <v>0</v>
      </c>
      <c r="D54" s="93">
        <v>0</v>
      </c>
      <c r="E54" s="94">
        <v>0</v>
      </c>
      <c r="F54" s="95">
        <v>0</v>
      </c>
      <c r="G54" s="92">
        <v>0</v>
      </c>
      <c r="H54" s="93">
        <v>0</v>
      </c>
      <c r="I54" s="94" t="s">
        <v>1409</v>
      </c>
      <c r="J54" s="96" t="s">
        <v>1409</v>
      </c>
      <c r="K54" s="133" t="s">
        <v>1429</v>
      </c>
      <c r="L54" s="133" t="s">
        <v>1429</v>
      </c>
      <c r="M54" s="133" t="s">
        <v>1429</v>
      </c>
      <c r="N54" s="133" t="s">
        <v>1429</v>
      </c>
      <c r="O54" s="133" t="s">
        <v>1429</v>
      </c>
      <c r="P54" s="133" t="s">
        <v>1429</v>
      </c>
      <c r="Q54" s="133" t="s">
        <v>1429</v>
      </c>
      <c r="R54" s="133" t="s">
        <v>1429</v>
      </c>
      <c r="S54" s="133" t="s">
        <v>1429</v>
      </c>
      <c r="T54" s="133" t="s">
        <v>1429</v>
      </c>
      <c r="U54" s="133" t="s">
        <v>1429</v>
      </c>
      <c r="V54" s="133" t="s">
        <v>1429</v>
      </c>
      <c r="W54" s="133" t="s">
        <v>1429</v>
      </c>
      <c r="X54" s="133" t="s">
        <v>1429</v>
      </c>
      <c r="Y54" s="133" t="s">
        <v>1429</v>
      </c>
      <c r="Z54" s="33"/>
    </row>
    <row r="55" spans="1:26">
      <c r="A55" s="127"/>
      <c r="B55" s="98" t="s">
        <v>16</v>
      </c>
      <c r="C55" s="92">
        <v>0</v>
      </c>
      <c r="D55" s="93">
        <v>0</v>
      </c>
      <c r="E55" s="94">
        <v>0</v>
      </c>
      <c r="F55" s="95">
        <v>0</v>
      </c>
      <c r="G55" s="92">
        <v>0</v>
      </c>
      <c r="H55" s="93">
        <v>0</v>
      </c>
      <c r="I55" s="94" t="s">
        <v>1409</v>
      </c>
      <c r="J55" s="96" t="s">
        <v>1409</v>
      </c>
      <c r="K55" s="133" t="s">
        <v>1429</v>
      </c>
      <c r="L55" s="133" t="s">
        <v>1429</v>
      </c>
      <c r="M55" s="133" t="s">
        <v>1429</v>
      </c>
      <c r="N55" s="133" t="s">
        <v>1429</v>
      </c>
      <c r="O55" s="133" t="s">
        <v>1429</v>
      </c>
      <c r="P55" s="133" t="s">
        <v>1429</v>
      </c>
      <c r="Q55" s="133" t="s">
        <v>1429</v>
      </c>
      <c r="R55" s="133" t="s">
        <v>1429</v>
      </c>
      <c r="S55" s="133" t="s">
        <v>1429</v>
      </c>
      <c r="T55" s="133" t="s">
        <v>1429</v>
      </c>
      <c r="U55" s="133" t="s">
        <v>1429</v>
      </c>
      <c r="V55" s="133" t="s">
        <v>1429</v>
      </c>
      <c r="W55" s="133" t="s">
        <v>1429</v>
      </c>
      <c r="X55" s="133" t="s">
        <v>1429</v>
      </c>
      <c r="Y55" s="133" t="s">
        <v>1429</v>
      </c>
      <c r="Z55" s="33"/>
    </row>
    <row r="56" spans="1:26">
      <c r="A56" s="127"/>
      <c r="B56" s="98" t="s">
        <v>17</v>
      </c>
      <c r="C56" s="92">
        <v>4.5707834216176561E-9</v>
      </c>
      <c r="D56" s="93">
        <v>-1.7529576307930203E-7</v>
      </c>
      <c r="E56" s="94">
        <v>1.8183995837058513E-8</v>
      </c>
      <c r="F56" s="95">
        <v>-1.5939229747748213E-7</v>
      </c>
      <c r="G56" s="92">
        <v>-2.3038106131252796E-8</v>
      </c>
      <c r="H56" s="93">
        <v>2.5203779303740987E-6</v>
      </c>
      <c r="I56" s="94" t="s">
        <v>1409</v>
      </c>
      <c r="J56" s="96" t="s">
        <v>1409</v>
      </c>
      <c r="K56" s="133" t="s">
        <v>1429</v>
      </c>
      <c r="L56" s="133" t="s">
        <v>1429</v>
      </c>
      <c r="M56" s="133" t="s">
        <v>1429</v>
      </c>
      <c r="N56" s="133" t="s">
        <v>1429</v>
      </c>
      <c r="O56" s="133" t="s">
        <v>1429</v>
      </c>
      <c r="P56" s="133" t="s">
        <v>1429</v>
      </c>
      <c r="Q56" s="133" t="s">
        <v>1429</v>
      </c>
      <c r="R56" s="133" t="s">
        <v>1429</v>
      </c>
      <c r="S56" s="133" t="s">
        <v>1429</v>
      </c>
      <c r="T56" s="133" t="s">
        <v>1429</v>
      </c>
      <c r="U56" s="133" t="s">
        <v>1429</v>
      </c>
      <c r="V56" s="133" t="s">
        <v>1429</v>
      </c>
      <c r="W56" s="133" t="s">
        <v>1429</v>
      </c>
      <c r="X56" s="133" t="s">
        <v>1429</v>
      </c>
      <c r="Y56" s="133" t="s">
        <v>1429</v>
      </c>
      <c r="Z56" s="33"/>
    </row>
    <row r="57" spans="1:26">
      <c r="A57" s="127"/>
      <c r="B57" s="99" t="s">
        <v>25</v>
      </c>
      <c r="C57" s="100">
        <v>2.5134810170421851E-3</v>
      </c>
      <c r="D57" s="101">
        <v>0.99999999999999989</v>
      </c>
      <c r="E57" s="102">
        <v>5.8494869211938694E-2</v>
      </c>
      <c r="F57" s="103">
        <v>1</v>
      </c>
      <c r="G57" s="100">
        <v>6.3391632617757265E-2</v>
      </c>
      <c r="H57" s="101">
        <v>1.0000000000000002</v>
      </c>
      <c r="I57" s="102" t="s">
        <v>1409</v>
      </c>
      <c r="J57" s="104" t="s">
        <v>1409</v>
      </c>
      <c r="K57" s="133" t="s">
        <v>1429</v>
      </c>
      <c r="L57" s="133" t="s">
        <v>1429</v>
      </c>
      <c r="M57" s="133" t="s">
        <v>1429</v>
      </c>
      <c r="N57" s="133" t="s">
        <v>1429</v>
      </c>
      <c r="O57" s="133" t="s">
        <v>1429</v>
      </c>
      <c r="P57" s="133" t="s">
        <v>1429</v>
      </c>
      <c r="Q57" s="133" t="s">
        <v>1429</v>
      </c>
      <c r="R57" s="133" t="s">
        <v>1429</v>
      </c>
      <c r="S57" s="133" t="s">
        <v>1429</v>
      </c>
      <c r="T57" s="133" t="s">
        <v>1429</v>
      </c>
      <c r="U57" s="133" t="s">
        <v>1429</v>
      </c>
      <c r="V57" s="133" t="s">
        <v>1429</v>
      </c>
      <c r="W57" s="133" t="s">
        <v>1429</v>
      </c>
      <c r="X57" s="133" t="s">
        <v>1429</v>
      </c>
      <c r="Y57" s="133" t="s">
        <v>1429</v>
      </c>
      <c r="Z57" s="33"/>
    </row>
    <row r="58" spans="1:26">
      <c r="A58" s="127"/>
      <c r="B58" s="105" t="s">
        <v>24</v>
      </c>
      <c r="C58" s="106">
        <v>43.296470000000113</v>
      </c>
      <c r="D58" s="130"/>
      <c r="E58" s="107">
        <v>997.00594000000012</v>
      </c>
      <c r="F58" s="130"/>
      <c r="G58" s="106">
        <v>1080.4384300000002</v>
      </c>
      <c r="H58" s="130"/>
      <c r="I58" s="107" t="s">
        <v>1409</v>
      </c>
      <c r="J58" s="134"/>
      <c r="K58" s="133" t="s">
        <v>1429</v>
      </c>
      <c r="L58" s="133" t="s">
        <v>1429</v>
      </c>
      <c r="M58" s="133" t="s">
        <v>1429</v>
      </c>
      <c r="N58" s="133" t="s">
        <v>1429</v>
      </c>
      <c r="O58" s="133" t="s">
        <v>1429</v>
      </c>
      <c r="P58" s="133" t="s">
        <v>1429</v>
      </c>
      <c r="Q58" s="133" t="s">
        <v>1429</v>
      </c>
      <c r="R58" s="133" t="s">
        <v>1429</v>
      </c>
      <c r="S58" s="133" t="s">
        <v>1429</v>
      </c>
      <c r="T58" s="133" t="s">
        <v>1429</v>
      </c>
      <c r="U58" s="133" t="s">
        <v>1429</v>
      </c>
      <c r="V58" s="133" t="s">
        <v>1429</v>
      </c>
      <c r="W58" s="133" t="s">
        <v>1429</v>
      </c>
      <c r="X58" s="133" t="s">
        <v>1429</v>
      </c>
      <c r="Y58" s="133" t="s">
        <v>1429</v>
      </c>
      <c r="Z58" s="33"/>
    </row>
    <row r="59" spans="1:26">
      <c r="A59" s="127"/>
      <c r="B59" s="131"/>
      <c r="C59" s="132"/>
      <c r="D59" s="132"/>
      <c r="E59" s="132"/>
      <c r="F59" s="132"/>
      <c r="G59" s="132"/>
      <c r="H59" s="132"/>
      <c r="I59" s="132"/>
      <c r="J59" s="135"/>
      <c r="K59" s="133" t="s">
        <v>1429</v>
      </c>
      <c r="L59" s="133" t="s">
        <v>1429</v>
      </c>
      <c r="M59" s="133" t="s">
        <v>1429</v>
      </c>
      <c r="N59" s="133" t="s">
        <v>1429</v>
      </c>
      <c r="O59" s="133" t="s">
        <v>1429</v>
      </c>
      <c r="P59" s="133" t="s">
        <v>1429</v>
      </c>
      <c r="Q59" s="133" t="s">
        <v>1429</v>
      </c>
      <c r="R59" s="133" t="s">
        <v>1429</v>
      </c>
      <c r="S59" s="133" t="s">
        <v>1429</v>
      </c>
      <c r="T59" s="133" t="s">
        <v>1429</v>
      </c>
      <c r="U59" s="133" t="s">
        <v>1429</v>
      </c>
      <c r="V59" s="133" t="s">
        <v>1429</v>
      </c>
      <c r="W59" s="133" t="s">
        <v>1429</v>
      </c>
      <c r="X59" s="133" t="s">
        <v>1429</v>
      </c>
      <c r="Y59" s="133" t="s">
        <v>1429</v>
      </c>
      <c r="Z59" s="33"/>
    </row>
    <row r="60" spans="1:26">
      <c r="A60" s="127"/>
      <c r="B60" s="91" t="s">
        <v>19</v>
      </c>
      <c r="C60" s="110">
        <v>1.3458378006151628E-2</v>
      </c>
      <c r="D60" s="111">
        <v>0.81911062871255336</v>
      </c>
      <c r="E60" s="112">
        <v>3.062351344934082E-2</v>
      </c>
      <c r="F60" s="113">
        <v>0.81167867580317665</v>
      </c>
      <c r="G60" s="110">
        <v>3.249720387529198E-2</v>
      </c>
      <c r="H60" s="111">
        <v>0.81007441965206306</v>
      </c>
      <c r="I60" s="112" t="s">
        <v>1409</v>
      </c>
      <c r="J60" s="114" t="s">
        <v>1409</v>
      </c>
      <c r="K60" s="133" t="s">
        <v>1429</v>
      </c>
      <c r="L60" s="133" t="s">
        <v>1429</v>
      </c>
      <c r="M60" s="133" t="s">
        <v>1429</v>
      </c>
      <c r="N60" s="133" t="s">
        <v>1429</v>
      </c>
      <c r="O60" s="133" t="s">
        <v>1429</v>
      </c>
      <c r="P60" s="133" t="s">
        <v>1429</v>
      </c>
      <c r="Q60" s="133" t="s">
        <v>1429</v>
      </c>
      <c r="R60" s="133" t="s">
        <v>1429</v>
      </c>
      <c r="S60" s="133" t="s">
        <v>1429</v>
      </c>
      <c r="T60" s="133" t="s">
        <v>1429</v>
      </c>
      <c r="U60" s="133" t="s">
        <v>1429</v>
      </c>
      <c r="V60" s="133" t="s">
        <v>1429</v>
      </c>
      <c r="W60" s="133" t="s">
        <v>1429</v>
      </c>
      <c r="X60" s="133" t="s">
        <v>1429</v>
      </c>
      <c r="Y60" s="133" t="s">
        <v>1429</v>
      </c>
      <c r="Z60" s="33"/>
    </row>
    <row r="61" spans="1:26">
      <c r="A61" s="127"/>
      <c r="B61" s="98" t="s">
        <v>20</v>
      </c>
      <c r="C61" s="92">
        <v>-1.0944896989109443E-2</v>
      </c>
      <c r="D61" s="93">
        <v>0.18088937128744667</v>
      </c>
      <c r="E61" s="94">
        <v>2.7871355762597874E-2</v>
      </c>
      <c r="F61" s="95">
        <v>0.18832132419682326</v>
      </c>
      <c r="G61" s="92">
        <v>3.0894428742465289E-2</v>
      </c>
      <c r="H61" s="93">
        <v>0.18992558034793694</v>
      </c>
      <c r="I61" s="94" t="s">
        <v>1409</v>
      </c>
      <c r="J61" s="96" t="s">
        <v>1409</v>
      </c>
      <c r="K61" s="133" t="s">
        <v>1429</v>
      </c>
      <c r="L61" s="133" t="s">
        <v>1429</v>
      </c>
      <c r="M61" s="133" t="s">
        <v>1429</v>
      </c>
      <c r="N61" s="133" t="s">
        <v>1429</v>
      </c>
      <c r="O61" s="133" t="s">
        <v>1429</v>
      </c>
      <c r="P61" s="133" t="s">
        <v>1429</v>
      </c>
      <c r="Q61" s="133" t="s">
        <v>1429</v>
      </c>
      <c r="R61" s="133" t="s">
        <v>1429</v>
      </c>
      <c r="S61" s="133" t="s">
        <v>1429</v>
      </c>
      <c r="T61" s="133" t="s">
        <v>1429</v>
      </c>
      <c r="U61" s="133" t="s">
        <v>1429</v>
      </c>
      <c r="V61" s="133" t="s">
        <v>1429</v>
      </c>
      <c r="W61" s="133" t="s">
        <v>1429</v>
      </c>
      <c r="X61" s="133" t="s">
        <v>1429</v>
      </c>
      <c r="Y61" s="133" t="s">
        <v>1429</v>
      </c>
      <c r="Z61" s="33"/>
    </row>
    <row r="62" spans="1:26">
      <c r="A62" s="127"/>
      <c r="B62" s="99" t="s">
        <v>25</v>
      </c>
      <c r="C62" s="100">
        <v>2.5134810170421851E-3</v>
      </c>
      <c r="D62" s="101">
        <v>1</v>
      </c>
      <c r="E62" s="102">
        <v>5.8494869211938694E-2</v>
      </c>
      <c r="F62" s="103">
        <v>0.99999999999999989</v>
      </c>
      <c r="G62" s="100">
        <v>6.3391632617757265E-2</v>
      </c>
      <c r="H62" s="101">
        <v>1</v>
      </c>
      <c r="I62" s="102" t="s">
        <v>1409</v>
      </c>
      <c r="J62" s="104" t="s">
        <v>1409</v>
      </c>
      <c r="K62" s="133" t="s">
        <v>1429</v>
      </c>
      <c r="L62" s="133" t="s">
        <v>1429</v>
      </c>
      <c r="M62" s="133" t="s">
        <v>1429</v>
      </c>
      <c r="N62" s="133" t="s">
        <v>1429</v>
      </c>
      <c r="O62" s="133" t="s">
        <v>1429</v>
      </c>
      <c r="P62" s="133" t="s">
        <v>1429</v>
      </c>
      <c r="Q62" s="133" t="s">
        <v>1429</v>
      </c>
      <c r="R62" s="133" t="s">
        <v>1429</v>
      </c>
      <c r="S62" s="133" t="s">
        <v>1429</v>
      </c>
      <c r="T62" s="133" t="s">
        <v>1429</v>
      </c>
      <c r="U62" s="133" t="s">
        <v>1429</v>
      </c>
      <c r="V62" s="133" t="s">
        <v>1429</v>
      </c>
      <c r="W62" s="133" t="s">
        <v>1429</v>
      </c>
      <c r="X62" s="133" t="s">
        <v>1429</v>
      </c>
      <c r="Y62" s="133" t="s">
        <v>1429</v>
      </c>
      <c r="Z62" s="33"/>
    </row>
    <row r="63" spans="1:26">
      <c r="A63" s="127"/>
      <c r="B63" s="131"/>
      <c r="C63" s="132"/>
      <c r="D63" s="132"/>
      <c r="E63" s="132"/>
      <c r="F63" s="132"/>
      <c r="G63" s="132"/>
      <c r="H63" s="132"/>
      <c r="I63" s="132"/>
      <c r="J63" s="135"/>
      <c r="K63" s="133" t="s">
        <v>1429</v>
      </c>
      <c r="L63" s="133" t="s">
        <v>1429</v>
      </c>
      <c r="M63" s="133" t="s">
        <v>1429</v>
      </c>
      <c r="N63" s="133" t="s">
        <v>1429</v>
      </c>
      <c r="O63" s="133" t="s">
        <v>1429</v>
      </c>
      <c r="P63" s="133" t="s">
        <v>1429</v>
      </c>
      <c r="Q63" s="133" t="s">
        <v>1429</v>
      </c>
      <c r="R63" s="133" t="s">
        <v>1429</v>
      </c>
      <c r="S63" s="133" t="s">
        <v>1429</v>
      </c>
      <c r="T63" s="133" t="s">
        <v>1429</v>
      </c>
      <c r="U63" s="133" t="s">
        <v>1429</v>
      </c>
      <c r="V63" s="133" t="s">
        <v>1429</v>
      </c>
      <c r="W63" s="133" t="s">
        <v>1429</v>
      </c>
      <c r="X63" s="133" t="s">
        <v>1429</v>
      </c>
      <c r="Y63" s="133" t="s">
        <v>1429</v>
      </c>
      <c r="Z63" s="33"/>
    </row>
    <row r="64" spans="1:26">
      <c r="A64" s="127"/>
      <c r="B64" s="91" t="s">
        <v>21</v>
      </c>
      <c r="C64" s="110">
        <v>2.6185228417001704E-3</v>
      </c>
      <c r="D64" s="111">
        <v>0.99252281935436082</v>
      </c>
      <c r="E64" s="112">
        <v>5.4472763090283108E-2</v>
      </c>
      <c r="F64" s="113">
        <v>0.9925157815432456</v>
      </c>
      <c r="G64" s="110">
        <v>5.9882542898851726E-2</v>
      </c>
      <c r="H64" s="111">
        <v>0.9940466064139426</v>
      </c>
      <c r="I64" s="112" t="s">
        <v>1409</v>
      </c>
      <c r="J64" s="114" t="s">
        <v>1409</v>
      </c>
      <c r="K64" s="133" t="s">
        <v>1429</v>
      </c>
      <c r="L64" s="133" t="s">
        <v>1429</v>
      </c>
      <c r="M64" s="133" t="s">
        <v>1429</v>
      </c>
      <c r="N64" s="133" t="s">
        <v>1429</v>
      </c>
      <c r="O64" s="133" t="s">
        <v>1429</v>
      </c>
      <c r="P64" s="133" t="s">
        <v>1429</v>
      </c>
      <c r="Q64" s="133" t="s">
        <v>1429</v>
      </c>
      <c r="R64" s="133" t="s">
        <v>1429</v>
      </c>
      <c r="S64" s="133" t="s">
        <v>1429</v>
      </c>
      <c r="T64" s="133" t="s">
        <v>1429</v>
      </c>
      <c r="U64" s="133" t="s">
        <v>1429</v>
      </c>
      <c r="V64" s="133" t="s">
        <v>1429</v>
      </c>
      <c r="W64" s="133" t="s">
        <v>1429</v>
      </c>
      <c r="X64" s="133" t="s">
        <v>1429</v>
      </c>
      <c r="Y64" s="133" t="s">
        <v>1429</v>
      </c>
      <c r="Z64" s="33"/>
    </row>
    <row r="65" spans="1:26">
      <c r="A65" s="127"/>
      <c r="B65" s="98" t="s">
        <v>22</v>
      </c>
      <c r="C65" s="92">
        <v>-1.0504182465798545E-4</v>
      </c>
      <c r="D65" s="93">
        <v>7.4771806456392269E-3</v>
      </c>
      <c r="E65" s="94">
        <v>4.0221061216555894E-3</v>
      </c>
      <c r="F65" s="95">
        <v>7.4842184567544615E-3</v>
      </c>
      <c r="G65" s="92">
        <v>3.5090897189055427E-3</v>
      </c>
      <c r="H65" s="93">
        <v>5.9533935860575119E-3</v>
      </c>
      <c r="I65" s="94" t="s">
        <v>1409</v>
      </c>
      <c r="J65" s="96" t="s">
        <v>1409</v>
      </c>
      <c r="K65" s="133" t="s">
        <v>1429</v>
      </c>
      <c r="L65" s="133" t="s">
        <v>1429</v>
      </c>
      <c r="M65" s="133" t="s">
        <v>1429</v>
      </c>
      <c r="N65" s="133" t="s">
        <v>1429</v>
      </c>
      <c r="O65" s="133" t="s">
        <v>1429</v>
      </c>
      <c r="P65" s="133" t="s">
        <v>1429</v>
      </c>
      <c r="Q65" s="133" t="s">
        <v>1429</v>
      </c>
      <c r="R65" s="133" t="s">
        <v>1429</v>
      </c>
      <c r="S65" s="133" t="s">
        <v>1429</v>
      </c>
      <c r="T65" s="133" t="s">
        <v>1429</v>
      </c>
      <c r="U65" s="133" t="s">
        <v>1429</v>
      </c>
      <c r="V65" s="133" t="s">
        <v>1429</v>
      </c>
      <c r="W65" s="133" t="s">
        <v>1429</v>
      </c>
      <c r="X65" s="133" t="s">
        <v>1429</v>
      </c>
      <c r="Y65" s="133" t="s">
        <v>1429</v>
      </c>
      <c r="Z65" s="33"/>
    </row>
    <row r="66" spans="1:26">
      <c r="A66" s="127"/>
      <c r="B66" s="115" t="s">
        <v>25</v>
      </c>
      <c r="C66" s="116">
        <v>2.5134810170421851E-3</v>
      </c>
      <c r="D66" s="117">
        <v>1</v>
      </c>
      <c r="E66" s="118">
        <v>5.8494869211938694E-2</v>
      </c>
      <c r="F66" s="119">
        <v>1</v>
      </c>
      <c r="G66" s="116">
        <v>6.3391632617757265E-2</v>
      </c>
      <c r="H66" s="117">
        <v>1.0000000000000002</v>
      </c>
      <c r="I66" s="118" t="s">
        <v>1409</v>
      </c>
      <c r="J66" s="120" t="s">
        <v>1409</v>
      </c>
      <c r="K66" s="133" t="s">
        <v>1429</v>
      </c>
      <c r="L66" s="133" t="s">
        <v>1429</v>
      </c>
      <c r="M66" s="133" t="s">
        <v>1429</v>
      </c>
      <c r="N66" s="133" t="s">
        <v>1429</v>
      </c>
      <c r="O66" s="133" t="s">
        <v>1429</v>
      </c>
      <c r="P66" s="133" t="s">
        <v>1429</v>
      </c>
      <c r="Q66" s="133" t="s">
        <v>1429</v>
      </c>
      <c r="R66" s="133" t="s">
        <v>1429</v>
      </c>
      <c r="S66" s="133" t="s">
        <v>1429</v>
      </c>
      <c r="T66" s="133" t="s">
        <v>1429</v>
      </c>
      <c r="U66" s="133" t="s">
        <v>1429</v>
      </c>
      <c r="V66" s="133" t="s">
        <v>1429</v>
      </c>
      <c r="W66" s="133" t="s">
        <v>1429</v>
      </c>
      <c r="X66" s="133" t="s">
        <v>1429</v>
      </c>
      <c r="Y66" s="133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3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 ht="15">
      <c r="G708" s="73">
        <v>15055</v>
      </c>
      <c r="H708" s="70" t="s">
        <v>86</v>
      </c>
      <c r="I708" s="70" t="s">
        <v>1424</v>
      </c>
      <c r="J708" s="70" t="s">
        <v>116</v>
      </c>
      <c r="K708" s="71">
        <v>512237744</v>
      </c>
      <c r="L708" s="35" t="s">
        <v>88</v>
      </c>
    </row>
    <row r="709" spans="7:12" ht="15">
      <c r="G709" s="73">
        <v>15452</v>
      </c>
      <c r="H709" s="70" t="s">
        <v>86</v>
      </c>
      <c r="I709" s="70" t="s">
        <v>1425</v>
      </c>
      <c r="J709" s="70" t="s">
        <v>116</v>
      </c>
      <c r="K709" s="71">
        <v>512237744</v>
      </c>
      <c r="L709" s="35" t="s">
        <v>88</v>
      </c>
    </row>
    <row r="710" spans="7:12" ht="15">
      <c r="G710" s="73">
        <v>15453</v>
      </c>
      <c r="H710" s="70" t="s">
        <v>86</v>
      </c>
      <c r="I710" s="70" t="s">
        <v>1426</v>
      </c>
      <c r="J710" s="70" t="s">
        <v>116</v>
      </c>
      <c r="K710" s="71">
        <v>512237744</v>
      </c>
      <c r="L710" s="35" t="s">
        <v>88</v>
      </c>
    </row>
    <row r="711" spans="7:12" ht="15.75" hidden="1" thickBot="1">
      <c r="G711" s="74">
        <v>15454</v>
      </c>
      <c r="H711" s="70" t="s">
        <v>86</v>
      </c>
      <c r="I711" s="70" t="s">
        <v>1427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2026-10-26T08:41:11Z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