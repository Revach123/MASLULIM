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workbookProtection workbookPassword="8F07" lockStructure="1"/>
  <bookViews>
    <workbookView xWindow="-120" yWindow="-120" windowWidth="19350" windowHeight="10950" activeTab="1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_xlnm.Print_Area" localSheetId="0">הנחיות!$A$1:$D$26</definedName>
    <definedName name="_xlnm.Print_Area" localSheetId="1">'פרסום מרכיבי תשואה'!$B$1:$Z$66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Year">[1]הנחיות!$I$4:$I$19</definedName>
    <definedName name="Years" localSheetId="2">Var!$Z$4:$Z$19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B3" i="8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Y5" i="5"/>
  <c r="E5" i="5"/>
  <c r="C5" i="5"/>
  <c r="C2" i="5"/>
  <c r="C20" i="6"/>
  <c r="AA9" i="8" l="1"/>
  <c r="AA8" i="8"/>
  <c r="AA7" i="8"/>
  <c r="AA6" i="8"/>
  <c r="AC3" i="8" s="1"/>
  <c r="B24" i="6"/>
  <c r="B25" i="6"/>
  <c r="B23" i="6"/>
  <c r="C3" i="5" l="1"/>
  <c r="C4" i="5"/>
  <c r="B26" i="6"/>
</calcChain>
</file>

<file path=xl/sharedStrings.xml><?xml version="1.0" encoding="utf-8"?>
<sst xmlns="http://schemas.openxmlformats.org/spreadsheetml/2006/main" count="5549" uniqueCount="1418">
  <si>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</si>
  <si>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</si>
  <si>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</si>
  <si>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</si>
  <si>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</si>
  <si>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</si>
  <si>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</si>
  <si>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</si>
  <si>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</si>
  <si>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</si>
  <si>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</si>
  <si>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</si>
  <si>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</si>
  <si>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</si>
  <si>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</si>
  <si>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</si>
  <si>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</si>
  <si>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</si>
  <si>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</si>
  <si>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</si>
  <si>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</si>
  <si>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</si>
  <si>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</si>
  <si>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</si>
  <si>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</si>
  <si>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</si>
  <si>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</si>
  <si>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</si>
  <si>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</si>
  <si>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</si>
  <si>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</si>
  <si>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</si>
  <si>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</si>
  <si>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</si>
  <si>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</si>
  <si>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</si>
  <si>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</si>
  <si>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</si>
  <si>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</si>
  <si>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</si>
  <si>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</si>
  <si>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</si>
  <si>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</si>
  <si>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</si>
  <si>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</si>
  <si>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</si>
  <si>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</si>
  <si>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</si>
  <si>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</si>
  <si>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</si>
  <si>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</si>
  <si>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</si>
  <si>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</si>
  <si>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</si>
  <si>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</si>
  <si>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</si>
  <si>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</si>
  <si>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</si>
  <si>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</si>
  <si>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</si>
  <si>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</si>
  <si>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</si>
  <si>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</si>
  <si>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</si>
  <si>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</si>
  <si>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</si>
  <si>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</si>
  <si>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</si>
  <si>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</si>
  <si>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</si>
  <si>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</si>
  <si>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</si>
  <si>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</si>
  <si>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</si>
  <si>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</si>
  <si>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</si>
  <si>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</si>
  <si>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</si>
  <si>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</si>
  <si>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</si>
  <si>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</si>
  <si>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</si>
  <si>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</si>
  <si>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</si>
  <si>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</si>
  <si>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</si>
  <si>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</si>
  <si>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</si>
  <si>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</si>
  <si>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</si>
  <si>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</si>
  <si>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</si>
  <si>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</si>
  <si>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</si>
  <si>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</si>
  <si>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</si>
  <si>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</si>
  <si>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</si>
  <si>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</si>
  <si>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</si>
  <si>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</si>
  <si>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</si>
  <si>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</si>
  <si>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</si>
  <si>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</si>
  <si>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</si>
  <si>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</si>
  <si>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</si>
  <si>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</si>
  <si>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</si>
  <si>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</si>
  <si>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</si>
  <si>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</si>
  <si>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</si>
  <si>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</si>
  <si>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</si>
  <si>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</si>
  <si>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</si>
  <si>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</si>
  <si>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</si>
  <si>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</si>
  <si>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</si>
  <si>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</si>
  <si>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</si>
  <si>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</si>
  <si>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</si>
  <si>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</si>
  <si>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</si>
  <si>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</si>
  <si>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</si>
  <si>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</si>
  <si>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</si>
  <si>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</si>
  <si>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</si>
  <si>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</si>
  <si>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</si>
  <si>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</si>
  <si>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</si>
  <si>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</si>
  <si>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</si>
  <si>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</si>
  <si>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</si>
  <si>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</si>
  <si>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</si>
  <si>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</si>
  <si>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</si>
  <si>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</si>
  <si>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</si>
  <si>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</si>
  <si>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</si>
  <si>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</si>
  <si>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</si>
  <si>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</si>
  <si>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</si>
  <si>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</si>
  <si>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</si>
  <si>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</si>
  <si>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</si>
  <si>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</si>
  <si>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</si>
  <si>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</si>
  <si>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</si>
  <si>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</si>
  <si>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</si>
  <si>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</si>
  <si>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</si>
  <si>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</si>
  <si>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</si>
  <si>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</si>
  <si>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</si>
  <si>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</si>
  <si>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</si>
  <si>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</si>
  <si>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</si>
  <si>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</si>
  <si>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</si>
  <si>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</si>
  <si>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</si>
  <si>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</si>
  <si>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</si>
  <si>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</si>
  <si>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</si>
  <si>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</si>
  <si>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</si>
  <si>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</si>
  <si>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</si>
  <si>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</si>
  <si>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</si>
  <si>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</si>
  <si>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</si>
  <si>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</si>
  <si>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</si>
  <si>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</si>
  <si>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</si>
  <si>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</si>
  <si>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</si>
  <si>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</si>
  <si>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</si>
  <si>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</si>
  <si>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</si>
  <si>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</si>
  <si>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</si>
  <si>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</si>
  <si>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</si>
  <si>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</si>
  <si>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</si>
  <si>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</si>
  <si>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</si>
  <si>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</si>
  <si>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</si>
  <si>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</si>
  <si>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</si>
  <si>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</si>
  <si>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</si>
  <si>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</si>
  <si>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</si>
  <si>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</si>
  <si>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</si>
  <si>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</si>
  <si>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</si>
  <si>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</si>
  <si>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</si>
  <si>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</si>
  <si>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</si>
  <si>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</si>
  <si>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</si>
  <si>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</si>
  <si>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</si>
  <si>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</si>
  <si>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</si>
  <si>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</si>
  <si>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</si>
  <si>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</si>
  <si>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</si>
  <si>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</si>
  <si>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</si>
  <si>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</si>
  <si>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</si>
  <si>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</si>
  <si>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</si>
  <si>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</si>
  <si>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</si>
  <si>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</si>
  <si>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</si>
  <si>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</si>
  <si>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</si>
  <si>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</si>
  <si>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</si>
  <si>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</si>
  <si>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</si>
  <si>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</si>
  <si>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</si>
  <si>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</si>
  <si>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</si>
  <si>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</si>
  <si>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</si>
  <si>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</si>
  <si>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</si>
  <si>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</si>
  <si>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</si>
  <si>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</si>
  <si>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</si>
  <si>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</si>
  <si>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</si>
  <si>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</si>
  <si>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</si>
  <si>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</si>
  <si>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</si>
  <si>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</si>
  <si>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</si>
  <si>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</si>
  <si>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</si>
  <si>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</si>
  <si>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</si>
  <si>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</si>
  <si>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</si>
  <si>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</si>
  <si>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</si>
  <si>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</si>
  <si>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</si>
  <si>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</si>
  <si>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</si>
  <si>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</si>
  <si>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</si>
  <si>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</si>
  <si>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</si>
  <si>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</si>
  <si>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</si>
  <si>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</si>
  <si>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</si>
  <si>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</si>
  <si>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</si>
  <si>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</si>
  <si>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</si>
  <si>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</si>
  <si>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</si>
  <si>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</si>
  <si>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</si>
  <si>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</si>
  <si>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</si>
  <si>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</si>
  <si>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</si>
  <si>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</si>
  <si>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</si>
  <si>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</si>
  <si>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</si>
  <si>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</si>
  <si>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</si>
  <si>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</si>
  <si>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</si>
  <si>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</si>
  <si>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</si>
  <si>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</si>
  <si>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</si>
  <si>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</si>
  <si>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</si>
  <si>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</si>
  <si>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</si>
  <si>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</si>
  <si>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</si>
  <si>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</si>
  <si>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</si>
  <si>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</si>
  <si>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</si>
  <si>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</si>
  <si>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</si>
  <si>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</si>
  <si>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</si>
  <si>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</si>
  <si>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</si>
  <si>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</si>
  <si>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</si>
  <si>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</si>
  <si>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</si>
  <si>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</si>
  <si>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</si>
  <si>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</si>
  <si>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</si>
  <si>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</si>
  <si>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</si>
  <si>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</si>
  <si>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</si>
  <si>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</si>
  <si>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</si>
  <si>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</si>
  <si>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</si>
  <si>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</si>
  <si>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</si>
  <si>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</si>
  <si>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</si>
  <si>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</si>
  <si>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</si>
  <si>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</si>
  <si>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</si>
  <si>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</si>
  <si>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</si>
  <si>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</si>
  <si>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</si>
  <si>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</si>
  <si>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</si>
  <si>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</si>
  <si>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</si>
  <si>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</si>
  <si>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</si>
  <si>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</si>
  <si>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</si>
  <si>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</si>
  <si>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</si>
  <si>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</si>
  <si>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</si>
  <si>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</si>
  <si>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</si>
  <si>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</si>
  <si>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</si>
  <si>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</si>
  <si>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</si>
  <si>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</si>
  <si>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</si>
  <si>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</si>
  <si>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</si>
  <si>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</si>
  <si>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</si>
  <si>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</si>
  <si>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</si>
  <si>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</si>
  <si>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</si>
  <si>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</si>
  <si>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</si>
  <si>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</si>
  <si>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</si>
  <si>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</si>
  <si>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</si>
  <si>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</si>
  <si>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</si>
  <si>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</si>
  <si>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</si>
  <si>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</si>
  <si>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</si>
  <si>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</si>
  <si>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</si>
  <si>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</si>
  <si>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</si>
  <si>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</si>
  <si>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</si>
  <si>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</si>
  <si>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</si>
  <si>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</si>
  <si>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</si>
  <si>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</si>
  <si>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</si>
  <si>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</si>
  <si>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</si>
  <si>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</si>
  <si>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</si>
  <si>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</si>
  <si>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</si>
  <si>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</si>
  <si>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</si>
  <si>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</si>
  <si>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</si>
  <si>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</si>
  <si>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</si>
  <si>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</si>
  <si>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</si>
  <si>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</si>
  <si>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</si>
  <si>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</si>
  <si>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</si>
  <si>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</si>
  <si>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</si>
  <si>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</si>
  <si>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</si>
  <si>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</si>
  <si>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</si>
  <si>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</si>
  <si>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</si>
  <si>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</si>
  <si>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</si>
  <si>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</si>
  <si>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</si>
  <si>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</si>
  <si>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</si>
  <si>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</si>
  <si>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</si>
  <si>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</si>
  <si>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</si>
  <si>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</si>
  <si>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</si>
  <si>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</si>
  <si>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</si>
  <si>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</si>
  <si>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</si>
  <si>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</si>
  <si>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</si>
  <si>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</si>
  <si>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</si>
  <si>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</si>
  <si>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</si>
  <si>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</si>
  <si>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</si>
  <si>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</si>
  <si>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</si>
  <si>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</si>
  <si>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</si>
  <si>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</si>
  <si>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</si>
  <si>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</si>
  <si>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</si>
  <si>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</si>
  <si>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</si>
  <si>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</si>
  <si>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</si>
  <si>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</si>
  <si>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</si>
  <si>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</si>
  <si>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</si>
  <si>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</si>
  <si>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</si>
  <si>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</si>
  <si>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</si>
  <si>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</si>
  <si>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</si>
  <si>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</si>
  <si>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</si>
  <si>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</si>
  <si>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</si>
  <si>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</si>
  <si>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</si>
  <si>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</si>
  <si>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</si>
  <si>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</si>
  <si>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</si>
  <si>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</si>
  <si>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</si>
  <si>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</si>
  <si>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</si>
  <si>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</si>
  <si>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</si>
  <si>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</si>
  <si>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</si>
  <si>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</si>
  <si>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</si>
  <si>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</si>
  <si>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</si>
  <si>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</si>
  <si>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</si>
  <si>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</si>
  <si>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</si>
  <si>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</si>
  <si>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</si>
  <si>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</si>
  <si>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</si>
  <si>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</si>
  <si>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</si>
  <si>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</si>
  <si>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</si>
  <si>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</si>
  <si>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</si>
  <si>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</si>
  <si>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</si>
  <si>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</si>
  <si>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</si>
  <si>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</si>
  <si>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</si>
  <si>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</si>
  <si>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</si>
  <si>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</si>
  <si>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</si>
  <si>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</si>
  <si>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</si>
  <si>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</si>
  <si>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</si>
  <si>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</si>
  <si>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</si>
  <si>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</si>
  <si>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</si>
  <si>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</si>
  <si>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</si>
  <si>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</si>
  <si>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</si>
  <si>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</si>
  <si>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</si>
  <si>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</si>
  <si>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</si>
  <si>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</si>
  <si>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</si>
  <si>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</si>
  <si>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</si>
  <si>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</si>
  <si>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</si>
  <si>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</si>
  <si>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</si>
  <si>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</si>
  <si>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</si>
  <si>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</si>
  <si>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</si>
  <si>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</si>
  <si>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</si>
  <si>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</si>
  <si>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</si>
  <si>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</si>
  <si>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</si>
  <si>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</si>
  <si>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</si>
  <si>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</si>
  <si>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</si>
  <si>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</si>
  <si>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</si>
  <si>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</si>
  <si>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</si>
  <si>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</si>
  <si>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</si>
  <si>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</si>
  <si>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</si>
  <si>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</si>
  <si>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</si>
  <si>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</si>
  <si>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</si>
  <si>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</si>
  <si>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</si>
  <si>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</si>
  <si>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</si>
  <si>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</si>
  <si>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</si>
  <si>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</si>
  <si>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</si>
  <si>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</si>
  <si>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</si>
  <si>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</si>
  <si>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</si>
  <si>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</si>
  <si>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</si>
  <si>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</si>
  <si>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</si>
  <si>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</si>
  <si>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</si>
  <si>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</si>
  <si>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</si>
  <si>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</si>
  <si>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</si>
  <si>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</si>
  <si>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</si>
  <si>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</si>
  <si>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</si>
  <si>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</si>
  <si>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</si>
  <si>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</si>
  <si>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</si>
  <si>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</si>
  <si>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</si>
  <si>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</si>
  <si>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</si>
  <si>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</si>
  <si>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</si>
  <si>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</si>
  <si>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</si>
  <si>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</si>
  <si>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</si>
  <si>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</si>
  <si>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</si>
  <si>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</si>
  <si>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</si>
  <si>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</si>
  <si>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</si>
  <si>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</si>
  <si>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</si>
  <si>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</si>
  <si>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</si>
  <si>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</si>
  <si>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</si>
  <si>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</si>
  <si>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</si>
  <si>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</si>
  <si>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</si>
  <si>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</si>
  <si>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</si>
  <si>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</si>
  <si>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</si>
  <si>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</si>
  <si>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</si>
  <si>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</si>
  <si>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</si>
  <si>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</si>
  <si>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</si>
  <si>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</si>
  <si>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</si>
  <si>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</si>
  <si>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</si>
  <si>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</si>
  <si>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</si>
  <si>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</si>
  <si>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</si>
  <si>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</si>
  <si>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</si>
  <si>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</si>
  <si>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</si>
  <si>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</si>
  <si>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</si>
  <si>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</si>
  <si>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</si>
  <si>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</si>
  <si>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</si>
  <si>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</si>
  <si>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</si>
  <si>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</si>
  <si>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</si>
  <si>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</si>
  <si>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</si>
  <si>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</si>
  <si>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</si>
  <si>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</si>
  <si>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</si>
  <si>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</si>
  <si>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</si>
  <si>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</si>
  <si>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</si>
  <si>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</si>
  <si>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</si>
  <si>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</si>
  <si>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</si>
  <si>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</si>
  <si>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</si>
  <si>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</si>
  <si>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</si>
  <si>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</si>
  <si>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</si>
  <si>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</si>
  <si>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</si>
  <si>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</si>
  <si>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</si>
  <si>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</si>
  <si>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</si>
  <si>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</si>
  <si>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</si>
  <si>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</si>
  <si>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</si>
  <si>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</si>
  <si>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</si>
  <si>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</si>
  <si>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</si>
  <si>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</si>
  <si>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</si>
  <si>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</si>
  <si>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</si>
  <si>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</si>
  <si>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</si>
  <si>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</si>
  <si>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</si>
  <si>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</si>
  <si>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</si>
  <si>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</si>
  <si>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</si>
  <si>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</si>
  <si>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</si>
  <si>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</si>
  <si>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</si>
  <si>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</si>
  <si>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</si>
  <si>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</si>
  <si>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</si>
  <si>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</si>
  <si>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</si>
  <si>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</si>
  <si>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</si>
  <si>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</si>
  <si>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</si>
  <si>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</si>
  <si>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</si>
  <si>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</si>
  <si>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</si>
  <si>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</si>
  <si>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</si>
  <si>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</si>
  <si>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</si>
  <si>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</si>
  <si>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</si>
  <si>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</si>
  <si>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</si>
  <si>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</si>
  <si>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</si>
  <si>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</si>
  <si>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</si>
  <si>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</si>
  <si>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</si>
  <si>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</si>
  <si>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</si>
  <si>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</si>
  <si>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</si>
  <si>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</si>
  <si>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</si>
  <si>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</si>
  <si>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</si>
  <si>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</si>
  <si>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</si>
  <si>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</si>
  <si>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</si>
  <si>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</si>
  <si>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</si>
  <si>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</si>
  <si>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</si>
  <si>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</si>
  <si>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</si>
  <si>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</si>
  <si>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</si>
  <si>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</si>
  <si>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</si>
  <si>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</si>
  <si>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</si>
  <si>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</si>
  <si>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</si>
  <si>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</si>
  <si>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</si>
  <si>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</si>
  <si>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</si>
  <si>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</si>
  <si>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</si>
  <si>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</si>
  <si>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</si>
  <si>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</si>
  <si>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</si>
  <si>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</si>
  <si>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</si>
  <si>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</si>
  <si>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</si>
  <si>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</si>
  <si>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</si>
  <si>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</si>
  <si>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</si>
  <si>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</si>
  <si>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</si>
  <si>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</si>
  <si>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</si>
  <si>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</si>
  <si>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</si>
  <si>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</si>
  <si>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</si>
  <si>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</si>
  <si>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</si>
  <si>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</si>
  <si>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</si>
  <si>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</si>
  <si>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</si>
  <si>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</si>
  <si>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</si>
  <si>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</si>
  <si>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</si>
  <si>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</si>
  <si>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</si>
  <si>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</si>
  <si>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</si>
  <si>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</si>
  <si>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</si>
  <si>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</si>
  <si>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</si>
  <si>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</si>
  <si>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</si>
  <si>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</si>
  <si>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</si>
  <si>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</si>
  <si>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</si>
  <si>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</si>
  <si>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</si>
  <si>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</si>
  <si>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</si>
  <si>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</si>
  <si>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</si>
  <si>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</si>
  <si>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</si>
  <si>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</si>
  <si>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</si>
  <si>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</si>
  <si>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</si>
  <si>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</si>
  <si>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</si>
  <si>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</si>
  <si>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</si>
  <si>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</si>
  <si>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</si>
  <si>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</si>
  <si>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</si>
  <si>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</si>
  <si>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</si>
  <si>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</si>
  <si>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</si>
  <si>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</si>
  <si>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</si>
  <si>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</si>
  <si>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</si>
  <si>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</si>
  <si>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</si>
  <si>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</si>
  <si>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</si>
  <si>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</si>
  <si>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</si>
  <si>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</si>
  <si>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</si>
  <si>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</si>
  <si>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</si>
  <si>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</si>
  <si>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</si>
  <si>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</si>
  <si>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</si>
  <si>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</si>
  <si>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</si>
  <si>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</si>
  <si>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</si>
  <si>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</si>
  <si>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</si>
  <si>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</si>
  <si>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</si>
  <si>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</si>
  <si>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</si>
  <si>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</si>
  <si>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</si>
  <si>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</si>
  <si>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</si>
  <si>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</si>
  <si>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</si>
  <si>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</si>
  <si>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</si>
  <si>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</si>
  <si>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</si>
  <si>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</si>
  <si>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</si>
  <si>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</si>
  <si>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</si>
  <si>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</si>
  <si>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</si>
  <si>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</si>
  <si>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</si>
  <si>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</si>
  <si>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</si>
  <si>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</si>
  <si>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</si>
  <si>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</si>
  <si>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</si>
  <si>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</si>
  <si>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</si>
  <si>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</si>
  <si>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</si>
  <si>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</si>
  <si>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</si>
  <si>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</si>
  <si>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</si>
  <si>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</si>
  <si>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</si>
  <si>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</si>
  <si>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</si>
  <si>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</si>
  <si>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</si>
  <si>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</si>
  <si>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</si>
  <si>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</si>
  <si>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</si>
  <si>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</si>
  <si>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</si>
  <si>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</si>
  <si>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</si>
  <si>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</si>
  <si>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</si>
  <si>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</si>
  <si>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</si>
  <si>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</si>
  <si>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</si>
  <si>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</si>
  <si>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</si>
  <si>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</si>
  <si>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</si>
  <si>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</si>
  <si>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</si>
  <si>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</si>
  <si>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</si>
  <si>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</si>
  <si>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</si>
  <si>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</si>
  <si>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</si>
  <si>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</si>
  <si>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</si>
  <si>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</si>
  <si>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</si>
  <si>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</si>
  <si>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</si>
  <si>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</si>
  <si>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</si>
  <si>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</si>
  <si>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</si>
  <si>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</si>
  <si>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</si>
  <si>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</si>
  <si>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</si>
  <si>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</si>
  <si>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</si>
  <si>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</si>
  <si>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</si>
  <si>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</si>
  <si>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</si>
  <si>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</si>
  <si>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</si>
  <si>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</si>
  <si>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</si>
  <si>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</si>
  <si>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</si>
  <si>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</si>
  <si>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</si>
  <si>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</si>
  <si>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</si>
  <si>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</si>
  <si>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</si>
  <si>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</si>
  <si>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</si>
  <si>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</si>
  <si>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</si>
  <si>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</si>
  <si>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</si>
  <si>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</si>
  <si>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</si>
  <si>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</si>
  <si>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</si>
  <si>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</si>
  <si>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</si>
  <si>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</si>
  <si>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</si>
  <si>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</si>
  <si>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</si>
  <si>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</si>
  <si>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</si>
  <si>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</si>
  <si>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</si>
  <si>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</si>
  <si>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</si>
  <si>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</si>
  <si>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</si>
  <si>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</si>
  <si>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</si>
  <si>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</si>
  <si>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</si>
  <si>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</si>
  <si>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</si>
  <si>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</si>
  <si>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</si>
  <si>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</si>
  <si>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</si>
  <si>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</si>
  <si>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</si>
  <si>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</si>
  <si>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</si>
  <si>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</si>
  <si>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</si>
  <si>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</si>
  <si>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</si>
  <si>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</si>
  <si>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</si>
  <si>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</si>
  <si>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</si>
  <si>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</si>
  <si>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</si>
  <si>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</si>
  <si>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</si>
  <si>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</si>
  <si>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</si>
  <si>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</si>
  <si>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</si>
  <si>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</si>
  <si>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</si>
  <si>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</si>
  <si>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</si>
  <si>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</si>
  <si>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</si>
  <si>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</si>
  <si>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</si>
  <si>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</si>
  <si>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</si>
  <si>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</si>
  <si>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</si>
  <si>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</si>
  <si>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</si>
  <si>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</si>
  <si>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</si>
  <si>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</si>
  <si>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</si>
  <si>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</si>
  <si>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</si>
  <si>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</si>
  <si>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</si>
  <si>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</si>
  <si>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</si>
  <si>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</si>
  <si>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</si>
  <si>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</si>
  <si>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</si>
  <si>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</si>
  <si>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</si>
  <si>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</si>
  <si>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</si>
  <si>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</si>
  <si>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</si>
  <si>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</si>
  <si>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</si>
  <si>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</si>
  <si>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</si>
  <si>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</si>
  <si>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</si>
  <si>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</si>
  <si>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</si>
  <si>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</si>
  <si>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</si>
  <si>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</si>
  <si>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</si>
  <si>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</si>
  <si>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</si>
  <si>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</si>
  <si>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</si>
  <si>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</si>
  <si>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</si>
  <si>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</si>
  <si>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</si>
  <si>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</si>
  <si>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</si>
  <si>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</si>
  <si>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</si>
  <si>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</si>
  <si>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</si>
  <si>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</si>
  <si>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</si>
  <si>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</si>
  <si>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</si>
  <si>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</si>
  <si>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</si>
  <si>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</si>
  <si>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</si>
  <si>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</si>
  <si>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</si>
  <si>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</si>
  <si>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</si>
  <si>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</si>
  <si>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</si>
  <si>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</si>
  <si>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</si>
  <si>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</si>
  <si>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</si>
  <si>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</si>
  <si>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</si>
  <si>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</si>
  <si>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</si>
  <si>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</si>
  <si>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</si>
  <si>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</si>
  <si>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</si>
  <si>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</si>
  <si>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</si>
  <si>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</si>
  <si>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</si>
  <si>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</si>
  <si>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</si>
  <si>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</si>
  <si>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</si>
  <si>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</si>
  <si>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</si>
  <si>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</si>
  <si>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</si>
  <si>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</si>
  <si>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</si>
  <si>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</si>
  <si>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</si>
  <si>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</si>
  <si>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</si>
  <si>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</si>
  <si>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</si>
  <si>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</si>
  <si>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</si>
  <si>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</si>
  <si>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</si>
  <si>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</si>
  <si>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</si>
  <si>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</si>
  <si>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</si>
  <si>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</si>
  <si>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</si>
  <si>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</si>
  <si>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</si>
  <si>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</si>
  <si>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</si>
  <si>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</si>
  <si>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</si>
  <si>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</si>
  <si>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</si>
  <si>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</si>
  <si>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</si>
  <si>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</si>
  <si>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</si>
  <si>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</si>
  <si>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</si>
  <si>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</si>
  <si>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</si>
  <si>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</si>
  <si>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</si>
  <si>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</si>
  <si>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</si>
  <si>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</si>
  <si>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</si>
  <si>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</si>
  <si>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</si>
  <si>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</si>
  <si>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</si>
  <si>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</si>
  <si>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</si>
  <si>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</si>
  <si>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</si>
  <si>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</si>
  <si>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</si>
  <si>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</si>
  <si>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</si>
  <si>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</si>
  <si>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</si>
  <si>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</si>
  <si>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</si>
  <si>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</si>
  <si>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</si>
  <si>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</si>
  <si>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</si>
  <si>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</si>
  <si>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</si>
  <si>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</si>
  <si>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</si>
  <si>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</si>
  <si>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</si>
  <si>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</si>
  <si>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</si>
  <si>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</si>
  <si>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</si>
  <si>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</si>
  <si>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</si>
  <si>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</si>
  <si>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</si>
  <si>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</si>
  <si>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</si>
  <si>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</si>
  <si>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</si>
  <si>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</si>
  <si>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</si>
  <si>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</si>
  <si>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</si>
  <si>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</si>
  <si>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</si>
  <si>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</si>
  <si>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</si>
  <si>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</si>
  <si>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</si>
  <si>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</si>
  <si>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</si>
  <si>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</si>
  <si>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</si>
  <si>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</si>
  <si>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</si>
  <si>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</si>
  <si>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</si>
  <si>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</si>
  <si>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</si>
  <si>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</si>
  <si>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</si>
  <si>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</si>
  <si>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</si>
  <si>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</si>
  <si>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</si>
  <si>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</si>
  <si>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</si>
  <si>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</si>
  <si>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</si>
  <si>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</si>
  <si>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</si>
  <si>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</si>
  <si>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</si>
  <si>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</si>
  <si>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</si>
  <si>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</si>
  <si>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</si>
  <si>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</si>
  <si>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</si>
  <si>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</si>
  <si>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</si>
  <si>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</si>
  <si>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</si>
  <si>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</si>
  <si>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</si>
  <si>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</si>
  <si>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</si>
  <si>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</si>
  <si>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</si>
  <si>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</si>
  <si>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</si>
  <si>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</si>
  <si>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</si>
  <si>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</si>
  <si>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</si>
  <si>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</si>
  <si>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</si>
  <si>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</si>
  <si>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</si>
  <si>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</si>
  <si>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</si>
  <si>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</si>
  <si>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</si>
  <si>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</si>
  <si>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</si>
  <si>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</si>
  <si>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</si>
  <si>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</si>
  <si>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</si>
  <si>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</si>
  <si>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</si>
  <si>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</si>
  <si>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</si>
  <si>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</si>
  <si>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</si>
  <si>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</si>
  <si>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</si>
  <si>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</si>
  <si>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</si>
  <si>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</si>
  <si>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</si>
  <si>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</si>
  <si>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</si>
  <si>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</si>
  <si>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</si>
  <si>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</si>
  <si>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</si>
  <si>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</si>
  <si>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</si>
  <si>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</si>
  <si>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</si>
  <si>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</si>
  <si>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</si>
  <si>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</si>
  <si>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</si>
  <si>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</si>
  <si>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</si>
  <si>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</si>
  <si>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</si>
  <si>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</si>
  <si>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</si>
  <si>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</si>
  <si>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</si>
  <si>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</si>
  <si>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</si>
  <si>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</si>
  <si>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</si>
  <si>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</si>
  <si>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</si>
  <si>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</si>
  <si>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</si>
  <si>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</si>
  <si>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</si>
  <si>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</si>
  <si>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</si>
  <si>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</si>
  <si>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</si>
  <si>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</si>
  <si>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</si>
  <si>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</si>
  <si>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</si>
  <si>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</si>
  <si>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</si>
  <si>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</si>
  <si>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</si>
  <si>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</si>
  <si>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</si>
  <si>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</si>
  <si>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</si>
  <si>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</si>
  <si>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</si>
  <si>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</si>
  <si>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</si>
  <si>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</si>
  <si>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</si>
  <si>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</si>
  <si>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</si>
  <si>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</si>
  <si>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</si>
  <si>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</si>
  <si>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</si>
  <si>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</si>
  <si>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</si>
  <si>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</si>
  <si>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</si>
  <si>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</si>
  <si>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</si>
  <si>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</si>
  <si>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</si>
  <si>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</si>
  <si>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</si>
  <si>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</si>
  <si>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</si>
  <si>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</si>
  <si>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</si>
  <si>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</si>
  <si>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</si>
  <si>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</si>
  <si>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</si>
  <si>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</si>
  <si>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</si>
  <si>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</si>
  <si>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</si>
  <si>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</si>
  <si>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</si>
  <si>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</si>
  <si>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</si>
  <si>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</si>
  <si>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</si>
  <si>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</si>
  <si>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</si>
  <si>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</si>
  <si>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</si>
  <si>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</si>
  <si>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</si>
  <si>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</si>
  <si>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</si>
  <si>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</si>
  <si>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</si>
  <si>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</si>
  <si>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</si>
  <si>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</si>
  <si>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</si>
  <si>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</si>
  <si>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</si>
  <si>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</si>
  <si>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</si>
  <si>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</si>
  <si>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</si>
  <si>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</si>
  <si>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</si>
  <si>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</si>
  <si>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</si>
  <si>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</si>
  <si>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</si>
  <si>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</si>
  <si>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</si>
  <si>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</si>
  <si>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</si>
  <si>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</si>
  <si>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</si>
  <si>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</si>
  <si>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</si>
  <si>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</si>
  <si>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</si>
  <si>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השתלמות- מסלול פאסיבי- מדדי מניות</t>
  </si>
  <si>
    <t>מגדל גמל להשקעה- מסלול פאסיבי- מדדי מניות</t>
  </si>
  <si>
    <t>מגדל גמל להשקעה- מסלול אשראי ואג"ח</t>
  </si>
  <si>
    <t>31.12.24</t>
  </si>
  <si>
    <t>מגדל השתלמות- מסלול משולב סחיר</t>
  </si>
  <si>
    <t>מגדל השתלמות- מסלול מניות סחיר</t>
  </si>
  <si>
    <t>מגדל השתלמות- מסלול עוקב מדדי אג"ח</t>
  </si>
  <si>
    <t>מגדל לתגמולים ולפיצויים- מסלול הלכה</t>
  </si>
  <si>
    <t>מגדל לתגמולים ולפיצויים- מסלול מניות סחיר</t>
  </si>
  <si>
    <t>מגדל לתגמולים ולפיצויים- מסלול עוקב מדדי אג"ח</t>
  </si>
  <si>
    <t>מגדל גמל להשקעה- מסלול משולב סחיר</t>
  </si>
  <si>
    <t>מגדל גמל להשקעה- מסלול מניות סחיר</t>
  </si>
  <si>
    <t>מגדל גמל להשקעה- מסלול עוקב מדדי אג"ח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</si>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</sst>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5">
    <xf numFmtId="0" fontId="0" fillId="0" borderId="0" xfId="0"/>
    <xf numFmtId="0" fontId="14" fillId="0" borderId="0" xfId="0" applyFont="1" applyAlignment="1">
      <alignment horizontal="right"/>
    </xf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17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7" fontId="0" fillId="0" borderId="2" xfId="0" applyNumberFormat="1" applyBorder="1"/>
    <xf numFmtId="0" fontId="3" fillId="19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9" borderId="21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9" borderId="21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9" borderId="24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9" borderId="30" xfId="1" applyNumberFormat="1" applyFont="1" applyFill="1" applyBorder="1"/>
    <xf numFmtId="10" fontId="3" fillId="9" borderId="8" xfId="1" applyNumberFormat="1" applyFont="1" applyFill="1" applyBorder="1"/>
    <xf numFmtId="0" fontId="3" fillId="19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7" fontId="14" fillId="0" borderId="0" xfId="0" applyNumberFormat="1" applyFont="1"/>
    <xf numFmtId="177" fontId="16" fillId="0" borderId="0" xfId="0" applyNumberFormat="1" applyFont="1"/>
    <xf numFmtId="177" fontId="14" fillId="0" borderId="0" xfId="0" applyNumberFormat="1" applyFont="1" applyAlignment="1">
      <alignment vertical="top"/>
    </xf>
    <xf numFmtId="177" fontId="2" fillId="14" borderId="21" xfId="1" applyNumberFormat="1" applyFont="1" applyFill="1" applyBorder="1"/>
    <xf numFmtId="177" fontId="2" fillId="14" borderId="22" xfId="1" applyNumberFormat="1" applyFont="1" applyFill="1" applyBorder="1"/>
    <xf numFmtId="177" fontId="2" fillId="9" borderId="21" xfId="1" applyNumberFormat="1" applyFont="1" applyFill="1" applyBorder="1"/>
    <xf numFmtId="177" fontId="2" fillId="9" borderId="22" xfId="1" applyNumberFormat="1" applyFont="1" applyFill="1" applyBorder="1"/>
    <xf numFmtId="177" fontId="3" fillId="14" borderId="21" xfId="1" applyNumberFormat="1" applyFont="1" applyFill="1" applyBorder="1"/>
    <xf numFmtId="177" fontId="3" fillId="14" borderId="22" xfId="1" applyNumberFormat="1" applyFont="1" applyFill="1" applyBorder="1"/>
    <xf numFmtId="177" fontId="3" fillId="9" borderId="21" xfId="1" applyNumberFormat="1" applyFont="1" applyFill="1" applyBorder="1"/>
    <xf numFmtId="177" fontId="3" fillId="9" borderId="22" xfId="1" applyNumberFormat="1" applyFont="1" applyFill="1" applyBorder="1"/>
    <xf numFmtId="177" fontId="3" fillId="14" borderId="24" xfId="1" applyNumberFormat="1" applyFont="1" applyFill="1" applyBorder="1"/>
    <xf numFmtId="177" fontId="3" fillId="12" borderId="26" xfId="1" applyNumberFormat="1" applyFont="1" applyFill="1" applyBorder="1"/>
    <xf numFmtId="177" fontId="3" fillId="9" borderId="24" xfId="1" applyNumberFormat="1" applyFont="1" applyFill="1" applyBorder="1"/>
    <xf numFmtId="177" fontId="2" fillId="0" borderId="28" xfId="0" applyNumberFormat="1" applyFont="1" applyBorder="1"/>
    <xf numFmtId="177" fontId="2" fillId="0" borderId="19" xfId="0" applyNumberFormat="1" applyFont="1" applyBorder="1"/>
    <xf numFmtId="177" fontId="2" fillId="14" borderId="24" xfId="1" applyNumberFormat="1" applyFont="1" applyFill="1" applyBorder="1"/>
    <xf numFmtId="177" fontId="2" fillId="14" borderId="26" xfId="1" applyNumberFormat="1" applyFont="1" applyFill="1" applyBorder="1"/>
    <xf numFmtId="177" fontId="2" fillId="9" borderId="24" xfId="1" applyNumberFormat="1" applyFont="1" applyFill="1" applyBorder="1"/>
    <xf numFmtId="177" fontId="2" fillId="9" borderId="26" xfId="1" applyNumberFormat="1" applyFont="1" applyFill="1" applyBorder="1"/>
    <xf numFmtId="177" fontId="3" fillId="14" borderId="30" xfId="1" applyNumberFormat="1" applyFont="1" applyFill="1" applyBorder="1"/>
    <xf numFmtId="177" fontId="3" fillId="14" borderId="31" xfId="1" applyNumberFormat="1" applyFont="1" applyFill="1" applyBorder="1"/>
    <xf numFmtId="177" fontId="3" fillId="9" borderId="30" xfId="1" applyNumberFormat="1" applyFont="1" applyFill="1" applyBorder="1"/>
    <xf numFmtId="177" fontId="3" fillId="9" borderId="31" xfId="1" applyNumberFormat="1" applyFont="1" applyFill="1" applyBorder="1"/>
    <xf numFmtId="177" fontId="14" fillId="0" borderId="0" xfId="0" applyNumberFormat="1" applyFont="1" applyProtection="1">
      <protection locked="0"/>
    </xf>
    <xf numFmtId="177" fontId="3" fillId="12" borderId="27" xfId="1" applyNumberFormat="1" applyFont="1" applyFill="1" applyBorder="1"/>
    <xf numFmtId="177" fontId="2" fillId="0" borderId="29" xfId="0" applyNumberFormat="1" applyFont="1" applyBorder="1"/>
    <xf numFmtId="0" fontId="0" fillId="0" borderId="2" xfId="0" applyBorder="1" applyAlignment="1">
      <alignment horizontal="center" vertical="top" wrapText="1"/>
    </xf>
    <xf numFmtId="177" fontId="0" fillId="0" borderId="2" xfId="0" applyNumberFormat="1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177" fontId="0" fillId="0" borderId="2" xfId="0" applyNumberFormat="1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177" fontId="0" fillId="0" borderId="14" xfId="0" applyNumberFormat="1" applyBorder="1" applyAlignment="1">
      <alignment horizontal="center" vertical="top"/>
    </xf>
    <xf numFmtId="177" fontId="0" fillId="0" borderId="18" xfId="0" applyNumberFormat="1" applyBorder="1" applyAlignment="1">
      <alignment horizontal="center" vertical="top"/>
    </xf>
    <xf numFmtId="0" fontId="14" fillId="0" borderId="0" xfId="0" applyFont="1" applyAlignment="1">
      <alignment horizontal="right"/>
    </xf>
  </cellXfs>
  <cellStyles count="504">
    <cellStyle name="% 1" xfId="2"/>
    <cellStyle name="% 2" xfId="3"/>
    <cellStyle name="% 3" xfId="4"/>
    <cellStyle name="=C:\WINNT\SYSTEM32\COMMAND.COM" xfId="5"/>
    <cellStyle name="01 בינואר 2000" xfId="6"/>
    <cellStyle name="01.01.00" xfId="7"/>
    <cellStyle name="01.01.2000" xfId="8"/>
    <cellStyle name="01/01/00" xfId="9"/>
    <cellStyle name="01/01/2000" xfId="10"/>
    <cellStyle name="1" xfId="11"/>
    <cellStyle name="2" xfId="12"/>
    <cellStyle name="3" xfId="13"/>
    <cellStyle name="4" xfId="14"/>
    <cellStyle name="5" xfId="15"/>
    <cellStyle name="97" xfId="16"/>
    <cellStyle name="98" xfId="17"/>
    <cellStyle name="99" xfId="18"/>
    <cellStyle name="Comma [0] 2" xfId="19"/>
    <cellStyle name="Comma [0] 2 2" xfId="20"/>
    <cellStyle name="Comma [0] 2 2 2" xfId="21"/>
    <cellStyle name="Comma [0] 2 3" xfId="22"/>
    <cellStyle name="Comma [0] 2 4" xfId="23"/>
    <cellStyle name="Comma [0] 3" xfId="24"/>
    <cellStyle name="Comma 2" xfId="25"/>
    <cellStyle name="Comma 2 2" xfId="26"/>
    <cellStyle name="Comma 2 2 2" xfId="27"/>
    <cellStyle name="Comma 2 2 3" xfId="28"/>
    <cellStyle name="Comma 2 2 4" xfId="29"/>
    <cellStyle name="Comma 2 2 5" xfId="30"/>
    <cellStyle name="Comma 2 2 6" xfId="31"/>
    <cellStyle name="Comma 2 2 7" xfId="32"/>
    <cellStyle name="Comma 2 3" xfId="33"/>
    <cellStyle name="Comma 2 4" xfId="34"/>
    <cellStyle name="Comma 2 5" xfId="35"/>
    <cellStyle name="Comma 2 6" xfId="36"/>
    <cellStyle name="Comma 2 7" xfId="37"/>
    <cellStyle name="Comma 2 8" xfId="38"/>
    <cellStyle name="Comma 2 9" xfId="39"/>
    <cellStyle name="Comma 3" xfId="40"/>
    <cellStyle name="Comma 3 2" xfId="41"/>
    <cellStyle name="Comma 4" xfId="42"/>
    <cellStyle name="Comma 5" xfId="43"/>
    <cellStyle name="Comma 6" xfId="44"/>
    <cellStyle name="Comma 7" xfId="45"/>
    <cellStyle name="Currency [0] _1" xfId="46"/>
    <cellStyle name="Euro" xfId="47"/>
    <cellStyle name="Hyperlink 2" xfId="48"/>
    <cellStyle name="Hyperlink 2 2" xfId="49"/>
    <cellStyle name="Hyperlink 2 2 2" xfId="50"/>
    <cellStyle name="Hyperlink 2 2 2 2" xfId="51"/>
    <cellStyle name="Hyperlink 2 3" xfId="52"/>
    <cellStyle name="Hyperlink 2 4" xfId="53"/>
    <cellStyle name="Hyperlink 2 5" xfId="54"/>
    <cellStyle name="Hyperlink 2 6" xfId="55"/>
    <cellStyle name="Hyperlink 2 7" xfId="56"/>
    <cellStyle name="Hyperlink 2 8" xfId="57"/>
    <cellStyle name="Hyperlink 2_Data" xfId="58"/>
    <cellStyle name="Normal" xfId="0" builtinId="0"/>
    <cellStyle name="Normal 10" xfId="59"/>
    <cellStyle name="Normal 11" xfId="60"/>
    <cellStyle name="Normal 12" xfId="61"/>
    <cellStyle name="Normal 12 2" xfId="62"/>
    <cellStyle name="Normal 12 3" xfId="63"/>
    <cellStyle name="Normal 12 4" xfId="64"/>
    <cellStyle name="Normal 12 5" xfId="65"/>
    <cellStyle name="Normal 12 6" xfId="66"/>
    <cellStyle name="Normal 12 7" xfId="67"/>
    <cellStyle name="Normal 12 8" xfId="68"/>
    <cellStyle name="Normal 13" xfId="69"/>
    <cellStyle name="Normal 13 2" xfId="70"/>
    <cellStyle name="Normal 13 3" xfId="71"/>
    <cellStyle name="Normal 13 4" xfId="72"/>
    <cellStyle name="Normal 13 5" xfId="73"/>
    <cellStyle name="Normal 13 6" xfId="74"/>
    <cellStyle name="Normal 13 7" xfId="75"/>
    <cellStyle name="Normal 13 8" xfId="76"/>
    <cellStyle name="Normal 14" xfId="77"/>
    <cellStyle name="Normal 14 2" xfId="78"/>
    <cellStyle name="Normal 14 3" xfId="79"/>
    <cellStyle name="Normal 14 4" xfId="80"/>
    <cellStyle name="Normal 14 5" xfId="81"/>
    <cellStyle name="Normal 14 6" xfId="82"/>
    <cellStyle name="Normal 14 7" xfId="83"/>
    <cellStyle name="Normal 14 8" xfId="84"/>
    <cellStyle name="Normal 15" xfId="85"/>
    <cellStyle name="Normal 15 2" xfId="86"/>
    <cellStyle name="Normal 15 3" xfId="87"/>
    <cellStyle name="Normal 15 4" xfId="88"/>
    <cellStyle name="Normal 15 5" xfId="89"/>
    <cellStyle name="Normal 15 6" xfId="90"/>
    <cellStyle name="Normal 15 7" xfId="91"/>
    <cellStyle name="Normal 15 8" xfId="92"/>
    <cellStyle name="Normal 16" xfId="93"/>
    <cellStyle name="Normal 16 2" xfId="94"/>
    <cellStyle name="Normal 16 3" xfId="95"/>
    <cellStyle name="Normal 16 4" xfId="96"/>
    <cellStyle name="Normal 16 5" xfId="97"/>
    <cellStyle name="Normal 16 6" xfId="98"/>
    <cellStyle name="Normal 16 7" xfId="99"/>
    <cellStyle name="Normal 16 8" xfId="100"/>
    <cellStyle name="Normal 17" xfId="101"/>
    <cellStyle name="Normal 17 2" xfId="102"/>
    <cellStyle name="Normal 17 3" xfId="103"/>
    <cellStyle name="Normal 18" xfId="104"/>
    <cellStyle name="Normal 18 2" xfId="105"/>
    <cellStyle name="Normal 18 3" xfId="106"/>
    <cellStyle name="Normal 19" xfId="107"/>
    <cellStyle name="Normal 2" xfId="108"/>
    <cellStyle name="Normal 2 10" xfId="109"/>
    <cellStyle name="Normal 2 11" xfId="110"/>
    <cellStyle name="Normal 2 12" xfId="111"/>
    <cellStyle name="Normal 2 13" xfId="112"/>
    <cellStyle name="Normal 2 2" xfId="113"/>
    <cellStyle name="Normal 2 2 2" xfId="114"/>
    <cellStyle name="Normal 2 2 2 2" xfId="115"/>
    <cellStyle name="Normal 2 2 2 2 2" xfId="116"/>
    <cellStyle name="Normal 2 2 2 2 2 2" xfId="117"/>
    <cellStyle name="Normal 2 2 2 2_ירידות ערך שנזקפו" xfId="118"/>
    <cellStyle name="Normal 2 2 2 3" xfId="119"/>
    <cellStyle name="Normal 2 2 2 4" xfId="120"/>
    <cellStyle name="Normal 2 2 2 5" xfId="121"/>
    <cellStyle name="Normal 2 2 2 6" xfId="122"/>
    <cellStyle name="Normal 2 2 2 7" xfId="123"/>
    <cellStyle name="Normal 2 2 2 8" xfId="124"/>
    <cellStyle name="Normal 2 2 2_ירידות ערך שנזקפו" xfId="125"/>
    <cellStyle name="Normal 2 2 3" xfId="126"/>
    <cellStyle name="Normal 2 2 3 2" xfId="127"/>
    <cellStyle name="Normal 2 2 3 2 2" xfId="128"/>
    <cellStyle name="Normal 2 2 4" xfId="129"/>
    <cellStyle name="Normal 2 2 5" xfId="130"/>
    <cellStyle name="Normal 2 2 6" xfId="131"/>
    <cellStyle name="Normal 2 2 7" xfId="132"/>
    <cellStyle name="Normal 2 2 8" xfId="133"/>
    <cellStyle name="Normal 2 2 9" xfId="134"/>
    <cellStyle name="Normal 2 2_ירידות ערך שנזקפו" xfId="135"/>
    <cellStyle name="Normal 2 3" xfId="136"/>
    <cellStyle name="Normal 2 3 2" xfId="137"/>
    <cellStyle name="Normal 2 3 2 2" xfId="138"/>
    <cellStyle name="Normal 2 3 3" xfId="139"/>
    <cellStyle name="Normal 2 3 4" xfId="140"/>
    <cellStyle name="Normal 2 3 5" xfId="141"/>
    <cellStyle name="Normal 2 3 6" xfId="142"/>
    <cellStyle name="Normal 2 3 7" xfId="143"/>
    <cellStyle name="Normal 2 3 8" xfId="144"/>
    <cellStyle name="Normal 2 3 9" xfId="145"/>
    <cellStyle name="Normal 2 3_ירידות ערך שנזקפו" xfId="146"/>
    <cellStyle name="Normal 2 4" xfId="147"/>
    <cellStyle name="Normal 2 4 2" xfId="148"/>
    <cellStyle name="Normal 2 5" xfId="149"/>
    <cellStyle name="Normal 2 6" xfId="150"/>
    <cellStyle name="Normal 2 6 2" xfId="151"/>
    <cellStyle name="Normal 2 6 2 2" xfId="152"/>
    <cellStyle name="Normal 2 7" xfId="153"/>
    <cellStyle name="Normal 2 7 2" xfId="154"/>
    <cellStyle name="Normal 2 8" xfId="155"/>
    <cellStyle name="Normal 2 9" xfId="156"/>
    <cellStyle name="Normal 2_אלמנטרי" xfId="157"/>
    <cellStyle name="Normal 20" xfId="158"/>
    <cellStyle name="Normal 21" xfId="159"/>
    <cellStyle name="Normal 21 2" xfId="160"/>
    <cellStyle name="Normal 21 3" xfId="161"/>
    <cellStyle name="Normal 22" xfId="162"/>
    <cellStyle name="Normal 22 2" xfId="163"/>
    <cellStyle name="Normal 22 3" xfId="164"/>
    <cellStyle name="Normal 23" xfId="165"/>
    <cellStyle name="Normal 23 2" xfId="166"/>
    <cellStyle name="Normal 23 3" xfId="167"/>
    <cellStyle name="Normal 24" xfId="168"/>
    <cellStyle name="Normal 24 2" xfId="169"/>
    <cellStyle name="Normal 24 3" xfId="170"/>
    <cellStyle name="Normal 25" xfId="171"/>
    <cellStyle name="Normal 25 2" xfId="172"/>
    <cellStyle name="Normal 25 3" xfId="173"/>
    <cellStyle name="Normal 26" xfId="174"/>
    <cellStyle name="Normal 26 2" xfId="175"/>
    <cellStyle name="Normal 26 3" xfId="176"/>
    <cellStyle name="Normal 27" xfId="177"/>
    <cellStyle name="Normal 27 2" xfId="178"/>
    <cellStyle name="Normal 27 3" xfId="179"/>
    <cellStyle name="Normal 27 4" xfId="180"/>
    <cellStyle name="Normal 27 5" xfId="181"/>
    <cellStyle name="Normal 27 6" xfId="182"/>
    <cellStyle name="Normal 27 7" xfId="183"/>
    <cellStyle name="Normal 28" xfId="184"/>
    <cellStyle name="Normal 29" xfId="185"/>
    <cellStyle name="Normal 3" xfId="186"/>
    <cellStyle name="Normal 3 2" xfId="187"/>
    <cellStyle name="Normal 3 2 2" xfId="188"/>
    <cellStyle name="Normal 3 2 3" xfId="189"/>
    <cellStyle name="Normal 3 2 4" xfId="190"/>
    <cellStyle name="Normal 3 2 5" xfId="191"/>
    <cellStyle name="Normal 3 2 6" xfId="192"/>
    <cellStyle name="Normal 3 2 7" xfId="193"/>
    <cellStyle name="Normal 3 2 8" xfId="194"/>
    <cellStyle name="Normal 3 3" xfId="195"/>
    <cellStyle name="Normal 3 4" xfId="196"/>
    <cellStyle name="Normal 3 5" xfId="197"/>
    <cellStyle name="Normal 3 6" xfId="198"/>
    <cellStyle name="Normal 3 7" xfId="199"/>
    <cellStyle name="Normal 3 8" xfId="200"/>
    <cellStyle name="Normal 3 9" xfId="201"/>
    <cellStyle name="Normal 3_אלמנטרי" xfId="202"/>
    <cellStyle name="Normal 30" xfId="203"/>
    <cellStyle name="Normal 30 2" xfId="204"/>
    <cellStyle name="Normal 30 3" xfId="205"/>
    <cellStyle name="Normal 30 4" xfId="206"/>
    <cellStyle name="Normal 30 5" xfId="207"/>
    <cellStyle name="Normal 30 6" xfId="208"/>
    <cellStyle name="Normal 30 7" xfId="209"/>
    <cellStyle name="Normal 31" xfId="210"/>
    <cellStyle name="Normal 32" xfId="211"/>
    <cellStyle name="Normal 32 2" xfId="212"/>
    <cellStyle name="Normal 32 3" xfId="213"/>
    <cellStyle name="Normal 32 4" xfId="214"/>
    <cellStyle name="Normal 32 5" xfId="215"/>
    <cellStyle name="Normal 32 6" xfId="216"/>
    <cellStyle name="Normal 32 7" xfId="217"/>
    <cellStyle name="Normal 33" xfId="218"/>
    <cellStyle name="Normal 33 2" xfId="219"/>
    <cellStyle name="Normal 33 3" xfId="220"/>
    <cellStyle name="Normal 33 4" xfId="221"/>
    <cellStyle name="Normal 33 5" xfId="222"/>
    <cellStyle name="Normal 33 6" xfId="223"/>
    <cellStyle name="Normal 33 7" xfId="224"/>
    <cellStyle name="Normal 34" xfId="225"/>
    <cellStyle name="Normal 34 2" xfId="226"/>
    <cellStyle name="Normal 35" xfId="227"/>
    <cellStyle name="Normal 36" xfId="228"/>
    <cellStyle name="Normal 36 2" xfId="229"/>
    <cellStyle name="Normal 36 3" xfId="230"/>
    <cellStyle name="Normal 36 4" xfId="231"/>
    <cellStyle name="Normal 36 5" xfId="232"/>
    <cellStyle name="Normal 36 6" xfId="233"/>
    <cellStyle name="Normal 36 7" xfId="234"/>
    <cellStyle name="Normal 37" xfId="235"/>
    <cellStyle name="Normal 38" xfId="236"/>
    <cellStyle name="Normal 39" xfId="237"/>
    <cellStyle name="Normal 4" xfId="238"/>
    <cellStyle name="Normal 4 2" xfId="239"/>
    <cellStyle name="Normal 4 3" xfId="240"/>
    <cellStyle name="Normal 4 4" xfId="241"/>
    <cellStyle name="Normal 4 5" xfId="242"/>
    <cellStyle name="Normal 4 6" xfId="243"/>
    <cellStyle name="Normal 4 7" xfId="244"/>
    <cellStyle name="Normal 4 8" xfId="245"/>
    <cellStyle name="Normal 4_ירידות ערך שנזקפו" xfId="246"/>
    <cellStyle name="Normal 40" xfId="247"/>
    <cellStyle name="Normal 41" xfId="248"/>
    <cellStyle name="Normal 41 2" xfId="249"/>
    <cellStyle name="Normal 41 3" xfId="250"/>
    <cellStyle name="Normal 41 4" xfId="251"/>
    <cellStyle name="Normal 41 5" xfId="252"/>
    <cellStyle name="Normal 41 6" xfId="253"/>
    <cellStyle name="Normal 41 7" xfId="254"/>
    <cellStyle name="Normal 42" xfId="255"/>
    <cellStyle name="Normal 42 2" xfId="256"/>
    <cellStyle name="Normal 42 2 2" xfId="257"/>
    <cellStyle name="Normal 42 3" xfId="258"/>
    <cellStyle name="Normal 42 3 2" xfId="259"/>
    <cellStyle name="Normal 42 4" xfId="260"/>
    <cellStyle name="Normal 42 4 2" xfId="261"/>
    <cellStyle name="Normal 42 5" xfId="262"/>
    <cellStyle name="Normal 43" xfId="263"/>
    <cellStyle name="Normal 44" xfId="264"/>
    <cellStyle name="Normal 45" xfId="265"/>
    <cellStyle name="Normal 45 2" xfId="266"/>
    <cellStyle name="Normal 45 2 2" xfId="267"/>
    <cellStyle name="Normal 45 3" xfId="268"/>
    <cellStyle name="Normal 45 3 2" xfId="269"/>
    <cellStyle name="Normal 45 4" xfId="270"/>
    <cellStyle name="Normal 45 4 2" xfId="271"/>
    <cellStyle name="Normal 45 5" xfId="272"/>
    <cellStyle name="Normal 46" xfId="273"/>
    <cellStyle name="Normal 46 2" xfId="274"/>
    <cellStyle name="Normal 46 2 2" xfId="275"/>
    <cellStyle name="Normal 46 3" xfId="276"/>
    <cellStyle name="Normal 46 3 2" xfId="277"/>
    <cellStyle name="Normal 46 4" xfId="278"/>
    <cellStyle name="Normal 46 4 2" xfId="279"/>
    <cellStyle name="Normal 46 5" xfId="280"/>
    <cellStyle name="Normal 47" xfId="281"/>
    <cellStyle name="Normal 47 2" xfId="282"/>
    <cellStyle name="Normal 47 2 2" xfId="283"/>
    <cellStyle name="Normal 47 3" xfId="284"/>
    <cellStyle name="Normal 47 3 2" xfId="285"/>
    <cellStyle name="Normal 47 4" xfId="286"/>
    <cellStyle name="Normal 47 4 2" xfId="287"/>
    <cellStyle name="Normal 47 5" xfId="288"/>
    <cellStyle name="Normal 48" xfId="289"/>
    <cellStyle name="Normal 49" xfId="290"/>
    <cellStyle name="Normal 5" xfId="291"/>
    <cellStyle name="Normal 5 2" xfId="292"/>
    <cellStyle name="Normal 5 3" xfId="293"/>
    <cellStyle name="Normal 5 4" xfId="294"/>
    <cellStyle name="Normal 5 5" xfId="295"/>
    <cellStyle name="Normal 5 6" xfId="296"/>
    <cellStyle name="Normal 5 7" xfId="297"/>
    <cellStyle name="Normal 5 8" xfId="298"/>
    <cellStyle name="Normal 50" xfId="299"/>
    <cellStyle name="Normal 6" xfId="300"/>
    <cellStyle name="Normal 6 10" xfId="301"/>
    <cellStyle name="Normal 6 11" xfId="302"/>
    <cellStyle name="Normal 6 12" xfId="303"/>
    <cellStyle name="Normal 6 13" xfId="304"/>
    <cellStyle name="Normal 6 14" xfId="305"/>
    <cellStyle name="Normal 6 2" xfId="306"/>
    <cellStyle name="Normal 6 2 2" xfId="307"/>
    <cellStyle name="Normal 6 2 3" xfId="308"/>
    <cellStyle name="Normal 6 2 4" xfId="309"/>
    <cellStyle name="Normal 6 2 5" xfId="310"/>
    <cellStyle name="Normal 6 2 6" xfId="311"/>
    <cellStyle name="Normal 6 2 7" xfId="312"/>
    <cellStyle name="Normal 6 3" xfId="313"/>
    <cellStyle name="Normal 6 4" xfId="314"/>
    <cellStyle name="Normal 6 5" xfId="315"/>
    <cellStyle name="Normal 6 6" xfId="316"/>
    <cellStyle name="Normal 6 7" xfId="317"/>
    <cellStyle name="Normal 6 8" xfId="318"/>
    <cellStyle name="Normal 6 9" xfId="319"/>
    <cellStyle name="Normal 6_Data" xfId="320"/>
    <cellStyle name="Normal 60" xfId="321"/>
    <cellStyle name="Normal 64" xfId="322"/>
    <cellStyle name="Normal 64 2" xfId="323"/>
    <cellStyle name="Normal 64 2 2" xfId="324"/>
    <cellStyle name="Normal 64 3" xfId="325"/>
    <cellStyle name="Normal 64 3 2" xfId="326"/>
    <cellStyle name="Normal 64 4" xfId="327"/>
    <cellStyle name="Normal 64 4 2" xfId="328"/>
    <cellStyle name="Normal 64 5" xfId="329"/>
    <cellStyle name="Normal 65" xfId="330"/>
    <cellStyle name="Normal 65 2" xfId="331"/>
    <cellStyle name="Normal 65 2 2" xfId="332"/>
    <cellStyle name="Normal 65 3" xfId="333"/>
    <cellStyle name="Normal 65 3 2" xfId="334"/>
    <cellStyle name="Normal 65 4" xfId="335"/>
    <cellStyle name="Normal 65 4 2" xfId="336"/>
    <cellStyle name="Normal 65 5" xfId="337"/>
    <cellStyle name="Normal 7" xfId="338"/>
    <cellStyle name="Normal 7 10" xfId="339"/>
    <cellStyle name="Normal 7 11" xfId="340"/>
    <cellStyle name="Normal 7 12" xfId="341"/>
    <cellStyle name="Normal 7 13" xfId="342"/>
    <cellStyle name="Normal 7 14" xfId="343"/>
    <cellStyle name="Normal 7 2" xfId="344"/>
    <cellStyle name="Normal 7 2 2" xfId="345"/>
    <cellStyle name="Normal 7 2 3" xfId="346"/>
    <cellStyle name="Normal 7 2 4" xfId="347"/>
    <cellStyle name="Normal 7 2 5" xfId="348"/>
    <cellStyle name="Normal 7 2 6" xfId="349"/>
    <cellStyle name="Normal 7 2 7" xfId="350"/>
    <cellStyle name="Normal 7 3" xfId="351"/>
    <cellStyle name="Normal 7 4" xfId="352"/>
    <cellStyle name="Normal 7 5" xfId="353"/>
    <cellStyle name="Normal 7 6" xfId="354"/>
    <cellStyle name="Normal 7 7" xfId="355"/>
    <cellStyle name="Normal 7 8" xfId="356"/>
    <cellStyle name="Normal 7 9" xfId="357"/>
    <cellStyle name="Normal 7_Data" xfId="358"/>
    <cellStyle name="Normal 71" xfId="359"/>
    <cellStyle name="Normal 71 2" xfId="360"/>
    <cellStyle name="Normal 71 2 2" xfId="361"/>
    <cellStyle name="Normal 71 3" xfId="362"/>
    <cellStyle name="Normal 71 3 2" xfId="363"/>
    <cellStyle name="Normal 71 4" xfId="364"/>
    <cellStyle name="Normal 71 4 2" xfId="365"/>
    <cellStyle name="Normal 71 5" xfId="366"/>
    <cellStyle name="Normal 72" xfId="367"/>
    <cellStyle name="Normal 72 2" xfId="368"/>
    <cellStyle name="Normal 72 2 2" xfId="369"/>
    <cellStyle name="Normal 72 3" xfId="370"/>
    <cellStyle name="Normal 72 3 2" xfId="371"/>
    <cellStyle name="Normal 72 4" xfId="372"/>
    <cellStyle name="Normal 72 4 2" xfId="373"/>
    <cellStyle name="Normal 72 5" xfId="374"/>
    <cellStyle name="Normal 73" xfId="375"/>
    <cellStyle name="Normal 74" xfId="376"/>
    <cellStyle name="Normal 76" xfId="377"/>
    <cellStyle name="Normal 77" xfId="378"/>
    <cellStyle name="Normal 79" xfId="379"/>
    <cellStyle name="Normal 8" xfId="380"/>
    <cellStyle name="Normal 8 2" xfId="381"/>
    <cellStyle name="Normal 8 3" xfId="382"/>
    <cellStyle name="Normal 8 4" xfId="383"/>
    <cellStyle name="Normal 8 5" xfId="384"/>
    <cellStyle name="Normal 8 6" xfId="385"/>
    <cellStyle name="Normal 8 7" xfId="386"/>
    <cellStyle name="Normal 8 8" xfId="387"/>
    <cellStyle name="Normal 8_ירידות ערך שנזקפו" xfId="388"/>
    <cellStyle name="Normal 80" xfId="389"/>
    <cellStyle name="Normal 80 2" xfId="390"/>
    <cellStyle name="Normal 80 2 2" xfId="391"/>
    <cellStyle name="Normal 80 3" xfId="392"/>
    <cellStyle name="Normal 80 3 2" xfId="393"/>
    <cellStyle name="Normal 80 4" xfId="394"/>
    <cellStyle name="Normal 80 4 2" xfId="395"/>
    <cellStyle name="Normal 80 5" xfId="396"/>
    <cellStyle name="Normal 81" xfId="397"/>
    <cellStyle name="Normal 81 2" xfId="398"/>
    <cellStyle name="Normal 81 2 2" xfId="399"/>
    <cellStyle name="Normal 81 3" xfId="400"/>
    <cellStyle name="Normal 81 3 2" xfId="401"/>
    <cellStyle name="Normal 81 4" xfId="402"/>
    <cellStyle name="Normal 81 4 2" xfId="403"/>
    <cellStyle name="Normal 81 5" xfId="404"/>
    <cellStyle name="Normal 82" xfId="405"/>
    <cellStyle name="Normal 82 2" xfId="406"/>
    <cellStyle name="Normal 82 2 2" xfId="407"/>
    <cellStyle name="Normal 82 3" xfId="408"/>
    <cellStyle name="Normal 82 3 2" xfId="409"/>
    <cellStyle name="Normal 82 4" xfId="410"/>
    <cellStyle name="Normal 82 4 2" xfId="411"/>
    <cellStyle name="Normal 82 5" xfId="412"/>
    <cellStyle name="Normal 9" xfId="413"/>
    <cellStyle name="Normal 9 2" xfId="414"/>
    <cellStyle name="Normal 9 3" xfId="415"/>
    <cellStyle name="Normal 9 4" xfId="416"/>
    <cellStyle name="Normal 9 5" xfId="417"/>
    <cellStyle name="Normal 9 6" xfId="418"/>
    <cellStyle name="Normal 9 7" xfId="419"/>
    <cellStyle name="Normal 9 8" xfId="420"/>
    <cellStyle name="Normal 9_ירידות ערך שנזקפו" xfId="421"/>
    <cellStyle name="Percent" xfId="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69" t="s">
        <v>1417</v>
      </c>
      <c r="D1" s="8" t="s">
        <v>74</v>
      </c>
    </row>
    <row r="2" spans="1:4">
      <c r="A2" s="127" t="s">
        <v>64</v>
      </c>
      <c r="B2" s="9">
        <v>1</v>
      </c>
      <c r="C2" s="9" t="s">
        <v>65</v>
      </c>
      <c r="D2" s="10" t="s">
        <v>79</v>
      </c>
    </row>
    <row r="3" spans="1:4">
      <c r="A3" s="128"/>
      <c r="B3" s="9">
        <v>2</v>
      </c>
      <c r="C3" s="9" t="s">
        <v>66</v>
      </c>
      <c r="D3" s="10" t="s">
        <v>67</v>
      </c>
    </row>
    <row r="4" spans="1:4">
      <c r="A4" s="128"/>
      <c r="B4" s="9">
        <v>3</v>
      </c>
      <c r="C4" s="9" t="s">
        <v>68</v>
      </c>
      <c r="D4" s="10" t="s">
        <v>69</v>
      </c>
    </row>
    <row r="5" spans="1:4">
      <c r="A5" s="128"/>
      <c r="B5" s="129">
        <v>4</v>
      </c>
      <c r="C5" s="9" t="s">
        <v>70</v>
      </c>
      <c r="D5" s="10" t="s">
        <v>75</v>
      </c>
    </row>
    <row r="6" spans="1:4">
      <c r="A6" s="128"/>
      <c r="B6" s="130"/>
      <c r="C6" s="70"/>
      <c r="D6" s="58" t="s">
        <v>909</v>
      </c>
    </row>
    <row r="7" spans="1:4">
      <c r="A7" s="128"/>
      <c r="B7" s="130"/>
      <c r="C7" s="70"/>
      <c r="D7" s="57" t="s">
        <v>1384</v>
      </c>
    </row>
    <row r="8" spans="1:4">
      <c r="A8" s="128"/>
      <c r="B8" s="130"/>
      <c r="C8" s="70"/>
      <c r="D8" s="59" t="s">
        <v>1385</v>
      </c>
    </row>
    <row r="9" spans="1:4">
      <c r="A9" s="128"/>
      <c r="B9" s="130"/>
      <c r="C9" s="70"/>
      <c r="D9" s="10" t="s">
        <v>76</v>
      </c>
    </row>
    <row r="10" spans="1:4">
      <c r="A10" s="128"/>
      <c r="B10" s="130"/>
      <c r="C10" s="70"/>
      <c r="D10" s="58" t="s">
        <v>77</v>
      </c>
    </row>
    <row r="11" spans="1:4">
      <c r="A11" s="128"/>
      <c r="B11" s="130"/>
      <c r="C11" s="70"/>
      <c r="D11" s="57" t="s">
        <v>78</v>
      </c>
    </row>
    <row r="12" spans="1:4">
      <c r="A12" s="128"/>
      <c r="B12" s="130"/>
      <c r="C12" s="70"/>
      <c r="D12" s="10" t="s">
        <v>71</v>
      </c>
    </row>
    <row r="13" spans="1:4">
      <c r="A13" s="128"/>
      <c r="B13" s="130"/>
      <c r="C13" s="70"/>
      <c r="D13" s="10" t="s">
        <v>1377</v>
      </c>
    </row>
    <row r="14" spans="1:4">
      <c r="A14" s="128"/>
      <c r="B14" s="130"/>
      <c r="C14" s="70"/>
      <c r="D14" s="10" t="s">
        <v>1378</v>
      </c>
    </row>
    <row r="15" spans="1:4">
      <c r="A15" s="131" t="s">
        <v>905</v>
      </c>
      <c r="B15" s="9">
        <v>5</v>
      </c>
      <c r="C15" s="9" t="s">
        <v>72</v>
      </c>
      <c r="D15" s="10" t="s">
        <v>73</v>
      </c>
    </row>
    <row r="16" spans="1:4">
      <c r="A16" s="132"/>
      <c r="B16" s="9">
        <v>6</v>
      </c>
      <c r="C16" s="70"/>
      <c r="D16" s="9" t="s">
        <v>904</v>
      </c>
    </row>
    <row r="17" spans="1:4" ht="28.5">
      <c r="A17" s="133"/>
      <c r="B17" s="9">
        <v>7</v>
      </c>
      <c r="C17" s="70"/>
      <c r="D17" s="60" t="s">
        <v>1403</v>
      </c>
    </row>
    <row r="19" spans="1:4" ht="16.899999999999999" customHeight="1">
      <c r="A19" s="12" t="s">
        <v>885</v>
      </c>
      <c r="B19" s="30">
        <v>2024</v>
      </c>
      <c r="C19" s="27"/>
    </row>
    <row r="20" spans="1:4" ht="15">
      <c r="A20" s="13" t="s">
        <v>889</v>
      </c>
      <c r="B20" s="30" t="s">
        <v>88</v>
      </c>
      <c r="C20" s="29" t="str">
        <f>VLOOKUP(B20,Tab_Type,2,0)</f>
        <v>TabB</v>
      </c>
    </row>
    <row r="21" spans="1:4" ht="15">
      <c r="A21" s="13" t="s">
        <v>890</v>
      </c>
      <c r="B21" s="30">
        <v>15456</v>
      </c>
      <c r="C21" s="27"/>
    </row>
    <row r="22" spans="1:4" ht="15">
      <c r="A22" s="13" t="s">
        <v>886</v>
      </c>
      <c r="B22" s="30" t="s">
        <v>1407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גמל להשקעה- מסלול מניות סחיר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512237744_g15456_Yield424.xlsx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>
      <formula1>Quarters</formula1>
    </dataValidation>
    <dataValidation type="list" allowBlank="1" showInputMessage="1" showErrorMessage="1" sqref="B20">
      <formula1>type</formula1>
    </dataValidation>
    <dataValidation type="list" allowBlank="1" showInputMessage="1" showErrorMessage="1" sqref="B19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>
      <c r="A1" s="100"/>
      <c r="B1" s="4" t="s">
        <v>0</v>
      </c>
    </row>
    <row r="2" spans="1:31" ht="18.75">
      <c r="A2" s="100"/>
      <c r="B2" s="6" t="s">
        <v>821</v>
      </c>
      <c r="C2" s="25">
        <f>הנחיות!B21</f>
        <v>15456</v>
      </c>
      <c r="D2" s="134"/>
      <c r="E2" s="134"/>
    </row>
    <row r="3" spans="1:31" ht="18.75">
      <c r="A3" s="100"/>
      <c r="B3" s="7" t="s">
        <v>28</v>
      </c>
      <c r="C3" s="24" t="str">
        <f ca="1">הנחיות!B23</f>
        <v>מגדל גמל להשקעה- מסלול מניות סחיר</v>
      </c>
      <c r="D3" s="24"/>
    </row>
    <row r="4" spans="1:31" ht="18.75">
      <c r="A4" s="100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00"/>
      <c r="B5" s="7" t="s">
        <v>29</v>
      </c>
      <c r="C5" s="25">
        <f>הנחיות!B19</f>
        <v>2024</v>
      </c>
      <c r="D5" s="7" t="s">
        <v>903</v>
      </c>
      <c r="E5" s="25" t="str">
        <f>הנחיות!B22</f>
        <v>31.12.24</v>
      </c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1"/>
      <c r="S5" s="101"/>
      <c r="T5" s="101"/>
      <c r="U5" s="101"/>
      <c r="V5" s="101"/>
      <c r="W5" s="101"/>
      <c r="X5" s="101"/>
      <c r="Y5" s="5">
        <f>W5+1</f>
        <v>1</v>
      </c>
      <c r="Z5" s="5"/>
    </row>
    <row r="6" spans="1:31" s="20" customFormat="1" ht="47.45" customHeight="1">
      <c r="A6" s="102"/>
      <c r="B6" s="94" t="s">
        <v>26</v>
      </c>
      <c r="C6" s="95" t="s">
        <v>30</v>
      </c>
      <c r="D6" s="96" t="s">
        <v>31</v>
      </c>
      <c r="E6" s="97" t="s">
        <v>32</v>
      </c>
      <c r="F6" s="98" t="s">
        <v>33</v>
      </c>
      <c r="G6" s="95" t="s">
        <v>34</v>
      </c>
      <c r="H6" s="96" t="s">
        <v>35</v>
      </c>
      <c r="I6" s="97" t="s">
        <v>36</v>
      </c>
      <c r="J6" s="98" t="s">
        <v>37</v>
      </c>
      <c r="K6" s="95" t="s">
        <v>38</v>
      </c>
      <c r="L6" s="96" t="s">
        <v>39</v>
      </c>
      <c r="M6" s="97" t="s">
        <v>40</v>
      </c>
      <c r="N6" s="98" t="s">
        <v>41</v>
      </c>
      <c r="O6" s="95" t="s">
        <v>42</v>
      </c>
      <c r="P6" s="96" t="s">
        <v>43</v>
      </c>
      <c r="Q6" s="97" t="s">
        <v>44</v>
      </c>
      <c r="R6" s="98" t="s">
        <v>45</v>
      </c>
      <c r="S6" s="95" t="s">
        <v>46</v>
      </c>
      <c r="T6" s="96" t="s">
        <v>47</v>
      </c>
      <c r="U6" s="97" t="s">
        <v>48</v>
      </c>
      <c r="V6" s="98" t="s">
        <v>49</v>
      </c>
      <c r="W6" s="95" t="s">
        <v>50</v>
      </c>
      <c r="X6" s="96" t="s">
        <v>51</v>
      </c>
      <c r="Y6" s="97" t="s">
        <v>52</v>
      </c>
      <c r="Z6" s="99" t="s">
        <v>53</v>
      </c>
      <c r="AE6" s="21"/>
    </row>
    <row r="7" spans="1:31">
      <c r="A7" s="100"/>
      <c r="B7" s="77" t="s">
        <v>1</v>
      </c>
      <c r="C7" s="103"/>
      <c r="D7" s="104"/>
      <c r="E7" s="105"/>
      <c r="F7" s="106"/>
      <c r="G7" s="103"/>
      <c r="H7" s="104"/>
      <c r="I7" s="105"/>
      <c r="J7" s="106"/>
      <c r="K7" s="103"/>
      <c r="L7" s="104"/>
      <c r="M7" s="105"/>
      <c r="N7" s="106"/>
      <c r="O7" s="103"/>
      <c r="P7" s="104"/>
      <c r="Q7" s="105"/>
      <c r="R7" s="106"/>
      <c r="S7" s="103"/>
      <c r="T7" s="104"/>
      <c r="U7" s="105"/>
      <c r="V7" s="106"/>
      <c r="W7" s="103"/>
      <c r="X7" s="104"/>
      <c r="Y7" s="78">
        <v>3.1637172366109163E-4</v>
      </c>
      <c r="Z7" s="79">
        <v>0.11968631959877289</v>
      </c>
      <c r="AE7" s="3"/>
    </row>
    <row r="8" spans="1:31" ht="30">
      <c r="A8" s="100"/>
      <c r="B8" s="80" t="s">
        <v>908</v>
      </c>
      <c r="C8" s="103"/>
      <c r="D8" s="104"/>
      <c r="E8" s="105"/>
      <c r="F8" s="106"/>
      <c r="G8" s="103"/>
      <c r="H8" s="104"/>
      <c r="I8" s="105"/>
      <c r="J8" s="106"/>
      <c r="K8" s="103"/>
      <c r="L8" s="104"/>
      <c r="M8" s="105"/>
      <c r="N8" s="106"/>
      <c r="O8" s="103"/>
      <c r="P8" s="104"/>
      <c r="Q8" s="105"/>
      <c r="R8" s="106"/>
      <c r="S8" s="103"/>
      <c r="T8" s="104"/>
      <c r="U8" s="105"/>
      <c r="V8" s="106"/>
      <c r="W8" s="103"/>
      <c r="X8" s="104"/>
      <c r="Y8" s="78">
        <v>0</v>
      </c>
      <c r="Z8" s="79">
        <v>0</v>
      </c>
      <c r="AE8" s="3"/>
    </row>
    <row r="9" spans="1:31">
      <c r="A9" s="100"/>
      <c r="B9" s="81" t="s">
        <v>2</v>
      </c>
      <c r="C9" s="103"/>
      <c r="D9" s="104"/>
      <c r="E9" s="105"/>
      <c r="F9" s="106"/>
      <c r="G9" s="103"/>
      <c r="H9" s="104"/>
      <c r="I9" s="105"/>
      <c r="J9" s="106"/>
      <c r="K9" s="103"/>
      <c r="L9" s="104"/>
      <c r="M9" s="105"/>
      <c r="N9" s="106"/>
      <c r="O9" s="103"/>
      <c r="P9" s="104"/>
      <c r="Q9" s="105"/>
      <c r="R9" s="106"/>
      <c r="S9" s="103"/>
      <c r="T9" s="104"/>
      <c r="U9" s="105"/>
      <c r="V9" s="106"/>
      <c r="W9" s="103"/>
      <c r="X9" s="104"/>
      <c r="Y9" s="78">
        <v>0</v>
      </c>
      <c r="Z9" s="79">
        <v>0</v>
      </c>
      <c r="AE9" s="3"/>
    </row>
    <row r="10" spans="1:31">
      <c r="A10" s="100"/>
      <c r="B10" s="81" t="s">
        <v>3</v>
      </c>
      <c r="C10" s="103"/>
      <c r="D10" s="104"/>
      <c r="E10" s="105"/>
      <c r="F10" s="106"/>
      <c r="G10" s="103"/>
      <c r="H10" s="104"/>
      <c r="I10" s="105"/>
      <c r="J10" s="106"/>
      <c r="K10" s="103"/>
      <c r="L10" s="104"/>
      <c r="M10" s="105"/>
      <c r="N10" s="106"/>
      <c r="O10" s="103"/>
      <c r="P10" s="104"/>
      <c r="Q10" s="105"/>
      <c r="R10" s="106"/>
      <c r="S10" s="103"/>
      <c r="T10" s="104"/>
      <c r="U10" s="105"/>
      <c r="V10" s="106"/>
      <c r="W10" s="103"/>
      <c r="X10" s="104"/>
      <c r="Y10" s="78">
        <v>0</v>
      </c>
      <c r="Z10" s="79">
        <v>0</v>
      </c>
      <c r="AE10" s="3"/>
    </row>
    <row r="11" spans="1:31">
      <c r="A11" s="100"/>
      <c r="B11" s="81" t="s">
        <v>4</v>
      </c>
      <c r="C11" s="103"/>
      <c r="D11" s="104"/>
      <c r="E11" s="105"/>
      <c r="F11" s="106"/>
      <c r="G11" s="103"/>
      <c r="H11" s="104"/>
      <c r="I11" s="105"/>
      <c r="J11" s="106"/>
      <c r="K11" s="103"/>
      <c r="L11" s="104"/>
      <c r="M11" s="105"/>
      <c r="N11" s="106"/>
      <c r="O11" s="103"/>
      <c r="P11" s="104"/>
      <c r="Q11" s="105"/>
      <c r="R11" s="106"/>
      <c r="S11" s="103"/>
      <c r="T11" s="104"/>
      <c r="U11" s="105"/>
      <c r="V11" s="106"/>
      <c r="W11" s="103"/>
      <c r="X11" s="104"/>
      <c r="Y11" s="78">
        <v>-3.7590844416189574E-6</v>
      </c>
      <c r="Z11" s="79">
        <v>4.6068141161981614E-4</v>
      </c>
      <c r="AE11" s="3"/>
    </row>
    <row r="12" spans="1:31">
      <c r="A12" s="100"/>
      <c r="B12" s="81" t="s">
        <v>5</v>
      </c>
      <c r="C12" s="103"/>
      <c r="D12" s="104"/>
      <c r="E12" s="105"/>
      <c r="F12" s="106"/>
      <c r="G12" s="103"/>
      <c r="H12" s="104"/>
      <c r="I12" s="105"/>
      <c r="J12" s="106"/>
      <c r="K12" s="103"/>
      <c r="L12" s="104"/>
      <c r="M12" s="105"/>
      <c r="N12" s="106"/>
      <c r="O12" s="103"/>
      <c r="P12" s="104"/>
      <c r="Q12" s="105"/>
      <c r="R12" s="106"/>
      <c r="S12" s="103"/>
      <c r="T12" s="104"/>
      <c r="U12" s="105"/>
      <c r="V12" s="106"/>
      <c r="W12" s="103"/>
      <c r="X12" s="104"/>
      <c r="Y12" s="78">
        <v>0</v>
      </c>
      <c r="Z12" s="79">
        <v>0</v>
      </c>
      <c r="AE12" s="3"/>
    </row>
    <row r="13" spans="1:31">
      <c r="A13" s="100"/>
      <c r="B13" s="81" t="s">
        <v>6</v>
      </c>
      <c r="C13" s="103"/>
      <c r="D13" s="104"/>
      <c r="E13" s="105"/>
      <c r="F13" s="106"/>
      <c r="G13" s="103"/>
      <c r="H13" s="104"/>
      <c r="I13" s="105"/>
      <c r="J13" s="106"/>
      <c r="K13" s="103"/>
      <c r="L13" s="104"/>
      <c r="M13" s="105"/>
      <c r="N13" s="106"/>
      <c r="O13" s="103"/>
      <c r="P13" s="104"/>
      <c r="Q13" s="105"/>
      <c r="R13" s="106"/>
      <c r="S13" s="103"/>
      <c r="T13" s="104"/>
      <c r="U13" s="105"/>
      <c r="V13" s="106"/>
      <c r="W13" s="103"/>
      <c r="X13" s="104"/>
      <c r="Y13" s="78">
        <v>1.3243470373541887E-2</v>
      </c>
      <c r="Z13" s="79">
        <v>0.56129798567701461</v>
      </c>
      <c r="AE13" s="3"/>
    </row>
    <row r="14" spans="1:31">
      <c r="A14" s="100"/>
      <c r="B14" s="81" t="s">
        <v>62</v>
      </c>
      <c r="C14" s="103"/>
      <c r="D14" s="104"/>
      <c r="E14" s="105"/>
      <c r="F14" s="106"/>
      <c r="G14" s="103"/>
      <c r="H14" s="104"/>
      <c r="I14" s="105"/>
      <c r="J14" s="106"/>
      <c r="K14" s="103"/>
      <c r="L14" s="104"/>
      <c r="M14" s="105"/>
      <c r="N14" s="106"/>
      <c r="O14" s="103"/>
      <c r="P14" s="104"/>
      <c r="Q14" s="105"/>
      <c r="R14" s="106"/>
      <c r="S14" s="103"/>
      <c r="T14" s="104"/>
      <c r="U14" s="105"/>
      <c r="V14" s="106"/>
      <c r="W14" s="103"/>
      <c r="X14" s="104"/>
      <c r="Y14" s="78">
        <v>9.7236654487991066E-3</v>
      </c>
      <c r="Z14" s="79">
        <v>0.31233441807572204</v>
      </c>
      <c r="AE14" s="3"/>
    </row>
    <row r="15" spans="1:31">
      <c r="A15" s="100"/>
      <c r="B15" s="81" t="s">
        <v>7</v>
      </c>
      <c r="C15" s="103"/>
      <c r="D15" s="104"/>
      <c r="E15" s="105"/>
      <c r="F15" s="106"/>
      <c r="G15" s="103"/>
      <c r="H15" s="104"/>
      <c r="I15" s="105"/>
      <c r="J15" s="106"/>
      <c r="K15" s="103"/>
      <c r="L15" s="104"/>
      <c r="M15" s="105"/>
      <c r="N15" s="106"/>
      <c r="O15" s="103"/>
      <c r="P15" s="104"/>
      <c r="Q15" s="105"/>
      <c r="R15" s="106"/>
      <c r="S15" s="103"/>
      <c r="T15" s="104"/>
      <c r="U15" s="105"/>
      <c r="V15" s="106"/>
      <c r="W15" s="103"/>
      <c r="X15" s="104"/>
      <c r="Y15" s="78">
        <v>0</v>
      </c>
      <c r="Z15" s="79">
        <v>0</v>
      </c>
      <c r="AE15" s="3"/>
    </row>
    <row r="16" spans="1:31">
      <c r="A16" s="100"/>
      <c r="B16" s="81" t="s">
        <v>8</v>
      </c>
      <c r="C16" s="103"/>
      <c r="D16" s="104"/>
      <c r="E16" s="105"/>
      <c r="F16" s="106"/>
      <c r="G16" s="103"/>
      <c r="H16" s="104"/>
      <c r="I16" s="105"/>
      <c r="J16" s="106"/>
      <c r="K16" s="103"/>
      <c r="L16" s="104"/>
      <c r="M16" s="105"/>
      <c r="N16" s="106"/>
      <c r="O16" s="103"/>
      <c r="P16" s="104"/>
      <c r="Q16" s="105"/>
      <c r="R16" s="106"/>
      <c r="S16" s="103"/>
      <c r="T16" s="104"/>
      <c r="U16" s="105"/>
      <c r="V16" s="106"/>
      <c r="W16" s="103"/>
      <c r="X16" s="104"/>
      <c r="Y16" s="78">
        <v>3.1145262018718402E-5</v>
      </c>
      <c r="Z16" s="79">
        <v>2.2301148199558754E-3</v>
      </c>
      <c r="AE16" s="3"/>
    </row>
    <row r="17" spans="1:31">
      <c r="A17" s="100"/>
      <c r="B17" s="81" t="s">
        <v>9</v>
      </c>
      <c r="C17" s="103"/>
      <c r="D17" s="104"/>
      <c r="E17" s="105"/>
      <c r="F17" s="106"/>
      <c r="G17" s="103"/>
      <c r="H17" s="104"/>
      <c r="I17" s="105"/>
      <c r="J17" s="106"/>
      <c r="K17" s="103"/>
      <c r="L17" s="104"/>
      <c r="M17" s="105"/>
      <c r="N17" s="106"/>
      <c r="O17" s="103"/>
      <c r="P17" s="104"/>
      <c r="Q17" s="105"/>
      <c r="R17" s="106"/>
      <c r="S17" s="103"/>
      <c r="T17" s="104"/>
      <c r="U17" s="105"/>
      <c r="V17" s="106"/>
      <c r="W17" s="103"/>
      <c r="X17" s="104"/>
      <c r="Y17" s="78">
        <v>1.7315826333490607E-4</v>
      </c>
      <c r="Z17" s="79">
        <v>5.8053673603709736E-4</v>
      </c>
      <c r="AE17" s="3"/>
    </row>
    <row r="18" spans="1:31">
      <c r="A18" s="100"/>
      <c r="B18" s="81" t="s">
        <v>10</v>
      </c>
      <c r="C18" s="103"/>
      <c r="D18" s="104"/>
      <c r="E18" s="105"/>
      <c r="F18" s="106"/>
      <c r="G18" s="103"/>
      <c r="H18" s="104"/>
      <c r="I18" s="105"/>
      <c r="J18" s="106"/>
      <c r="K18" s="103"/>
      <c r="L18" s="104"/>
      <c r="M18" s="105"/>
      <c r="N18" s="106"/>
      <c r="O18" s="103"/>
      <c r="P18" s="104"/>
      <c r="Q18" s="105"/>
      <c r="R18" s="106"/>
      <c r="S18" s="103"/>
      <c r="T18" s="104"/>
      <c r="U18" s="105"/>
      <c r="V18" s="106"/>
      <c r="W18" s="103"/>
      <c r="X18" s="104"/>
      <c r="Y18" s="78">
        <v>-3.4586053622217456E-5</v>
      </c>
      <c r="Z18" s="79">
        <v>2.6677105150649614E-3</v>
      </c>
      <c r="AE18" s="3"/>
    </row>
    <row r="19" spans="1:31">
      <c r="A19" s="100"/>
      <c r="B19" s="81" t="s">
        <v>11</v>
      </c>
      <c r="C19" s="103"/>
      <c r="D19" s="104"/>
      <c r="E19" s="105"/>
      <c r="F19" s="106"/>
      <c r="G19" s="103"/>
      <c r="H19" s="104"/>
      <c r="I19" s="105"/>
      <c r="J19" s="106"/>
      <c r="K19" s="103"/>
      <c r="L19" s="104"/>
      <c r="M19" s="105"/>
      <c r="N19" s="106"/>
      <c r="O19" s="103"/>
      <c r="P19" s="104"/>
      <c r="Q19" s="105"/>
      <c r="R19" s="106"/>
      <c r="S19" s="103"/>
      <c r="T19" s="104"/>
      <c r="U19" s="105"/>
      <c r="V19" s="106"/>
      <c r="W19" s="103"/>
      <c r="X19" s="104"/>
      <c r="Y19" s="78">
        <v>5.1946376677882247E-4</v>
      </c>
      <c r="Z19" s="79">
        <v>6.4788273562140799E-4</v>
      </c>
    </row>
    <row r="20" spans="1:31">
      <c r="A20" s="100"/>
      <c r="B20" s="81" t="s">
        <v>12</v>
      </c>
      <c r="C20" s="103"/>
      <c r="D20" s="104"/>
      <c r="E20" s="105"/>
      <c r="F20" s="106"/>
      <c r="G20" s="103"/>
      <c r="H20" s="104"/>
      <c r="I20" s="105"/>
      <c r="J20" s="106"/>
      <c r="K20" s="103"/>
      <c r="L20" s="104"/>
      <c r="M20" s="105"/>
      <c r="N20" s="106"/>
      <c r="O20" s="103"/>
      <c r="P20" s="104"/>
      <c r="Q20" s="105"/>
      <c r="R20" s="106"/>
      <c r="S20" s="103"/>
      <c r="T20" s="104"/>
      <c r="U20" s="105"/>
      <c r="V20" s="106"/>
      <c r="W20" s="103"/>
      <c r="X20" s="104"/>
      <c r="Y20" s="78">
        <v>0</v>
      </c>
      <c r="Z20" s="79">
        <v>0</v>
      </c>
    </row>
    <row r="21" spans="1:31">
      <c r="A21" s="100"/>
      <c r="B21" s="81" t="s">
        <v>13</v>
      </c>
      <c r="C21" s="103"/>
      <c r="D21" s="104"/>
      <c r="E21" s="105"/>
      <c r="F21" s="106"/>
      <c r="G21" s="103"/>
      <c r="H21" s="104"/>
      <c r="I21" s="105"/>
      <c r="J21" s="106"/>
      <c r="K21" s="103"/>
      <c r="L21" s="104"/>
      <c r="M21" s="105"/>
      <c r="N21" s="106"/>
      <c r="O21" s="103"/>
      <c r="P21" s="104"/>
      <c r="Q21" s="105"/>
      <c r="R21" s="106"/>
      <c r="S21" s="103"/>
      <c r="T21" s="104"/>
      <c r="U21" s="105"/>
      <c r="V21" s="106"/>
      <c r="W21" s="103"/>
      <c r="X21" s="104"/>
      <c r="Y21" s="78">
        <v>0</v>
      </c>
      <c r="Z21" s="79">
        <v>0</v>
      </c>
    </row>
    <row r="22" spans="1:31">
      <c r="A22" s="100"/>
      <c r="B22" s="81" t="s">
        <v>14</v>
      </c>
      <c r="C22" s="103"/>
      <c r="D22" s="104"/>
      <c r="E22" s="105"/>
      <c r="F22" s="106"/>
      <c r="G22" s="103"/>
      <c r="H22" s="104"/>
      <c r="I22" s="105"/>
      <c r="J22" s="106"/>
      <c r="K22" s="103"/>
      <c r="L22" s="104"/>
      <c r="M22" s="105"/>
      <c r="N22" s="106"/>
      <c r="O22" s="103"/>
      <c r="P22" s="104"/>
      <c r="Q22" s="105"/>
      <c r="R22" s="106"/>
      <c r="S22" s="103"/>
      <c r="T22" s="104"/>
      <c r="U22" s="105"/>
      <c r="V22" s="106"/>
      <c r="W22" s="103"/>
      <c r="X22" s="104"/>
      <c r="Y22" s="78">
        <v>0</v>
      </c>
      <c r="Z22" s="79">
        <v>0</v>
      </c>
    </row>
    <row r="23" spans="1:31">
      <c r="A23" s="100"/>
      <c r="B23" s="81" t="s">
        <v>15</v>
      </c>
      <c r="C23" s="103"/>
      <c r="D23" s="104"/>
      <c r="E23" s="105"/>
      <c r="F23" s="106"/>
      <c r="G23" s="103"/>
      <c r="H23" s="104"/>
      <c r="I23" s="105"/>
      <c r="J23" s="106"/>
      <c r="K23" s="103"/>
      <c r="L23" s="104"/>
      <c r="M23" s="105"/>
      <c r="N23" s="106"/>
      <c r="O23" s="103"/>
      <c r="P23" s="104"/>
      <c r="Q23" s="105"/>
      <c r="R23" s="106"/>
      <c r="S23" s="103"/>
      <c r="T23" s="104"/>
      <c r="U23" s="105"/>
      <c r="V23" s="106"/>
      <c r="W23" s="103"/>
      <c r="X23" s="104"/>
      <c r="Y23" s="78">
        <v>0</v>
      </c>
      <c r="Z23" s="79">
        <v>0</v>
      </c>
    </row>
    <row r="24" spans="1:31">
      <c r="A24" s="100"/>
      <c r="B24" s="81" t="s">
        <v>16</v>
      </c>
      <c r="C24" s="103"/>
      <c r="D24" s="104"/>
      <c r="E24" s="105"/>
      <c r="F24" s="106"/>
      <c r="G24" s="103"/>
      <c r="H24" s="104"/>
      <c r="I24" s="105"/>
      <c r="J24" s="106"/>
      <c r="K24" s="103"/>
      <c r="L24" s="104"/>
      <c r="M24" s="105"/>
      <c r="N24" s="106"/>
      <c r="O24" s="103"/>
      <c r="P24" s="104"/>
      <c r="Q24" s="105"/>
      <c r="R24" s="106"/>
      <c r="S24" s="103"/>
      <c r="T24" s="104"/>
      <c r="U24" s="105"/>
      <c r="V24" s="106"/>
      <c r="W24" s="103"/>
      <c r="X24" s="104"/>
      <c r="Y24" s="78">
        <v>0</v>
      </c>
      <c r="Z24" s="79">
        <v>0</v>
      </c>
    </row>
    <row r="25" spans="1:31">
      <c r="A25" s="100"/>
      <c r="B25" s="81" t="s">
        <v>17</v>
      </c>
      <c r="C25" s="103"/>
      <c r="D25" s="104"/>
      <c r="E25" s="105"/>
      <c r="F25" s="106"/>
      <c r="G25" s="103"/>
      <c r="H25" s="104"/>
      <c r="I25" s="105"/>
      <c r="J25" s="106"/>
      <c r="K25" s="103"/>
      <c r="L25" s="104"/>
      <c r="M25" s="105"/>
      <c r="N25" s="106"/>
      <c r="O25" s="103"/>
      <c r="P25" s="104"/>
      <c r="Q25" s="105"/>
      <c r="R25" s="106"/>
      <c r="S25" s="103"/>
      <c r="T25" s="104"/>
      <c r="U25" s="105"/>
      <c r="V25" s="106"/>
      <c r="W25" s="103"/>
      <c r="X25" s="104"/>
      <c r="Y25" s="78">
        <v>1.0702999293044639E-6</v>
      </c>
      <c r="Z25" s="79">
        <v>9.4350430191302153E-5</v>
      </c>
    </row>
    <row r="26" spans="1:31">
      <c r="A26" s="100"/>
      <c r="B26" s="82" t="s">
        <v>18</v>
      </c>
      <c r="C26" s="107"/>
      <c r="D26" s="108"/>
      <c r="E26" s="109"/>
      <c r="F26" s="110"/>
      <c r="G26" s="107"/>
      <c r="H26" s="108"/>
      <c r="I26" s="109"/>
      <c r="J26" s="110"/>
      <c r="K26" s="107"/>
      <c r="L26" s="108"/>
      <c r="M26" s="109"/>
      <c r="N26" s="110"/>
      <c r="O26" s="107"/>
      <c r="P26" s="108"/>
      <c r="Q26" s="109"/>
      <c r="R26" s="110"/>
      <c r="S26" s="107"/>
      <c r="T26" s="108"/>
      <c r="U26" s="109"/>
      <c r="V26" s="110"/>
      <c r="W26" s="107"/>
      <c r="X26" s="108"/>
      <c r="Y26" s="83">
        <v>2.3969999999999998E-2</v>
      </c>
      <c r="Z26" s="84">
        <v>1</v>
      </c>
    </row>
    <row r="27" spans="1:31">
      <c r="A27" s="100"/>
      <c r="B27" s="85" t="s">
        <v>24</v>
      </c>
      <c r="C27" s="111"/>
      <c r="D27" s="112"/>
      <c r="E27" s="113"/>
      <c r="F27" s="112"/>
      <c r="G27" s="111"/>
      <c r="H27" s="112"/>
      <c r="I27" s="113"/>
      <c r="J27" s="112"/>
      <c r="K27" s="111"/>
      <c r="L27" s="112"/>
      <c r="M27" s="113"/>
      <c r="N27" s="112"/>
      <c r="O27" s="111"/>
      <c r="P27" s="112"/>
      <c r="Q27" s="113"/>
      <c r="R27" s="112"/>
      <c r="S27" s="111"/>
      <c r="T27" s="112"/>
      <c r="U27" s="113"/>
      <c r="V27" s="112"/>
      <c r="W27" s="111"/>
      <c r="X27" s="112"/>
      <c r="Y27" s="86">
        <v>22.1</v>
      </c>
      <c r="Z27" s="87"/>
    </row>
    <row r="28" spans="1:31">
      <c r="A28" s="100"/>
      <c r="B28" s="114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88"/>
    </row>
    <row r="29" spans="1:31">
      <c r="A29" s="100"/>
      <c r="B29" s="77" t="s">
        <v>19</v>
      </c>
      <c r="C29" s="116"/>
      <c r="D29" s="117"/>
      <c r="E29" s="118"/>
      <c r="F29" s="119"/>
      <c r="G29" s="116"/>
      <c r="H29" s="117"/>
      <c r="I29" s="118"/>
      <c r="J29" s="119"/>
      <c r="K29" s="116"/>
      <c r="L29" s="117"/>
      <c r="M29" s="118"/>
      <c r="N29" s="119"/>
      <c r="O29" s="116"/>
      <c r="P29" s="117"/>
      <c r="Q29" s="118"/>
      <c r="R29" s="119"/>
      <c r="S29" s="116"/>
      <c r="T29" s="117"/>
      <c r="U29" s="118"/>
      <c r="V29" s="119"/>
      <c r="W29" s="116"/>
      <c r="X29" s="117"/>
      <c r="Y29" s="89">
        <v>2.0494473658533453E-2</v>
      </c>
      <c r="Z29" s="90">
        <v>0.9199098791149134</v>
      </c>
    </row>
    <row r="30" spans="1:31">
      <c r="A30" s="100"/>
      <c r="B30" s="81" t="s">
        <v>20</v>
      </c>
      <c r="C30" s="103"/>
      <c r="D30" s="104"/>
      <c r="E30" s="105"/>
      <c r="F30" s="106"/>
      <c r="G30" s="103"/>
      <c r="H30" s="104"/>
      <c r="I30" s="105"/>
      <c r="J30" s="106"/>
      <c r="K30" s="103"/>
      <c r="L30" s="104"/>
      <c r="M30" s="105"/>
      <c r="N30" s="106"/>
      <c r="O30" s="103"/>
      <c r="P30" s="104"/>
      <c r="Q30" s="105"/>
      <c r="R30" s="106"/>
      <c r="S30" s="103"/>
      <c r="T30" s="104"/>
      <c r="U30" s="105"/>
      <c r="V30" s="106"/>
      <c r="W30" s="103"/>
      <c r="X30" s="104"/>
      <c r="Y30" s="78">
        <v>3.4755263414665508E-3</v>
      </c>
      <c r="Z30" s="79">
        <v>8.0090120885086588E-2</v>
      </c>
    </row>
    <row r="31" spans="1:31">
      <c r="A31" s="100"/>
      <c r="B31" s="82" t="s">
        <v>18</v>
      </c>
      <c r="C31" s="107"/>
      <c r="D31" s="108"/>
      <c r="E31" s="109"/>
      <c r="F31" s="110"/>
      <c r="G31" s="107"/>
      <c r="H31" s="108"/>
      <c r="I31" s="109"/>
      <c r="J31" s="110"/>
      <c r="K31" s="107"/>
      <c r="L31" s="108"/>
      <c r="M31" s="109"/>
      <c r="N31" s="110"/>
      <c r="O31" s="107"/>
      <c r="P31" s="108"/>
      <c r="Q31" s="109"/>
      <c r="R31" s="110"/>
      <c r="S31" s="107"/>
      <c r="T31" s="108"/>
      <c r="U31" s="109"/>
      <c r="V31" s="110"/>
      <c r="W31" s="107"/>
      <c r="X31" s="108"/>
      <c r="Y31" s="83">
        <v>2.3969999999999998E-2</v>
      </c>
      <c r="Z31" s="84">
        <v>1</v>
      </c>
    </row>
    <row r="32" spans="1:31">
      <c r="A32" s="100"/>
      <c r="B32" s="114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88"/>
    </row>
    <row r="33" spans="1:26">
      <c r="A33" s="100"/>
      <c r="B33" s="77" t="s">
        <v>21</v>
      </c>
      <c r="C33" s="116"/>
      <c r="D33" s="117"/>
      <c r="E33" s="118"/>
      <c r="F33" s="119"/>
      <c r="G33" s="116"/>
      <c r="H33" s="117"/>
      <c r="I33" s="118"/>
      <c r="J33" s="119"/>
      <c r="K33" s="116"/>
      <c r="L33" s="117"/>
      <c r="M33" s="118"/>
      <c r="N33" s="119"/>
      <c r="O33" s="116"/>
      <c r="P33" s="117"/>
      <c r="Q33" s="118"/>
      <c r="R33" s="119"/>
      <c r="S33" s="116"/>
      <c r="T33" s="117"/>
      <c r="U33" s="118"/>
      <c r="V33" s="119"/>
      <c r="W33" s="116"/>
      <c r="X33" s="117"/>
      <c r="Y33" s="89">
        <v>2.3919256219405247E-2</v>
      </c>
      <c r="Z33" s="90">
        <v>0.99484988845928568</v>
      </c>
    </row>
    <row r="34" spans="1:26">
      <c r="A34" s="100"/>
      <c r="B34" s="81" t="s">
        <v>22</v>
      </c>
      <c r="C34" s="103"/>
      <c r="D34" s="104"/>
      <c r="E34" s="105"/>
      <c r="F34" s="106"/>
      <c r="G34" s="103"/>
      <c r="H34" s="104"/>
      <c r="I34" s="105"/>
      <c r="J34" s="106"/>
      <c r="K34" s="103"/>
      <c r="L34" s="104"/>
      <c r="M34" s="105"/>
      <c r="N34" s="106"/>
      <c r="O34" s="103"/>
      <c r="P34" s="104"/>
      <c r="Q34" s="105"/>
      <c r="R34" s="106"/>
      <c r="S34" s="103"/>
      <c r="T34" s="104"/>
      <c r="U34" s="105"/>
      <c r="V34" s="106"/>
      <c r="W34" s="103"/>
      <c r="X34" s="104"/>
      <c r="Y34" s="78">
        <v>5.0743780594755594E-5</v>
      </c>
      <c r="Z34" s="79">
        <v>5.1501115407143255E-3</v>
      </c>
    </row>
    <row r="35" spans="1:26">
      <c r="A35" s="100"/>
      <c r="B35" s="91" t="s">
        <v>18</v>
      </c>
      <c r="C35" s="120"/>
      <c r="D35" s="121"/>
      <c r="E35" s="122"/>
      <c r="F35" s="123"/>
      <c r="G35" s="120"/>
      <c r="H35" s="121"/>
      <c r="I35" s="122"/>
      <c r="J35" s="123"/>
      <c r="K35" s="120"/>
      <c r="L35" s="121"/>
      <c r="M35" s="122"/>
      <c r="N35" s="123"/>
      <c r="O35" s="120"/>
      <c r="P35" s="121"/>
      <c r="Q35" s="122"/>
      <c r="R35" s="123"/>
      <c r="S35" s="120"/>
      <c r="T35" s="121"/>
      <c r="U35" s="122"/>
      <c r="V35" s="123"/>
      <c r="W35" s="120"/>
      <c r="X35" s="121"/>
      <c r="Y35" s="92">
        <v>2.3969999999999998E-2</v>
      </c>
      <c r="Z35" s="93">
        <v>1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00"/>
      <c r="B37" s="71" t="s">
        <v>23</v>
      </c>
      <c r="C37" s="72" t="s">
        <v>54</v>
      </c>
      <c r="D37" s="73" t="s">
        <v>55</v>
      </c>
      <c r="E37" s="74" t="s">
        <v>56</v>
      </c>
      <c r="F37" s="75" t="s">
        <v>57</v>
      </c>
      <c r="G37" s="72" t="s">
        <v>58</v>
      </c>
      <c r="H37" s="73" t="s">
        <v>59</v>
      </c>
      <c r="I37" s="74" t="s">
        <v>60</v>
      </c>
      <c r="J37" s="76" t="s">
        <v>61</v>
      </c>
      <c r="K37" s="124" t="s">
        <v>1417</v>
      </c>
      <c r="L37" s="124" t="s">
        <v>1417</v>
      </c>
      <c r="M37" s="124" t="s">
        <v>1417</v>
      </c>
      <c r="N37" s="124" t="s">
        <v>1417</v>
      </c>
      <c r="O37" s="124" t="s">
        <v>1417</v>
      </c>
      <c r="P37" s="124" t="s">
        <v>1417</v>
      </c>
      <c r="Q37" s="124" t="s">
        <v>1417</v>
      </c>
      <c r="R37" s="124" t="s">
        <v>1417</v>
      </c>
      <c r="S37" s="124" t="s">
        <v>1417</v>
      </c>
      <c r="T37" s="124" t="s">
        <v>1417</v>
      </c>
      <c r="U37" s="124" t="s">
        <v>1417</v>
      </c>
      <c r="V37" s="124" t="s">
        <v>1417</v>
      </c>
      <c r="W37" s="124" t="s">
        <v>1417</v>
      </c>
      <c r="X37" s="124" t="s">
        <v>1417</v>
      </c>
      <c r="Y37" s="124" t="s">
        <v>1417</v>
      </c>
      <c r="Z37" s="33"/>
    </row>
    <row r="38" spans="1:26">
      <c r="A38" s="100"/>
      <c r="B38" s="77" t="s">
        <v>1</v>
      </c>
      <c r="C38" s="103"/>
      <c r="D38" s="104"/>
      <c r="E38" s="105"/>
      <c r="F38" s="106"/>
      <c r="G38" s="103"/>
      <c r="H38" s="104"/>
      <c r="I38" s="78">
        <v>3.1637172366116704E-4</v>
      </c>
      <c r="J38" s="79">
        <v>0.11968631959877289</v>
      </c>
      <c r="K38" s="124" t="s">
        <v>1417</v>
      </c>
      <c r="L38" s="124" t="s">
        <v>1417</v>
      </c>
      <c r="M38" s="124" t="s">
        <v>1417</v>
      </c>
      <c r="N38" s="124" t="s">
        <v>1417</v>
      </c>
      <c r="O38" s="124" t="s">
        <v>1417</v>
      </c>
      <c r="P38" s="124" t="s">
        <v>1417</v>
      </c>
      <c r="Q38" s="124" t="s">
        <v>1417</v>
      </c>
      <c r="R38" s="124" t="s">
        <v>1417</v>
      </c>
      <c r="S38" s="124" t="s">
        <v>1417</v>
      </c>
      <c r="T38" s="124" t="s">
        <v>1417</v>
      </c>
      <c r="U38" s="124" t="s">
        <v>1417</v>
      </c>
      <c r="V38" s="124" t="s">
        <v>1417</v>
      </c>
      <c r="W38" s="124" t="s">
        <v>1417</v>
      </c>
      <c r="X38" s="124" t="s">
        <v>1417</v>
      </c>
      <c r="Y38" s="124" t="s">
        <v>1417</v>
      </c>
      <c r="Z38" s="33"/>
    </row>
    <row r="39" spans="1:26" ht="30">
      <c r="A39" s="100"/>
      <c r="B39" s="80" t="s">
        <v>908</v>
      </c>
      <c r="C39" s="103"/>
      <c r="D39" s="104"/>
      <c r="E39" s="105"/>
      <c r="F39" s="106"/>
      <c r="G39" s="103"/>
      <c r="H39" s="104"/>
      <c r="I39" s="78">
        <v>0</v>
      </c>
      <c r="J39" s="79">
        <v>0</v>
      </c>
      <c r="K39" s="124" t="s">
        <v>1417</v>
      </c>
      <c r="L39" s="124" t="s">
        <v>1417</v>
      </c>
      <c r="M39" s="124" t="s">
        <v>1417</v>
      </c>
      <c r="N39" s="124" t="s">
        <v>1417</v>
      </c>
      <c r="O39" s="124" t="s">
        <v>1417</v>
      </c>
      <c r="P39" s="124" t="s">
        <v>1417</v>
      </c>
      <c r="Q39" s="124" t="s">
        <v>1417</v>
      </c>
      <c r="R39" s="124" t="s">
        <v>1417</v>
      </c>
      <c r="S39" s="124" t="s">
        <v>1417</v>
      </c>
      <c r="T39" s="124" t="s">
        <v>1417</v>
      </c>
      <c r="U39" s="124" t="s">
        <v>1417</v>
      </c>
      <c r="V39" s="124" t="s">
        <v>1417</v>
      </c>
      <c r="W39" s="124" t="s">
        <v>1417</v>
      </c>
      <c r="X39" s="124" t="s">
        <v>1417</v>
      </c>
      <c r="Y39" s="124" t="s">
        <v>1417</v>
      </c>
      <c r="Z39" s="33"/>
    </row>
    <row r="40" spans="1:26">
      <c r="A40" s="100"/>
      <c r="B40" s="81" t="s">
        <v>2</v>
      </c>
      <c r="C40" s="103"/>
      <c r="D40" s="104"/>
      <c r="E40" s="105"/>
      <c r="F40" s="106"/>
      <c r="G40" s="103"/>
      <c r="H40" s="104"/>
      <c r="I40" s="78">
        <v>0</v>
      </c>
      <c r="J40" s="79">
        <v>0</v>
      </c>
      <c r="K40" s="124" t="s">
        <v>1417</v>
      </c>
      <c r="L40" s="124" t="s">
        <v>1417</v>
      </c>
      <c r="M40" s="124" t="s">
        <v>1417</v>
      </c>
      <c r="N40" s="124" t="s">
        <v>1417</v>
      </c>
      <c r="O40" s="124" t="s">
        <v>1417</v>
      </c>
      <c r="P40" s="124" t="s">
        <v>1417</v>
      </c>
      <c r="Q40" s="124" t="s">
        <v>1417</v>
      </c>
      <c r="R40" s="124" t="s">
        <v>1417</v>
      </c>
      <c r="S40" s="124" t="s">
        <v>1417</v>
      </c>
      <c r="T40" s="124" t="s">
        <v>1417</v>
      </c>
      <c r="U40" s="124" t="s">
        <v>1417</v>
      </c>
      <c r="V40" s="124" t="s">
        <v>1417</v>
      </c>
      <c r="W40" s="124" t="s">
        <v>1417</v>
      </c>
      <c r="X40" s="124" t="s">
        <v>1417</v>
      </c>
      <c r="Y40" s="124" t="s">
        <v>1417</v>
      </c>
      <c r="Z40" s="33"/>
    </row>
    <row r="41" spans="1:26">
      <c r="A41" s="100"/>
      <c r="B41" s="81" t="s">
        <v>3</v>
      </c>
      <c r="C41" s="103"/>
      <c r="D41" s="104"/>
      <c r="E41" s="105"/>
      <c r="F41" s="106"/>
      <c r="G41" s="103"/>
      <c r="H41" s="104"/>
      <c r="I41" s="78">
        <v>0</v>
      </c>
      <c r="J41" s="79">
        <v>0</v>
      </c>
      <c r="K41" s="124" t="s">
        <v>1417</v>
      </c>
      <c r="L41" s="124" t="s">
        <v>1417</v>
      </c>
      <c r="M41" s="124" t="s">
        <v>1417</v>
      </c>
      <c r="N41" s="124" t="s">
        <v>1417</v>
      </c>
      <c r="O41" s="124" t="s">
        <v>1417</v>
      </c>
      <c r="P41" s="124" t="s">
        <v>1417</v>
      </c>
      <c r="Q41" s="124" t="s">
        <v>1417</v>
      </c>
      <c r="R41" s="124" t="s">
        <v>1417</v>
      </c>
      <c r="S41" s="124" t="s">
        <v>1417</v>
      </c>
      <c r="T41" s="124" t="s">
        <v>1417</v>
      </c>
      <c r="U41" s="124" t="s">
        <v>1417</v>
      </c>
      <c r="V41" s="124" t="s">
        <v>1417</v>
      </c>
      <c r="W41" s="124" t="s">
        <v>1417</v>
      </c>
      <c r="X41" s="124" t="s">
        <v>1417</v>
      </c>
      <c r="Y41" s="124" t="s">
        <v>1417</v>
      </c>
      <c r="Z41" s="33"/>
    </row>
    <row r="42" spans="1:26">
      <c r="A42" s="100"/>
      <c r="B42" s="81" t="s">
        <v>4</v>
      </c>
      <c r="C42" s="103"/>
      <c r="D42" s="104"/>
      <c r="E42" s="105"/>
      <c r="F42" s="106"/>
      <c r="G42" s="103"/>
      <c r="H42" s="104"/>
      <c r="I42" s="78">
        <v>-3.75908444161242E-6</v>
      </c>
      <c r="J42" s="79">
        <v>4.6068141161981614E-4</v>
      </c>
      <c r="K42" s="124" t="s">
        <v>1417</v>
      </c>
      <c r="L42" s="124" t="s">
        <v>1417</v>
      </c>
      <c r="M42" s="124" t="s">
        <v>1417</v>
      </c>
      <c r="N42" s="124" t="s">
        <v>1417</v>
      </c>
      <c r="O42" s="124" t="s">
        <v>1417</v>
      </c>
      <c r="P42" s="124" t="s">
        <v>1417</v>
      </c>
      <c r="Q42" s="124" t="s">
        <v>1417</v>
      </c>
      <c r="R42" s="124" t="s">
        <v>1417</v>
      </c>
      <c r="S42" s="124" t="s">
        <v>1417</v>
      </c>
      <c r="T42" s="124" t="s">
        <v>1417</v>
      </c>
      <c r="U42" s="124" t="s">
        <v>1417</v>
      </c>
      <c r="V42" s="124" t="s">
        <v>1417</v>
      </c>
      <c r="W42" s="124" t="s">
        <v>1417</v>
      </c>
      <c r="X42" s="124" t="s">
        <v>1417</v>
      </c>
      <c r="Y42" s="124" t="s">
        <v>1417</v>
      </c>
      <c r="Z42" s="33"/>
    </row>
    <row r="43" spans="1:26">
      <c r="A43" s="100"/>
      <c r="B43" s="81" t="s">
        <v>5</v>
      </c>
      <c r="C43" s="103"/>
      <c r="D43" s="104"/>
      <c r="E43" s="105"/>
      <c r="F43" s="106"/>
      <c r="G43" s="103"/>
      <c r="H43" s="104"/>
      <c r="I43" s="78">
        <v>0</v>
      </c>
      <c r="J43" s="79">
        <v>0</v>
      </c>
      <c r="K43" s="124" t="s">
        <v>1417</v>
      </c>
      <c r="L43" s="124" t="s">
        <v>1417</v>
      </c>
      <c r="M43" s="124" t="s">
        <v>1417</v>
      </c>
      <c r="N43" s="124" t="s">
        <v>1417</v>
      </c>
      <c r="O43" s="124" t="s">
        <v>1417</v>
      </c>
      <c r="P43" s="124" t="s">
        <v>1417</v>
      </c>
      <c r="Q43" s="124" t="s">
        <v>1417</v>
      </c>
      <c r="R43" s="124" t="s">
        <v>1417</v>
      </c>
      <c r="S43" s="124" t="s">
        <v>1417</v>
      </c>
      <c r="T43" s="124" t="s">
        <v>1417</v>
      </c>
      <c r="U43" s="124" t="s">
        <v>1417</v>
      </c>
      <c r="V43" s="124" t="s">
        <v>1417</v>
      </c>
      <c r="W43" s="124" t="s">
        <v>1417</v>
      </c>
      <c r="X43" s="124" t="s">
        <v>1417</v>
      </c>
      <c r="Y43" s="124" t="s">
        <v>1417</v>
      </c>
      <c r="Z43" s="33"/>
    </row>
    <row r="44" spans="1:26">
      <c r="A44" s="100"/>
      <c r="B44" s="81" t="s">
        <v>6</v>
      </c>
      <c r="C44" s="103"/>
      <c r="D44" s="104"/>
      <c r="E44" s="105"/>
      <c r="F44" s="106"/>
      <c r="G44" s="103"/>
      <c r="H44" s="104"/>
      <c r="I44" s="78">
        <v>1.3243470373541727E-2</v>
      </c>
      <c r="J44" s="79">
        <v>0.56129798567701461</v>
      </c>
      <c r="K44" s="124" t="s">
        <v>1417</v>
      </c>
      <c r="L44" s="124" t="s">
        <v>1417</v>
      </c>
      <c r="M44" s="124" t="s">
        <v>1417</v>
      </c>
      <c r="N44" s="124" t="s">
        <v>1417</v>
      </c>
      <c r="O44" s="124" t="s">
        <v>1417</v>
      </c>
      <c r="P44" s="124" t="s">
        <v>1417</v>
      </c>
      <c r="Q44" s="124" t="s">
        <v>1417</v>
      </c>
      <c r="R44" s="124" t="s">
        <v>1417</v>
      </c>
      <c r="S44" s="124" t="s">
        <v>1417</v>
      </c>
      <c r="T44" s="124" t="s">
        <v>1417</v>
      </c>
      <c r="U44" s="124" t="s">
        <v>1417</v>
      </c>
      <c r="V44" s="124" t="s">
        <v>1417</v>
      </c>
      <c r="W44" s="124" t="s">
        <v>1417</v>
      </c>
      <c r="X44" s="124" t="s">
        <v>1417</v>
      </c>
      <c r="Y44" s="124" t="s">
        <v>1417</v>
      </c>
      <c r="Z44" s="33"/>
    </row>
    <row r="45" spans="1:26">
      <c r="A45" s="100"/>
      <c r="B45" s="81" t="s">
        <v>62</v>
      </c>
      <c r="C45" s="103"/>
      <c r="D45" s="104"/>
      <c r="E45" s="105"/>
      <c r="F45" s="106"/>
      <c r="G45" s="103"/>
      <c r="H45" s="104"/>
      <c r="I45" s="78">
        <v>9.7236654487990563E-3</v>
      </c>
      <c r="J45" s="79">
        <v>0.31233441807572204</v>
      </c>
      <c r="K45" s="124" t="s">
        <v>1417</v>
      </c>
      <c r="L45" s="124" t="s">
        <v>1417</v>
      </c>
      <c r="M45" s="124" t="s">
        <v>1417</v>
      </c>
      <c r="N45" s="124" t="s">
        <v>1417</v>
      </c>
      <c r="O45" s="124" t="s">
        <v>1417</v>
      </c>
      <c r="P45" s="124" t="s">
        <v>1417</v>
      </c>
      <c r="Q45" s="124" t="s">
        <v>1417</v>
      </c>
      <c r="R45" s="124" t="s">
        <v>1417</v>
      </c>
      <c r="S45" s="124" t="s">
        <v>1417</v>
      </c>
      <c r="T45" s="124" t="s">
        <v>1417</v>
      </c>
      <c r="U45" s="124" t="s">
        <v>1417</v>
      </c>
      <c r="V45" s="124" t="s">
        <v>1417</v>
      </c>
      <c r="W45" s="124" t="s">
        <v>1417</v>
      </c>
      <c r="X45" s="124" t="s">
        <v>1417</v>
      </c>
      <c r="Y45" s="124" t="s">
        <v>1417</v>
      </c>
      <c r="Z45" s="33"/>
    </row>
    <row r="46" spans="1:26">
      <c r="A46" s="100"/>
      <c r="B46" s="81" t="s">
        <v>7</v>
      </c>
      <c r="C46" s="103"/>
      <c r="D46" s="104"/>
      <c r="E46" s="105"/>
      <c r="F46" s="106"/>
      <c r="G46" s="103"/>
      <c r="H46" s="104"/>
      <c r="I46" s="78">
        <v>0</v>
      </c>
      <c r="J46" s="79">
        <v>0</v>
      </c>
      <c r="K46" s="124" t="s">
        <v>1417</v>
      </c>
      <c r="L46" s="124" t="s">
        <v>1417</v>
      </c>
      <c r="M46" s="124" t="s">
        <v>1417</v>
      </c>
      <c r="N46" s="124" t="s">
        <v>1417</v>
      </c>
      <c r="O46" s="124" t="s">
        <v>1417</v>
      </c>
      <c r="P46" s="124" t="s">
        <v>1417</v>
      </c>
      <c r="Q46" s="124" t="s">
        <v>1417</v>
      </c>
      <c r="R46" s="124" t="s">
        <v>1417</v>
      </c>
      <c r="S46" s="124" t="s">
        <v>1417</v>
      </c>
      <c r="T46" s="124" t="s">
        <v>1417</v>
      </c>
      <c r="U46" s="124" t="s">
        <v>1417</v>
      </c>
      <c r="V46" s="124" t="s">
        <v>1417</v>
      </c>
      <c r="W46" s="124" t="s">
        <v>1417</v>
      </c>
      <c r="X46" s="124" t="s">
        <v>1417</v>
      </c>
      <c r="Y46" s="124" t="s">
        <v>1417</v>
      </c>
      <c r="Z46" s="33"/>
    </row>
    <row r="47" spans="1:26">
      <c r="A47" s="100"/>
      <c r="B47" s="81" t="s">
        <v>8</v>
      </c>
      <c r="C47" s="103"/>
      <c r="D47" s="104"/>
      <c r="E47" s="105"/>
      <c r="F47" s="106"/>
      <c r="G47" s="103"/>
      <c r="H47" s="104"/>
      <c r="I47" s="78">
        <v>3.1145262018750088E-5</v>
      </c>
      <c r="J47" s="79">
        <v>2.2301148199558754E-3</v>
      </c>
      <c r="K47" s="124" t="s">
        <v>1417</v>
      </c>
      <c r="L47" s="124" t="s">
        <v>1417</v>
      </c>
      <c r="M47" s="124" t="s">
        <v>1417</v>
      </c>
      <c r="N47" s="124" t="s">
        <v>1417</v>
      </c>
      <c r="O47" s="124" t="s">
        <v>1417</v>
      </c>
      <c r="P47" s="124" t="s">
        <v>1417</v>
      </c>
      <c r="Q47" s="124" t="s">
        <v>1417</v>
      </c>
      <c r="R47" s="124" t="s">
        <v>1417</v>
      </c>
      <c r="S47" s="124" t="s">
        <v>1417</v>
      </c>
      <c r="T47" s="124" t="s">
        <v>1417</v>
      </c>
      <c r="U47" s="124" t="s">
        <v>1417</v>
      </c>
      <c r="V47" s="124" t="s">
        <v>1417</v>
      </c>
      <c r="W47" s="124" t="s">
        <v>1417</v>
      </c>
      <c r="X47" s="124" t="s">
        <v>1417</v>
      </c>
      <c r="Y47" s="124" t="s">
        <v>1417</v>
      </c>
      <c r="Z47" s="33"/>
    </row>
    <row r="48" spans="1:26">
      <c r="A48" s="100"/>
      <c r="B48" s="81" t="s">
        <v>9</v>
      </c>
      <c r="C48" s="103"/>
      <c r="D48" s="104"/>
      <c r="E48" s="105"/>
      <c r="F48" s="106"/>
      <c r="G48" s="103"/>
      <c r="H48" s="104"/>
      <c r="I48" s="78">
        <v>1.7315826333485969E-4</v>
      </c>
      <c r="J48" s="79">
        <v>5.8053673603709736E-4</v>
      </c>
      <c r="K48" s="124" t="s">
        <v>1417</v>
      </c>
      <c r="L48" s="124" t="s">
        <v>1417</v>
      </c>
      <c r="M48" s="124" t="s">
        <v>1417</v>
      </c>
      <c r="N48" s="124" t="s">
        <v>1417</v>
      </c>
      <c r="O48" s="124" t="s">
        <v>1417</v>
      </c>
      <c r="P48" s="124" t="s">
        <v>1417</v>
      </c>
      <c r="Q48" s="124" t="s">
        <v>1417</v>
      </c>
      <c r="R48" s="124" t="s">
        <v>1417</v>
      </c>
      <c r="S48" s="124" t="s">
        <v>1417</v>
      </c>
      <c r="T48" s="124" t="s">
        <v>1417</v>
      </c>
      <c r="U48" s="124" t="s">
        <v>1417</v>
      </c>
      <c r="V48" s="124" t="s">
        <v>1417</v>
      </c>
      <c r="W48" s="124" t="s">
        <v>1417</v>
      </c>
      <c r="X48" s="124" t="s">
        <v>1417</v>
      </c>
      <c r="Y48" s="124" t="s">
        <v>1417</v>
      </c>
      <c r="Z48" s="33"/>
    </row>
    <row r="49" spans="1:26">
      <c r="A49" s="100"/>
      <c r="B49" s="81" t="s">
        <v>10</v>
      </c>
      <c r="C49" s="103"/>
      <c r="D49" s="104"/>
      <c r="E49" s="105"/>
      <c r="F49" s="106"/>
      <c r="G49" s="103"/>
      <c r="H49" s="104"/>
      <c r="I49" s="78">
        <v>-3.4586053622165218E-5</v>
      </c>
      <c r="J49" s="79">
        <v>2.6677105150649614E-3</v>
      </c>
      <c r="K49" s="124" t="s">
        <v>1417</v>
      </c>
      <c r="L49" s="124" t="s">
        <v>1417</v>
      </c>
      <c r="M49" s="124" t="s">
        <v>1417</v>
      </c>
      <c r="N49" s="124" t="s">
        <v>1417</v>
      </c>
      <c r="O49" s="124" t="s">
        <v>1417</v>
      </c>
      <c r="P49" s="124" t="s">
        <v>1417</v>
      </c>
      <c r="Q49" s="124" t="s">
        <v>1417</v>
      </c>
      <c r="R49" s="124" t="s">
        <v>1417</v>
      </c>
      <c r="S49" s="124" t="s">
        <v>1417</v>
      </c>
      <c r="T49" s="124" t="s">
        <v>1417</v>
      </c>
      <c r="U49" s="124" t="s">
        <v>1417</v>
      </c>
      <c r="V49" s="124" t="s">
        <v>1417</v>
      </c>
      <c r="W49" s="124" t="s">
        <v>1417</v>
      </c>
      <c r="X49" s="124" t="s">
        <v>1417</v>
      </c>
      <c r="Y49" s="124" t="s">
        <v>1417</v>
      </c>
      <c r="Z49" s="33"/>
    </row>
    <row r="50" spans="1:26">
      <c r="A50" s="100"/>
      <c r="B50" s="81" t="s">
        <v>11</v>
      </c>
      <c r="C50" s="103"/>
      <c r="D50" s="104"/>
      <c r="E50" s="105"/>
      <c r="F50" s="106"/>
      <c r="G50" s="103"/>
      <c r="H50" s="104"/>
      <c r="I50" s="78">
        <v>5.1946376677891354E-4</v>
      </c>
      <c r="J50" s="79">
        <v>6.4788273562140799E-4</v>
      </c>
      <c r="K50" s="124" t="s">
        <v>1417</v>
      </c>
      <c r="L50" s="124" t="s">
        <v>1417</v>
      </c>
      <c r="M50" s="124" t="s">
        <v>1417</v>
      </c>
      <c r="N50" s="124" t="s">
        <v>1417</v>
      </c>
      <c r="O50" s="124" t="s">
        <v>1417</v>
      </c>
      <c r="P50" s="124" t="s">
        <v>1417</v>
      </c>
      <c r="Q50" s="124" t="s">
        <v>1417</v>
      </c>
      <c r="R50" s="124" t="s">
        <v>1417</v>
      </c>
      <c r="S50" s="124" t="s">
        <v>1417</v>
      </c>
      <c r="T50" s="124" t="s">
        <v>1417</v>
      </c>
      <c r="U50" s="124" t="s">
        <v>1417</v>
      </c>
      <c r="V50" s="124" t="s">
        <v>1417</v>
      </c>
      <c r="W50" s="124" t="s">
        <v>1417</v>
      </c>
      <c r="X50" s="124" t="s">
        <v>1417</v>
      </c>
      <c r="Y50" s="124" t="s">
        <v>1417</v>
      </c>
      <c r="Z50" s="33"/>
    </row>
    <row r="51" spans="1:26">
      <c r="A51" s="100"/>
      <c r="B51" s="81" t="s">
        <v>12</v>
      </c>
      <c r="C51" s="103"/>
      <c r="D51" s="104"/>
      <c r="E51" s="105"/>
      <c r="F51" s="106"/>
      <c r="G51" s="103"/>
      <c r="H51" s="104"/>
      <c r="I51" s="78">
        <v>0</v>
      </c>
      <c r="J51" s="79">
        <v>0</v>
      </c>
      <c r="K51" s="124" t="s">
        <v>1417</v>
      </c>
      <c r="L51" s="124" t="s">
        <v>1417</v>
      </c>
      <c r="M51" s="124" t="s">
        <v>1417</v>
      </c>
      <c r="N51" s="124" t="s">
        <v>1417</v>
      </c>
      <c r="O51" s="124" t="s">
        <v>1417</v>
      </c>
      <c r="P51" s="124" t="s">
        <v>1417</v>
      </c>
      <c r="Q51" s="124" t="s">
        <v>1417</v>
      </c>
      <c r="R51" s="124" t="s">
        <v>1417</v>
      </c>
      <c r="S51" s="124" t="s">
        <v>1417</v>
      </c>
      <c r="T51" s="124" t="s">
        <v>1417</v>
      </c>
      <c r="U51" s="124" t="s">
        <v>1417</v>
      </c>
      <c r="V51" s="124" t="s">
        <v>1417</v>
      </c>
      <c r="W51" s="124" t="s">
        <v>1417</v>
      </c>
      <c r="X51" s="124" t="s">
        <v>1417</v>
      </c>
      <c r="Y51" s="124" t="s">
        <v>1417</v>
      </c>
      <c r="Z51" s="33"/>
    </row>
    <row r="52" spans="1:26">
      <c r="A52" s="100"/>
      <c r="B52" s="81" t="s">
        <v>13</v>
      </c>
      <c r="C52" s="103"/>
      <c r="D52" s="104"/>
      <c r="E52" s="105"/>
      <c r="F52" s="106"/>
      <c r="G52" s="103"/>
      <c r="H52" s="104"/>
      <c r="I52" s="78">
        <v>0</v>
      </c>
      <c r="J52" s="79">
        <v>0</v>
      </c>
      <c r="K52" s="124" t="s">
        <v>1417</v>
      </c>
      <c r="L52" s="124" t="s">
        <v>1417</v>
      </c>
      <c r="M52" s="124" t="s">
        <v>1417</v>
      </c>
      <c r="N52" s="124" t="s">
        <v>1417</v>
      </c>
      <c r="O52" s="124" t="s">
        <v>1417</v>
      </c>
      <c r="P52" s="124" t="s">
        <v>1417</v>
      </c>
      <c r="Q52" s="124" t="s">
        <v>1417</v>
      </c>
      <c r="R52" s="124" t="s">
        <v>1417</v>
      </c>
      <c r="S52" s="124" t="s">
        <v>1417</v>
      </c>
      <c r="T52" s="124" t="s">
        <v>1417</v>
      </c>
      <c r="U52" s="124" t="s">
        <v>1417</v>
      </c>
      <c r="V52" s="124" t="s">
        <v>1417</v>
      </c>
      <c r="W52" s="124" t="s">
        <v>1417</v>
      </c>
      <c r="X52" s="124" t="s">
        <v>1417</v>
      </c>
      <c r="Y52" s="124" t="s">
        <v>1417</v>
      </c>
      <c r="Z52" s="33"/>
    </row>
    <row r="53" spans="1:26">
      <c r="A53" s="100"/>
      <c r="B53" s="81" t="s">
        <v>14</v>
      </c>
      <c r="C53" s="103"/>
      <c r="D53" s="104"/>
      <c r="E53" s="105"/>
      <c r="F53" s="106"/>
      <c r="G53" s="103"/>
      <c r="H53" s="104"/>
      <c r="I53" s="78">
        <v>0</v>
      </c>
      <c r="J53" s="79">
        <v>0</v>
      </c>
      <c r="K53" s="124" t="s">
        <v>1417</v>
      </c>
      <c r="L53" s="124" t="s">
        <v>1417</v>
      </c>
      <c r="M53" s="124" t="s">
        <v>1417</v>
      </c>
      <c r="N53" s="124" t="s">
        <v>1417</v>
      </c>
      <c r="O53" s="124" t="s">
        <v>1417</v>
      </c>
      <c r="P53" s="124" t="s">
        <v>1417</v>
      </c>
      <c r="Q53" s="124" t="s">
        <v>1417</v>
      </c>
      <c r="R53" s="124" t="s">
        <v>1417</v>
      </c>
      <c r="S53" s="124" t="s">
        <v>1417</v>
      </c>
      <c r="T53" s="124" t="s">
        <v>1417</v>
      </c>
      <c r="U53" s="124" t="s">
        <v>1417</v>
      </c>
      <c r="V53" s="124" t="s">
        <v>1417</v>
      </c>
      <c r="W53" s="124" t="s">
        <v>1417</v>
      </c>
      <c r="X53" s="124" t="s">
        <v>1417</v>
      </c>
      <c r="Y53" s="124" t="s">
        <v>1417</v>
      </c>
      <c r="Z53" s="33"/>
    </row>
    <row r="54" spans="1:26">
      <c r="A54" s="100"/>
      <c r="B54" s="81" t="s">
        <v>15</v>
      </c>
      <c r="C54" s="103"/>
      <c r="D54" s="104"/>
      <c r="E54" s="105"/>
      <c r="F54" s="106"/>
      <c r="G54" s="103"/>
      <c r="H54" s="104"/>
      <c r="I54" s="78">
        <v>0</v>
      </c>
      <c r="J54" s="79">
        <v>0</v>
      </c>
      <c r="K54" s="124" t="s">
        <v>1417</v>
      </c>
      <c r="L54" s="124" t="s">
        <v>1417</v>
      </c>
      <c r="M54" s="124" t="s">
        <v>1417</v>
      </c>
      <c r="N54" s="124" t="s">
        <v>1417</v>
      </c>
      <c r="O54" s="124" t="s">
        <v>1417</v>
      </c>
      <c r="P54" s="124" t="s">
        <v>1417</v>
      </c>
      <c r="Q54" s="124" t="s">
        <v>1417</v>
      </c>
      <c r="R54" s="124" t="s">
        <v>1417</v>
      </c>
      <c r="S54" s="124" t="s">
        <v>1417</v>
      </c>
      <c r="T54" s="124" t="s">
        <v>1417</v>
      </c>
      <c r="U54" s="124" t="s">
        <v>1417</v>
      </c>
      <c r="V54" s="124" t="s">
        <v>1417</v>
      </c>
      <c r="W54" s="124" t="s">
        <v>1417</v>
      </c>
      <c r="X54" s="124" t="s">
        <v>1417</v>
      </c>
      <c r="Y54" s="124" t="s">
        <v>1417</v>
      </c>
      <c r="Z54" s="33"/>
    </row>
    <row r="55" spans="1:26">
      <c r="A55" s="100"/>
      <c r="B55" s="81" t="s">
        <v>16</v>
      </c>
      <c r="C55" s="103"/>
      <c r="D55" s="104"/>
      <c r="E55" s="105"/>
      <c r="F55" s="106"/>
      <c r="G55" s="103"/>
      <c r="H55" s="104"/>
      <c r="I55" s="78">
        <v>0</v>
      </c>
      <c r="J55" s="79">
        <v>0</v>
      </c>
      <c r="K55" s="124" t="s">
        <v>1417</v>
      </c>
      <c r="L55" s="124" t="s">
        <v>1417</v>
      </c>
      <c r="M55" s="124" t="s">
        <v>1417</v>
      </c>
      <c r="N55" s="124" t="s">
        <v>1417</v>
      </c>
      <c r="O55" s="124" t="s">
        <v>1417</v>
      </c>
      <c r="P55" s="124" t="s">
        <v>1417</v>
      </c>
      <c r="Q55" s="124" t="s">
        <v>1417</v>
      </c>
      <c r="R55" s="124" t="s">
        <v>1417</v>
      </c>
      <c r="S55" s="124" t="s">
        <v>1417</v>
      </c>
      <c r="T55" s="124" t="s">
        <v>1417</v>
      </c>
      <c r="U55" s="124" t="s">
        <v>1417</v>
      </c>
      <c r="V55" s="124" t="s">
        <v>1417</v>
      </c>
      <c r="W55" s="124" t="s">
        <v>1417</v>
      </c>
      <c r="X55" s="124" t="s">
        <v>1417</v>
      </c>
      <c r="Y55" s="124" t="s">
        <v>1417</v>
      </c>
      <c r="Z55" s="33"/>
    </row>
    <row r="56" spans="1:26">
      <c r="A56" s="100"/>
      <c r="B56" s="81" t="s">
        <v>17</v>
      </c>
      <c r="C56" s="103"/>
      <c r="D56" s="104"/>
      <c r="E56" s="105"/>
      <c r="F56" s="106"/>
      <c r="G56" s="103"/>
      <c r="H56" s="104"/>
      <c r="I56" s="78">
        <v>1.0702999293510323E-6</v>
      </c>
      <c r="J56" s="79">
        <v>9.4350430191302153E-5</v>
      </c>
      <c r="K56" s="124" t="s">
        <v>1417</v>
      </c>
      <c r="L56" s="124" t="s">
        <v>1417</v>
      </c>
      <c r="M56" s="124" t="s">
        <v>1417</v>
      </c>
      <c r="N56" s="124" t="s">
        <v>1417</v>
      </c>
      <c r="O56" s="124" t="s">
        <v>1417</v>
      </c>
      <c r="P56" s="124" t="s">
        <v>1417</v>
      </c>
      <c r="Q56" s="124" t="s">
        <v>1417</v>
      </c>
      <c r="R56" s="124" t="s">
        <v>1417</v>
      </c>
      <c r="S56" s="124" t="s">
        <v>1417</v>
      </c>
      <c r="T56" s="124" t="s">
        <v>1417</v>
      </c>
      <c r="U56" s="124" t="s">
        <v>1417</v>
      </c>
      <c r="V56" s="124" t="s">
        <v>1417</v>
      </c>
      <c r="W56" s="124" t="s">
        <v>1417</v>
      </c>
      <c r="X56" s="124" t="s">
        <v>1417</v>
      </c>
      <c r="Y56" s="124" t="s">
        <v>1417</v>
      </c>
      <c r="Z56" s="33"/>
    </row>
    <row r="57" spans="1:26">
      <c r="A57" s="100"/>
      <c r="B57" s="82" t="s">
        <v>25</v>
      </c>
      <c r="C57" s="107"/>
      <c r="D57" s="108"/>
      <c r="E57" s="109"/>
      <c r="F57" s="110"/>
      <c r="G57" s="107"/>
      <c r="H57" s="108"/>
      <c r="I57" s="83">
        <v>2.3970000000000047E-2</v>
      </c>
      <c r="J57" s="84">
        <v>1</v>
      </c>
      <c r="K57" s="124" t="s">
        <v>1417</v>
      </c>
      <c r="L57" s="124" t="s">
        <v>1417</v>
      </c>
      <c r="M57" s="124" t="s">
        <v>1417</v>
      </c>
      <c r="N57" s="124" t="s">
        <v>1417</v>
      </c>
      <c r="O57" s="124" t="s">
        <v>1417</v>
      </c>
      <c r="P57" s="124" t="s">
        <v>1417</v>
      </c>
      <c r="Q57" s="124" t="s">
        <v>1417</v>
      </c>
      <c r="R57" s="124" t="s">
        <v>1417</v>
      </c>
      <c r="S57" s="124" t="s">
        <v>1417</v>
      </c>
      <c r="T57" s="124" t="s">
        <v>1417</v>
      </c>
      <c r="U57" s="124" t="s">
        <v>1417</v>
      </c>
      <c r="V57" s="124" t="s">
        <v>1417</v>
      </c>
      <c r="W57" s="124" t="s">
        <v>1417</v>
      </c>
      <c r="X57" s="124" t="s">
        <v>1417</v>
      </c>
      <c r="Y57" s="124" t="s">
        <v>1417</v>
      </c>
      <c r="Z57" s="33"/>
    </row>
    <row r="58" spans="1:26">
      <c r="A58" s="100"/>
      <c r="B58" s="85" t="s">
        <v>24</v>
      </c>
      <c r="C58" s="111"/>
      <c r="D58" s="112"/>
      <c r="E58" s="113"/>
      <c r="F58" s="112"/>
      <c r="G58" s="111"/>
      <c r="H58" s="112"/>
      <c r="I58" s="86">
        <v>22.1</v>
      </c>
      <c r="J58" s="125"/>
      <c r="K58" s="124" t="s">
        <v>1417</v>
      </c>
      <c r="L58" s="124" t="s">
        <v>1417</v>
      </c>
      <c r="M58" s="124" t="s">
        <v>1417</v>
      </c>
      <c r="N58" s="124" t="s">
        <v>1417</v>
      </c>
      <c r="O58" s="124" t="s">
        <v>1417</v>
      </c>
      <c r="P58" s="124" t="s">
        <v>1417</v>
      </c>
      <c r="Q58" s="124" t="s">
        <v>1417</v>
      </c>
      <c r="R58" s="124" t="s">
        <v>1417</v>
      </c>
      <c r="S58" s="124" t="s">
        <v>1417</v>
      </c>
      <c r="T58" s="124" t="s">
        <v>1417</v>
      </c>
      <c r="U58" s="124" t="s">
        <v>1417</v>
      </c>
      <c r="V58" s="124" t="s">
        <v>1417</v>
      </c>
      <c r="W58" s="124" t="s">
        <v>1417</v>
      </c>
      <c r="X58" s="124" t="s">
        <v>1417</v>
      </c>
      <c r="Y58" s="124" t="s">
        <v>1417</v>
      </c>
      <c r="Z58" s="33"/>
    </row>
    <row r="59" spans="1:26">
      <c r="A59" s="100"/>
      <c r="B59" s="114"/>
      <c r="C59" s="115"/>
      <c r="D59" s="115"/>
      <c r="E59" s="115"/>
      <c r="F59" s="115"/>
      <c r="G59" s="115"/>
      <c r="H59" s="115"/>
      <c r="I59" s="115"/>
      <c r="J59" s="126"/>
      <c r="K59" s="124" t="s">
        <v>1417</v>
      </c>
      <c r="L59" s="124" t="s">
        <v>1417</v>
      </c>
      <c r="M59" s="124" t="s">
        <v>1417</v>
      </c>
      <c r="N59" s="124" t="s">
        <v>1417</v>
      </c>
      <c r="O59" s="124" t="s">
        <v>1417</v>
      </c>
      <c r="P59" s="124" t="s">
        <v>1417</v>
      </c>
      <c r="Q59" s="124" t="s">
        <v>1417</v>
      </c>
      <c r="R59" s="124" t="s">
        <v>1417</v>
      </c>
      <c r="S59" s="124" t="s">
        <v>1417</v>
      </c>
      <c r="T59" s="124" t="s">
        <v>1417</v>
      </c>
      <c r="U59" s="124" t="s">
        <v>1417</v>
      </c>
      <c r="V59" s="124" t="s">
        <v>1417</v>
      </c>
      <c r="W59" s="124" t="s">
        <v>1417</v>
      </c>
      <c r="X59" s="124" t="s">
        <v>1417</v>
      </c>
      <c r="Y59" s="124" t="s">
        <v>1417</v>
      </c>
      <c r="Z59" s="33"/>
    </row>
    <row r="60" spans="1:26">
      <c r="A60" s="100"/>
      <c r="B60" s="77" t="s">
        <v>19</v>
      </c>
      <c r="C60" s="116"/>
      <c r="D60" s="117"/>
      <c r="E60" s="118"/>
      <c r="F60" s="119"/>
      <c r="G60" s="116"/>
      <c r="H60" s="117"/>
      <c r="I60" s="89">
        <v>2.0494473658533519E-2</v>
      </c>
      <c r="J60" s="90">
        <v>0.9199098791149134</v>
      </c>
      <c r="K60" s="124" t="s">
        <v>1417</v>
      </c>
      <c r="L60" s="124" t="s">
        <v>1417</v>
      </c>
      <c r="M60" s="124" t="s">
        <v>1417</v>
      </c>
      <c r="N60" s="124" t="s">
        <v>1417</v>
      </c>
      <c r="O60" s="124" t="s">
        <v>1417</v>
      </c>
      <c r="P60" s="124" t="s">
        <v>1417</v>
      </c>
      <c r="Q60" s="124" t="s">
        <v>1417</v>
      </c>
      <c r="R60" s="124" t="s">
        <v>1417</v>
      </c>
      <c r="S60" s="124" t="s">
        <v>1417</v>
      </c>
      <c r="T60" s="124" t="s">
        <v>1417</v>
      </c>
      <c r="U60" s="124" t="s">
        <v>1417</v>
      </c>
      <c r="V60" s="124" t="s">
        <v>1417</v>
      </c>
      <c r="W60" s="124" t="s">
        <v>1417</v>
      </c>
      <c r="X60" s="124" t="s">
        <v>1417</v>
      </c>
      <c r="Y60" s="124" t="s">
        <v>1417</v>
      </c>
      <c r="Z60" s="33"/>
    </row>
    <row r="61" spans="1:26">
      <c r="A61" s="100"/>
      <c r="B61" s="81" t="s">
        <v>20</v>
      </c>
      <c r="C61" s="103"/>
      <c r="D61" s="104"/>
      <c r="E61" s="105"/>
      <c r="F61" s="106"/>
      <c r="G61" s="103"/>
      <c r="H61" s="104"/>
      <c r="I61" s="78">
        <v>3.4755263414665287E-3</v>
      </c>
      <c r="J61" s="79">
        <v>8.0090120885086588E-2</v>
      </c>
      <c r="K61" s="124" t="s">
        <v>1417</v>
      </c>
      <c r="L61" s="124" t="s">
        <v>1417</v>
      </c>
      <c r="M61" s="124" t="s">
        <v>1417</v>
      </c>
      <c r="N61" s="124" t="s">
        <v>1417</v>
      </c>
      <c r="O61" s="124" t="s">
        <v>1417</v>
      </c>
      <c r="P61" s="124" t="s">
        <v>1417</v>
      </c>
      <c r="Q61" s="124" t="s">
        <v>1417</v>
      </c>
      <c r="R61" s="124" t="s">
        <v>1417</v>
      </c>
      <c r="S61" s="124" t="s">
        <v>1417</v>
      </c>
      <c r="T61" s="124" t="s">
        <v>1417</v>
      </c>
      <c r="U61" s="124" t="s">
        <v>1417</v>
      </c>
      <c r="V61" s="124" t="s">
        <v>1417</v>
      </c>
      <c r="W61" s="124" t="s">
        <v>1417</v>
      </c>
      <c r="X61" s="124" t="s">
        <v>1417</v>
      </c>
      <c r="Y61" s="124" t="s">
        <v>1417</v>
      </c>
      <c r="Z61" s="33"/>
    </row>
    <row r="62" spans="1:26">
      <c r="A62" s="100"/>
      <c r="B62" s="82" t="s">
        <v>25</v>
      </c>
      <c r="C62" s="107"/>
      <c r="D62" s="108"/>
      <c r="E62" s="109"/>
      <c r="F62" s="110"/>
      <c r="G62" s="107"/>
      <c r="H62" s="108"/>
      <c r="I62" s="83">
        <v>2.3970000000000047E-2</v>
      </c>
      <c r="J62" s="84">
        <v>1</v>
      </c>
      <c r="K62" s="124" t="s">
        <v>1417</v>
      </c>
      <c r="L62" s="124" t="s">
        <v>1417</v>
      </c>
      <c r="M62" s="124" t="s">
        <v>1417</v>
      </c>
      <c r="N62" s="124" t="s">
        <v>1417</v>
      </c>
      <c r="O62" s="124" t="s">
        <v>1417</v>
      </c>
      <c r="P62" s="124" t="s">
        <v>1417</v>
      </c>
      <c r="Q62" s="124" t="s">
        <v>1417</v>
      </c>
      <c r="R62" s="124" t="s">
        <v>1417</v>
      </c>
      <c r="S62" s="124" t="s">
        <v>1417</v>
      </c>
      <c r="T62" s="124" t="s">
        <v>1417</v>
      </c>
      <c r="U62" s="124" t="s">
        <v>1417</v>
      </c>
      <c r="V62" s="124" t="s">
        <v>1417</v>
      </c>
      <c r="W62" s="124" t="s">
        <v>1417</v>
      </c>
      <c r="X62" s="124" t="s">
        <v>1417</v>
      </c>
      <c r="Y62" s="124" t="s">
        <v>1417</v>
      </c>
      <c r="Z62" s="33"/>
    </row>
    <row r="63" spans="1:26">
      <c r="A63" s="100"/>
      <c r="B63" s="114"/>
      <c r="C63" s="115"/>
      <c r="D63" s="115"/>
      <c r="E63" s="115"/>
      <c r="F63" s="115"/>
      <c r="G63" s="115"/>
      <c r="H63" s="115"/>
      <c r="I63" s="115"/>
      <c r="J63" s="126"/>
      <c r="K63" s="124" t="s">
        <v>1417</v>
      </c>
      <c r="L63" s="124" t="s">
        <v>1417</v>
      </c>
      <c r="M63" s="124" t="s">
        <v>1417</v>
      </c>
      <c r="N63" s="124" t="s">
        <v>1417</v>
      </c>
      <c r="O63" s="124" t="s">
        <v>1417</v>
      </c>
      <c r="P63" s="124" t="s">
        <v>1417</v>
      </c>
      <c r="Q63" s="124" t="s">
        <v>1417</v>
      </c>
      <c r="R63" s="124" t="s">
        <v>1417</v>
      </c>
      <c r="S63" s="124" t="s">
        <v>1417</v>
      </c>
      <c r="T63" s="124" t="s">
        <v>1417</v>
      </c>
      <c r="U63" s="124" t="s">
        <v>1417</v>
      </c>
      <c r="V63" s="124" t="s">
        <v>1417</v>
      </c>
      <c r="W63" s="124" t="s">
        <v>1417</v>
      </c>
      <c r="X63" s="124" t="s">
        <v>1417</v>
      </c>
      <c r="Y63" s="124" t="s">
        <v>1417</v>
      </c>
      <c r="Z63" s="33"/>
    </row>
    <row r="64" spans="1:26">
      <c r="A64" s="100"/>
      <c r="B64" s="77" t="s">
        <v>21</v>
      </c>
      <c r="C64" s="116"/>
      <c r="D64" s="117"/>
      <c r="E64" s="118"/>
      <c r="F64" s="119"/>
      <c r="G64" s="116"/>
      <c r="H64" s="117"/>
      <c r="I64" s="89">
        <v>2.3919256219405272E-2</v>
      </c>
      <c r="J64" s="90">
        <v>0.99484988845928568</v>
      </c>
      <c r="K64" s="124" t="s">
        <v>1417</v>
      </c>
      <c r="L64" s="124" t="s">
        <v>1417</v>
      </c>
      <c r="M64" s="124" t="s">
        <v>1417</v>
      </c>
      <c r="N64" s="124" t="s">
        <v>1417</v>
      </c>
      <c r="O64" s="124" t="s">
        <v>1417</v>
      </c>
      <c r="P64" s="124" t="s">
        <v>1417</v>
      </c>
      <c r="Q64" s="124" t="s">
        <v>1417</v>
      </c>
      <c r="R64" s="124" t="s">
        <v>1417</v>
      </c>
      <c r="S64" s="124" t="s">
        <v>1417</v>
      </c>
      <c r="T64" s="124" t="s">
        <v>1417</v>
      </c>
      <c r="U64" s="124" t="s">
        <v>1417</v>
      </c>
      <c r="V64" s="124" t="s">
        <v>1417</v>
      </c>
      <c r="W64" s="124" t="s">
        <v>1417</v>
      </c>
      <c r="X64" s="124" t="s">
        <v>1417</v>
      </c>
      <c r="Y64" s="124" t="s">
        <v>1417</v>
      </c>
      <c r="Z64" s="33"/>
    </row>
    <row r="65" spans="1:26">
      <c r="A65" s="100"/>
      <c r="B65" s="81" t="s">
        <v>22</v>
      </c>
      <c r="C65" s="103"/>
      <c r="D65" s="104"/>
      <c r="E65" s="105"/>
      <c r="F65" s="106"/>
      <c r="G65" s="103"/>
      <c r="H65" s="104"/>
      <c r="I65" s="78">
        <v>5.0743780594775245E-5</v>
      </c>
      <c r="J65" s="79">
        <v>5.1501115407143255E-3</v>
      </c>
      <c r="K65" s="124" t="s">
        <v>1417</v>
      </c>
      <c r="L65" s="124" t="s">
        <v>1417</v>
      </c>
      <c r="M65" s="124" t="s">
        <v>1417</v>
      </c>
      <c r="N65" s="124" t="s">
        <v>1417</v>
      </c>
      <c r="O65" s="124" t="s">
        <v>1417</v>
      </c>
      <c r="P65" s="124" t="s">
        <v>1417</v>
      </c>
      <c r="Q65" s="124" t="s">
        <v>1417</v>
      </c>
      <c r="R65" s="124" t="s">
        <v>1417</v>
      </c>
      <c r="S65" s="124" t="s">
        <v>1417</v>
      </c>
      <c r="T65" s="124" t="s">
        <v>1417</v>
      </c>
      <c r="U65" s="124" t="s">
        <v>1417</v>
      </c>
      <c r="V65" s="124" t="s">
        <v>1417</v>
      </c>
      <c r="W65" s="124" t="s">
        <v>1417</v>
      </c>
      <c r="X65" s="124" t="s">
        <v>1417</v>
      </c>
      <c r="Y65" s="124" t="s">
        <v>1417</v>
      </c>
      <c r="Z65" s="33"/>
    </row>
    <row r="66" spans="1:26">
      <c r="A66" s="100"/>
      <c r="B66" s="91" t="s">
        <v>25</v>
      </c>
      <c r="C66" s="120"/>
      <c r="D66" s="121"/>
      <c r="E66" s="122"/>
      <c r="F66" s="123"/>
      <c r="G66" s="120"/>
      <c r="H66" s="121"/>
      <c r="I66" s="92">
        <v>2.3970000000000047E-2</v>
      </c>
      <c r="J66" s="93">
        <v>1</v>
      </c>
      <c r="K66" s="124" t="s">
        <v>1417</v>
      </c>
      <c r="L66" s="124" t="s">
        <v>1417</v>
      </c>
      <c r="M66" s="124" t="s">
        <v>1417</v>
      </c>
      <c r="N66" s="124" t="s">
        <v>1417</v>
      </c>
      <c r="O66" s="124" t="s">
        <v>1417</v>
      </c>
      <c r="P66" s="124" t="s">
        <v>1417</v>
      </c>
      <c r="Q66" s="124" t="s">
        <v>1417</v>
      </c>
      <c r="R66" s="124" t="s">
        <v>1417</v>
      </c>
      <c r="S66" s="124" t="s">
        <v>1417</v>
      </c>
      <c r="T66" s="124" t="s">
        <v>1417</v>
      </c>
      <c r="U66" s="124" t="s">
        <v>1417</v>
      </c>
      <c r="V66" s="124" t="s">
        <v>1417</v>
      </c>
      <c r="W66" s="124" t="s">
        <v>1417</v>
      </c>
      <c r="X66" s="124" t="s">
        <v>1417</v>
      </c>
      <c r="Y66" s="124" t="s">
        <v>1417</v>
      </c>
      <c r="Z66" s="33"/>
    </row>
    <row r="70" spans="1:26">
      <c r="B70" s="1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 filterMode="1"/>
  <dimension ref="A1:AG713"/>
  <sheetViews>
    <sheetView rightToLeft="1" zoomScale="90" zoomScaleNormal="90" workbookViewId="0">
      <selection activeCell="E145" sqref="E145"/>
    </sheetView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9.125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 hidden="1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24</v>
      </c>
      <c r="AC3" s="16">
        <f>VLOOKUP(הנחיות!B22,AA5:AB9,2,0)</f>
        <v>4</v>
      </c>
    </row>
    <row r="4" spans="1:33" ht="28.5" hidden="1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2024</v>
      </c>
      <c r="AE4" t="s">
        <v>901</v>
      </c>
    </row>
    <row r="5" spans="1:33" ht="28.5" hidden="1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 hidden="1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31.03.24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 hidden="1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30.06.24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 hidden="1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30.09.24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 hidden="1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31.12.24</v>
      </c>
      <c r="AB9">
        <v>4</v>
      </c>
      <c r="AE9" t="s">
        <v>1375</v>
      </c>
      <c r="AF9" t="s">
        <v>1376</v>
      </c>
      <c r="AG9" t="s">
        <v>1250</v>
      </c>
    </row>
    <row r="10" spans="1:33" ht="28.5" hidden="1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 hidden="1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 hidden="1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 hidden="1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 hidden="1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 hidden="1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 hidden="1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 hidden="1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 hidden="1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 hidden="1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 hidden="1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 hidden="1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 hidden="1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 hidden="1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 hidden="1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 hidden="1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 hidden="1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 hidden="1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 hidden="1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 hidden="1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 hidden="1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 hidden="1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 hidden="1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 hidden="1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 hidden="1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 hidden="1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 hidden="1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 hidden="1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 hidden="1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 hidden="1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 hidden="1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 hidden="1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 hidden="1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 hidden="1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 hidden="1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 hidden="1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 hidden="1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 hidden="1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 hidden="1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 hidden="1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 hidden="1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 hidden="1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 hidden="1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 hidden="1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 hidden="1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 hidden="1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 hidden="1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 hidden="1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 hidden="1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 hidden="1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 hidden="1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 hidden="1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35">
        <v>9895</v>
      </c>
      <c r="H62" s="35" t="s">
        <v>86</v>
      </c>
      <c r="I62" s="35" t="s">
        <v>115</v>
      </c>
      <c r="J62" s="35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35">
        <v>9898</v>
      </c>
      <c r="H63" s="35" t="s">
        <v>86</v>
      </c>
      <c r="I63" s="35" t="s">
        <v>117</v>
      </c>
      <c r="J63" s="35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35">
        <v>9897</v>
      </c>
      <c r="H64" s="35" t="s">
        <v>86</v>
      </c>
      <c r="I64" s="35" t="s">
        <v>118</v>
      </c>
      <c r="J64" s="35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35">
        <v>9896</v>
      </c>
      <c r="H65" s="35" t="s">
        <v>86</v>
      </c>
      <c r="I65" s="35" t="s">
        <v>119</v>
      </c>
      <c r="J65" s="35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 hidden="1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 hidden="1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 hidden="1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 hidden="1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 hidden="1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 hidden="1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 hidden="1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 hidden="1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 hidden="1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 hidden="1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 hidden="1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 hidden="1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 hidden="1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 hidden="1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 hidden="1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 hidden="1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 hidden="1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 hidden="1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 hidden="1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 hidden="1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 hidden="1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 hidden="1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 hidden="1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 hidden="1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 hidden="1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 hidden="1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 hidden="1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 hidden="1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 hidden="1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 hidden="1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 hidden="1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 hidden="1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 hidden="1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 hidden="1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 hidden="1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 hidden="1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 hidden="1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 hidden="1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 hidden="1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 hidden="1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 hidden="1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 hidden="1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 hidden="1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 hidden="1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 hidden="1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 hidden="1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 hidden="1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 hidden="1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 hidden="1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 hidden="1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 hidden="1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 hidden="1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 hidden="1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 hidden="1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 hidden="1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 hidden="1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 hidden="1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 hidden="1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 hidden="1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 hidden="1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 hidden="1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 hidden="1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 hidden="1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 hidden="1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 hidden="1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 hidden="1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 hidden="1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 hidden="1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 hidden="1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 hidden="1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 hidden="1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 hidden="1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 hidden="1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 hidden="1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 hidden="1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 hidden="1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 hidden="1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 hidden="1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 hidden="1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 hidden="1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 hidden="1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 hidden="1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 hidden="1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 hidden="1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 hidden="1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 hidden="1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 hidden="1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 hidden="1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 hidden="1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 hidden="1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 hidden="1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 hidden="1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 hidden="1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 hidden="1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 hidden="1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 hidden="1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 hidden="1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 hidden="1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 hidden="1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 hidden="1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 hidden="1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 hidden="1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 hidden="1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 hidden="1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 hidden="1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 hidden="1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 hidden="1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 hidden="1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 hidden="1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 hidden="1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 hidden="1">
      <c r="A186" s="53">
        <v>14406</v>
      </c>
      <c r="B186" s="55" t="s">
        <v>86</v>
      </c>
      <c r="C186" s="55" t="s">
        <v>1399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 hidden="1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 hidden="1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 hidden="1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 hidden="1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 hidden="1">
      <c r="A191" s="53">
        <v>14425</v>
      </c>
      <c r="B191" s="55" t="s">
        <v>86</v>
      </c>
      <c r="C191" s="55" t="s">
        <v>1398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 hidden="1">
      <c r="A192" s="53">
        <v>14169</v>
      </c>
      <c r="B192" s="55" t="s">
        <v>86</v>
      </c>
      <c r="C192" s="55" t="s">
        <v>1402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 hidden="1">
      <c r="A193" s="53">
        <v>14168</v>
      </c>
      <c r="B193" s="55" t="s">
        <v>86</v>
      </c>
      <c r="C193" s="55" t="s">
        <v>1400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 hidden="1">
      <c r="A194" s="53">
        <v>14306</v>
      </c>
      <c r="B194" s="55" t="s">
        <v>86</v>
      </c>
      <c r="C194" s="55" t="s">
        <v>1401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idden="1">
      <c r="A195" s="53">
        <v>100000</v>
      </c>
      <c r="B195" s="55" t="s">
        <v>86</v>
      </c>
      <c r="C195" s="55" t="s">
        <v>1395</v>
      </c>
      <c r="D195" s="62" t="s">
        <v>896</v>
      </c>
      <c r="E195" s="63">
        <v>123456789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 hidden="1">
      <c r="A196" s="53">
        <v>100000</v>
      </c>
      <c r="B196" s="55" t="s">
        <v>86</v>
      </c>
      <c r="C196" s="55" t="s">
        <v>1395</v>
      </c>
      <c r="D196" s="62" t="s">
        <v>896</v>
      </c>
      <c r="E196" s="63">
        <v>123456789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idden="1">
      <c r="A197" s="53">
        <v>100000</v>
      </c>
      <c r="B197" s="55" t="s">
        <v>86</v>
      </c>
      <c r="C197" s="55" t="s">
        <v>1395</v>
      </c>
      <c r="D197" s="62" t="s">
        <v>896</v>
      </c>
      <c r="E197" s="63">
        <v>123456789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idden="1">
      <c r="A198" s="53">
        <v>100000</v>
      </c>
      <c r="B198" s="55" t="s">
        <v>86</v>
      </c>
      <c r="C198" s="55" t="s">
        <v>1395</v>
      </c>
      <c r="D198" s="62" t="s">
        <v>896</v>
      </c>
      <c r="E198" s="63">
        <v>123456789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idden="1">
      <c r="A199" s="53">
        <v>100000</v>
      </c>
      <c r="B199" s="55" t="s">
        <v>86</v>
      </c>
      <c r="C199" s="55" t="s">
        <v>1395</v>
      </c>
      <c r="D199" s="62" t="s">
        <v>896</v>
      </c>
      <c r="E199" s="63">
        <v>123456789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idden="1">
      <c r="A200" s="53">
        <v>100000</v>
      </c>
      <c r="B200" s="55" t="s">
        <v>86</v>
      </c>
      <c r="C200" s="55" t="s">
        <v>1395</v>
      </c>
      <c r="D200" s="62" t="s">
        <v>896</v>
      </c>
      <c r="E200" s="63">
        <v>123456789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 hidden="1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 hidden="1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 hidden="1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 hidden="1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 hidden="1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 hidden="1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 hidden="1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 hidden="1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 hidden="1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 hidden="1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 hidden="1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 hidden="1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 hidden="1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 hidden="1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 hidden="1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 hidden="1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 hidden="1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 hidden="1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 hidden="1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 hidden="1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 hidden="1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 hidden="1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 hidden="1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 hidden="1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 hidden="1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 hidden="1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 hidden="1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 hidden="1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 hidden="1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 hidden="1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 hidden="1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 hidden="1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 hidden="1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 hidden="1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 hidden="1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 hidden="1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 hidden="1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 hidden="1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 hidden="1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 hidden="1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 hidden="1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 hidden="1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 hidden="1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 hidden="1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 hidden="1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 hidden="1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 hidden="1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 hidden="1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 hidden="1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 hidden="1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 hidden="1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 hidden="1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 hidden="1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 hidden="1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 hidden="1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 hidden="1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 hidden="1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 hidden="1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 hidden="1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 hidden="1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 hidden="1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 hidden="1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 hidden="1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 hidden="1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 hidden="1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 hidden="1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 hidden="1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 hidden="1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 hidden="1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 hidden="1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 hidden="1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 hidden="1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 hidden="1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 hidden="1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 hidden="1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 hidden="1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 hidden="1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 hidden="1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 hidden="1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 hidden="1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 hidden="1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 hidden="1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 hidden="1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 hidden="1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400000</v>
      </c>
      <c r="N286" s="67" t="s">
        <v>86</v>
      </c>
      <c r="O286" s="67" t="s">
        <v>1397</v>
      </c>
      <c r="P286" s="67" t="s">
        <v>83</v>
      </c>
      <c r="Q286" s="66">
        <v>123456789</v>
      </c>
      <c r="R286" s="61" t="s">
        <v>179</v>
      </c>
    </row>
    <row r="287" spans="7:18" hidden="1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400000</v>
      </c>
      <c r="N287" s="67" t="s">
        <v>86</v>
      </c>
      <c r="O287" s="67" t="s">
        <v>1397</v>
      </c>
      <c r="P287" s="67" t="s">
        <v>83</v>
      </c>
      <c r="Q287" s="66">
        <v>123456789</v>
      </c>
      <c r="R287" s="61" t="s">
        <v>179</v>
      </c>
    </row>
    <row r="288" spans="7:18" hidden="1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400000</v>
      </c>
      <c r="N288" s="67" t="s">
        <v>86</v>
      </c>
      <c r="O288" s="67" t="s">
        <v>1397</v>
      </c>
      <c r="P288" s="67" t="s">
        <v>83</v>
      </c>
      <c r="Q288" s="66">
        <v>123456789</v>
      </c>
      <c r="R288" s="61" t="s">
        <v>179</v>
      </c>
    </row>
    <row r="289" spans="7:18" hidden="1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400000</v>
      </c>
      <c r="N289" s="67" t="s">
        <v>86</v>
      </c>
      <c r="O289" s="67" t="s">
        <v>1397</v>
      </c>
      <c r="P289" s="67" t="s">
        <v>83</v>
      </c>
      <c r="Q289" s="66">
        <v>123456789</v>
      </c>
      <c r="R289" s="61" t="s">
        <v>179</v>
      </c>
    </row>
    <row r="290" spans="7:18" hidden="1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400000</v>
      </c>
      <c r="N290" s="67" t="s">
        <v>86</v>
      </c>
      <c r="O290" s="67" t="s">
        <v>1397</v>
      </c>
      <c r="P290" s="67" t="s">
        <v>83</v>
      </c>
      <c r="Q290" s="66">
        <v>123456789</v>
      </c>
      <c r="R290" s="61" t="s">
        <v>179</v>
      </c>
    </row>
    <row r="291" spans="7:18" hidden="1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400000</v>
      </c>
      <c r="N291" s="67" t="s">
        <v>86</v>
      </c>
      <c r="O291" s="67" t="s">
        <v>1397</v>
      </c>
      <c r="P291" s="67" t="s">
        <v>83</v>
      </c>
      <c r="Q291" s="66">
        <v>123456789</v>
      </c>
      <c r="R291" s="61" t="s">
        <v>179</v>
      </c>
    </row>
    <row r="292" spans="7:18" hidden="1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1397</v>
      </c>
      <c r="P292" s="67" t="s">
        <v>83</v>
      </c>
      <c r="Q292" s="66">
        <v>123456789</v>
      </c>
      <c r="R292" s="61" t="s">
        <v>179</v>
      </c>
    </row>
    <row r="293" spans="7:18" hidden="1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1397</v>
      </c>
      <c r="P293" s="67" t="s">
        <v>83</v>
      </c>
      <c r="Q293" s="66">
        <v>123456789</v>
      </c>
      <c r="R293" s="61" t="s">
        <v>179</v>
      </c>
    </row>
    <row r="294" spans="7:18" hidden="1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1397</v>
      </c>
      <c r="P294" s="67" t="s">
        <v>83</v>
      </c>
      <c r="Q294" s="66">
        <v>123456789</v>
      </c>
      <c r="R294" s="61" t="s">
        <v>179</v>
      </c>
    </row>
    <row r="295" spans="7:18" hidden="1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1397</v>
      </c>
      <c r="P295" s="67" t="s">
        <v>83</v>
      </c>
      <c r="Q295" s="66">
        <v>123456789</v>
      </c>
      <c r="R295" s="61" t="s">
        <v>179</v>
      </c>
    </row>
    <row r="296" spans="7:18" hidden="1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 hidden="1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 hidden="1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 hidden="1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 hidden="1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 hidden="1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 hidden="1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 hidden="1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 hidden="1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 hidden="1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 hidden="1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 hidden="1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 hidden="1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 hidden="1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 hidden="1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 hidden="1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 hidden="1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 hidden="1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 hidden="1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 hidden="1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 hidden="1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 hidden="1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 hidden="1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 hidden="1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 hidden="1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 hidden="1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 hidden="1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 hidden="1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 hidden="1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 hidden="1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 hidden="1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 hidden="1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 hidden="1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 hidden="1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 hidden="1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 hidden="1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 hidden="1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 hidden="1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 hidden="1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 hidden="1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 hidden="1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 hidden="1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 hidden="1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 hidden="1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 hidden="1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 hidden="1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 hidden="1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 hidden="1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 hidden="1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 hidden="1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 hidden="1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 hidden="1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 hidden="1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 hidden="1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 hidden="1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 hidden="1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 hidden="1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 hidden="1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 hidden="1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 hidden="1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 hidden="1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 hidden="1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 hidden="1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 hidden="1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 hidden="1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 hidden="1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 hidden="1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 hidden="1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 hidden="1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 hidden="1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 hidden="1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 hidden="1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 hidden="1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 hidden="1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 hidden="1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 hidden="1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 hidden="1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 hidden="1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 hidden="1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 hidden="1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 hidden="1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 hidden="1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 hidden="1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 hidden="1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 hidden="1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 hidden="1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 hidden="1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 hidden="1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 hidden="1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 hidden="1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 hidden="1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 hidden="1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 hidden="1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 hidden="1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 hidden="1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 hidden="1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 hidden="1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 hidden="1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 hidden="1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 hidden="1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 hidden="1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 hidden="1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 hidden="1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 hidden="1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 hidden="1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 hidden="1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 hidden="1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 hidden="1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 hidden="1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 hidden="1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 hidden="1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 hidden="1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 hidden="1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 hidden="1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 hidden="1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 hidden="1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 hidden="1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 hidden="1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 hidden="1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 hidden="1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 hidden="1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 hidden="1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 hidden="1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 hidden="1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 hidden="1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 hidden="1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 hidden="1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 hidden="1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 hidden="1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 hidden="1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 hidden="1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 hidden="1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 hidden="1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 hidden="1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 hidden="1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 hidden="1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 hidden="1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 hidden="1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 hidden="1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 hidden="1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 hidden="1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 hidden="1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 hidden="1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 hidden="1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 hidden="1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 hidden="1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 hidden="1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 hidden="1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 hidden="1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 hidden="1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 hidden="1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 hidden="1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 hidden="1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 hidden="1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 hidden="1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 hidden="1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 hidden="1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 hidden="1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 hidden="1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 hidden="1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 hidden="1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 hidden="1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 hidden="1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 hidden="1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 hidden="1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 hidden="1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 hidden="1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 hidden="1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 hidden="1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 hidden="1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 hidden="1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 hidden="1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 hidden="1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 hidden="1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 hidden="1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 hidden="1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 hidden="1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 hidden="1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 hidden="1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 hidden="1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 hidden="1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 hidden="1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 hidden="1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 hidden="1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 hidden="1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 hidden="1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 hidden="1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 hidden="1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 hidden="1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 hidden="1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 hidden="1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 hidden="1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 hidden="1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 hidden="1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 hidden="1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 hidden="1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 hidden="1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 hidden="1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 hidden="1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 hidden="1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 hidden="1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 hidden="1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 hidden="1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 hidden="1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 hidden="1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 hidden="1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 hidden="1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 hidden="1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 hidden="1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 hidden="1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 hidden="1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 hidden="1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 hidden="1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 hidden="1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 hidden="1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 hidden="1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 hidden="1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 hidden="1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 hidden="1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 hidden="1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 hidden="1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 hidden="1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 hidden="1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 hidden="1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 hidden="1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 hidden="1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 hidden="1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 hidden="1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 hidden="1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 hidden="1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 hidden="1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 hidden="1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 hidden="1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 hidden="1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 hidden="1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 hidden="1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 hidden="1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 hidden="1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 hidden="1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 hidden="1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 hidden="1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 hidden="1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 hidden="1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 hidden="1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 hidden="1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 hidden="1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 hidden="1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 hidden="1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 hidden="1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 hidden="1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 hidden="1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 hidden="1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 hidden="1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 hidden="1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 hidden="1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 hidden="1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 hidden="1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 hidden="1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 hidden="1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 hidden="1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 hidden="1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 hidden="1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 hidden="1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 hidden="1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 hidden="1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 hidden="1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 hidden="1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 hidden="1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 hidden="1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 hidden="1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 hidden="1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 hidden="1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 hidden="1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 hidden="1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 hidden="1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 hidden="1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 hidden="1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 hidden="1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 hidden="1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 hidden="1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 hidden="1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 hidden="1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 hidden="1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 hidden="1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 hidden="1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 hidden="1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 hidden="1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 hidden="1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 hidden="1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 hidden="1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 hidden="1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 hidden="1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 hidden="1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 hidden="1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 hidden="1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 hidden="1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 hidden="1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 hidden="1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 hidden="1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 hidden="1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 hidden="1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 hidden="1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 hidden="1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 hidden="1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 hidden="1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 hidden="1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 hidden="1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 hidden="1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 hidden="1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 hidden="1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 hidden="1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 hidden="1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 hidden="1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 hidden="1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 hidden="1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 hidden="1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 hidden="1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 hidden="1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 hidden="1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 hidden="1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 hidden="1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 hidden="1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 hidden="1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 hidden="1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 hidden="1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 hidden="1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 hidden="1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 hidden="1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 hidden="1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 hidden="1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 hidden="1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 hidden="1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 hidden="1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 hidden="1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 hidden="1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 hidden="1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 hidden="1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 hidden="1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 hidden="1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 hidden="1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 hidden="1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 hidden="1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 hidden="1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 hidden="1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 hidden="1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 hidden="1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 hidden="1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 hidden="1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 hidden="1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 hidden="1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 hidden="1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 hidden="1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64">
        <v>14943</v>
      </c>
      <c r="H700" s="64" t="s">
        <v>86</v>
      </c>
      <c r="I700" s="64" t="s">
        <v>1405</v>
      </c>
      <c r="J700" s="64" t="s">
        <v>116</v>
      </c>
      <c r="K700" s="65">
        <v>512237744</v>
      </c>
      <c r="L700" s="35" t="s">
        <v>88</v>
      </c>
    </row>
    <row r="701" spans="7:12">
      <c r="G701" s="64">
        <v>14944</v>
      </c>
      <c r="H701" s="64" t="s">
        <v>86</v>
      </c>
      <c r="I701" s="64" t="s">
        <v>1406</v>
      </c>
      <c r="J701" s="64" t="s">
        <v>116</v>
      </c>
      <c r="K701" s="65">
        <v>512237744</v>
      </c>
      <c r="L701" s="35" t="s">
        <v>88</v>
      </c>
    </row>
    <row r="702" spans="7:12">
      <c r="G702" s="64">
        <v>14945</v>
      </c>
      <c r="H702" s="64" t="s">
        <v>86</v>
      </c>
      <c r="I702" s="64" t="s">
        <v>1404</v>
      </c>
      <c r="J702" s="64" t="s">
        <v>116</v>
      </c>
      <c r="K702" s="65">
        <v>512237744</v>
      </c>
      <c r="L702" s="35" t="s">
        <v>88</v>
      </c>
    </row>
    <row r="703" spans="7:12">
      <c r="G703" s="68">
        <v>15448</v>
      </c>
      <c r="H703" s="64" t="s">
        <v>86</v>
      </c>
      <c r="I703" s="64" t="s">
        <v>1408</v>
      </c>
      <c r="J703" s="64" t="s">
        <v>116</v>
      </c>
      <c r="K703" s="65">
        <v>512237744</v>
      </c>
      <c r="L703" s="35" t="s">
        <v>88</v>
      </c>
    </row>
    <row r="704" spans="7:12">
      <c r="G704" s="68">
        <v>15449</v>
      </c>
      <c r="H704" s="64" t="s">
        <v>86</v>
      </c>
      <c r="I704" s="64" t="s">
        <v>1409</v>
      </c>
      <c r="J704" s="64" t="s">
        <v>116</v>
      </c>
      <c r="K704" s="65">
        <v>512237744</v>
      </c>
      <c r="L704" s="35" t="s">
        <v>88</v>
      </c>
    </row>
    <row r="705" spans="7:12">
      <c r="G705" s="68">
        <v>15450</v>
      </c>
      <c r="H705" s="64" t="s">
        <v>86</v>
      </c>
      <c r="I705" s="64" t="s">
        <v>1410</v>
      </c>
      <c r="J705" s="64" t="s">
        <v>116</v>
      </c>
      <c r="K705" s="65">
        <v>512237744</v>
      </c>
      <c r="L705" s="35" t="s">
        <v>88</v>
      </c>
    </row>
    <row r="706" spans="7:12">
      <c r="G706" s="68">
        <v>15452</v>
      </c>
      <c r="H706" s="64" t="s">
        <v>86</v>
      </c>
      <c r="I706" s="64" t="s">
        <v>1411</v>
      </c>
      <c r="J706" s="64" t="s">
        <v>116</v>
      </c>
      <c r="K706" s="65">
        <v>512237744</v>
      </c>
      <c r="L706" s="35" t="s">
        <v>88</v>
      </c>
    </row>
    <row r="707" spans="7:12">
      <c r="G707" s="68">
        <v>15453</v>
      </c>
      <c r="H707" s="64" t="s">
        <v>86</v>
      </c>
      <c r="I707" s="64" t="s">
        <v>1412</v>
      </c>
      <c r="J707" s="64" t="s">
        <v>116</v>
      </c>
      <c r="K707" s="65">
        <v>512237744</v>
      </c>
      <c r="L707" s="35" t="s">
        <v>88</v>
      </c>
    </row>
    <row r="708" spans="7:12">
      <c r="G708" s="68">
        <v>15454</v>
      </c>
      <c r="H708" s="64" t="s">
        <v>86</v>
      </c>
      <c r="I708" s="64" t="s">
        <v>1413</v>
      </c>
      <c r="J708" s="64" t="s">
        <v>116</v>
      </c>
      <c r="K708" s="65">
        <v>512237744</v>
      </c>
      <c r="L708" s="35" t="s">
        <v>88</v>
      </c>
    </row>
    <row r="709" spans="7:12">
      <c r="G709" s="68">
        <v>15455</v>
      </c>
      <c r="H709" s="64" t="s">
        <v>86</v>
      </c>
      <c r="I709" s="64" t="s">
        <v>1414</v>
      </c>
      <c r="J709" s="64" t="s">
        <v>116</v>
      </c>
      <c r="K709" s="65">
        <v>512237744</v>
      </c>
      <c r="L709" s="35" t="s">
        <v>88</v>
      </c>
    </row>
    <row r="710" spans="7:12">
      <c r="G710" s="68">
        <v>15456</v>
      </c>
      <c r="H710" s="64" t="s">
        <v>86</v>
      </c>
      <c r="I710" s="64" t="s">
        <v>1415</v>
      </c>
      <c r="J710" s="64" t="s">
        <v>116</v>
      </c>
      <c r="K710" s="65">
        <v>512237744</v>
      </c>
      <c r="L710" s="35" t="s">
        <v>88</v>
      </c>
    </row>
    <row r="711" spans="7:12">
      <c r="G711" s="68">
        <v>15457</v>
      </c>
      <c r="H711" s="64" t="s">
        <v>86</v>
      </c>
      <c r="I711" s="64" t="s">
        <v>1416</v>
      </c>
      <c r="J711" s="64" t="s">
        <v>116</v>
      </c>
      <c r="K711" s="65">
        <v>512237744</v>
      </c>
      <c r="L711" s="35" t="s">
        <v>88</v>
      </c>
    </row>
    <row r="712" spans="7:12">
      <c r="G712" s="64">
        <v>200000</v>
      </c>
      <c r="H712" s="64" t="s">
        <v>86</v>
      </c>
      <c r="I712" s="64" t="s">
        <v>1396</v>
      </c>
      <c r="J712" s="64" t="s">
        <v>83</v>
      </c>
      <c r="K712" s="65">
        <v>123456789</v>
      </c>
      <c r="L712" s="35" t="s">
        <v>88</v>
      </c>
    </row>
    <row r="713" spans="7:12">
      <c r="G713" s="64">
        <v>200000</v>
      </c>
      <c r="H713" s="64" t="s">
        <v>86</v>
      </c>
      <c r="I713" s="64" t="s">
        <v>1396</v>
      </c>
      <c r="J713" s="64" t="s">
        <v>83</v>
      </c>
      <c r="K713" s="65">
        <v>123456789</v>
      </c>
      <c r="L713" s="35" t="s">
        <v>88</v>
      </c>
    </row>
  </sheetData>
  <sheetProtection password="EEFC" sheet="1" objects="1" scenarios="1" formatCells="0" formatColumns="0" formatRows="0" autoFilter="0"/>
  <autoFilter ref="A2:X669">
    <filterColumn colId="9">
      <filters>
        <filter val="מגדל מקפת קרנות פנסיה וקופות גמל בע&quot;מ"/>
      </filters>
    </filterColumn>
  </autoFilter>
  <sortState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purl.org/dc/elements/1.1/"/>
    <ds:schemaRef ds:uri="a46656d4-8850-49b3-aebd-68bd05f7f43d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schemas.microsoft.com/sharepoint/v3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הנחיות!Print_Area</vt:lpstr>
      <vt:lpstr>'פרסום מרכיבי תשואה'!Print_Area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Var!Years</vt:lpstr>
    </vt:vector>
  </TitlesOfParts>
  <Company>MOF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creator>Joe Sternberg</dc:creator>
  <dc:description>מונגש</dc:description>
  <cp:lastModifiedBy>שוהם קאופמן</cp:lastModifiedBy>
  <cp:lastPrinted>2021-05-27T06:23:48Z</cp:lastPrinted>
  <dcterms:created xsi:type="dcterms:W3CDTF">2016-08-07T08:05:35Z</dcterms:created>
  <dcterms:modified xsi:type="dcterms:W3CDTF">2025-10-20T10:15:39Z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