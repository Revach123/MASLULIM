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93198059-94A7-47F9-AA3C-AD0AB736CD50}" xr6:coauthVersionLast="47" xr6:coauthVersionMax="47" xr10:uidLastSave="{00000000-0000-0000-0000-000000000000}"/>
  <workbookProtection workbookPassword="8F07" lockStructure="1"/>
  <bookViews>
    <workbookView xWindow="2295" yWindow="229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<sst xmlns="http://schemas.openxmlformats.org/spreadsheetml/2006/main" count="5549" uniqueCount="1410">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</sst>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40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18" borderId="21" xfId="1" applyNumberFormat="1" applyFont="1" applyFill="1" applyBorder="1"/>
    <xf numFmtId="10" fontId="2" fillId="18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18" borderId="21" xfId="1" applyNumberFormat="1" applyFont="1" applyFill="1" applyBorder="1"/>
    <xf numFmtId="10" fontId="3" fillId="18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18" borderId="24" xfId="1" applyNumberFormat="1" applyFont="1" applyFill="1" applyBorder="1" applyAlignment="1">
      <alignment horizontal="center"/>
    </xf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10" fontId="2" fillId="9" borderId="22" xfId="1" applyNumberFormat="1" applyFont="1" applyFill="1" applyBorder="1"/>
    <xf numFmtId="10" fontId="3" fillId="9" borderId="22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3" fontId="3" fillId="14" borderId="24" xfId="1" applyNumberFormat="1" applyFont="1" applyFill="1" applyBorder="1" applyAlignment="1">
      <alignment horizontal="center"/>
    </xf>
    <xf numFmtId="10" fontId="2" fillId="18" borderId="24" xfId="1" applyNumberFormat="1" applyFont="1" applyFill="1" applyBorder="1"/>
    <xf numFmtId="10" fontId="2" fillId="18" borderId="26" xfId="1" applyNumberFormat="1" applyFont="1" applyFill="1" applyBorder="1"/>
    <xf numFmtId="10" fontId="3" fillId="18" borderId="30" xfId="1" applyNumberFormat="1" applyFont="1" applyFill="1" applyBorder="1"/>
    <xf numFmtId="10" fontId="3" fillId="18" borderId="31" xfId="1" applyNumberFormat="1" applyFont="1" applyFill="1" applyBorder="1"/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3" fillId="18" borderId="19" xfId="1" applyNumberFormat="1" applyFont="1" applyFill="1" applyBorder="1" applyAlignment="1">
      <alignment horizontal="center"/>
    </xf>
    <xf numFmtId="177" fontId="3" fillId="14" borderId="19" xfId="1" applyNumberFormat="1" applyFont="1" applyFill="1" applyBorder="1" applyAlignment="1">
      <alignment horizontal="center"/>
    </xf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199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512237744_g199_Yield425.xlsx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29"/>
      <c r="B1" s="4" t="s">
        <v>0</v>
      </c>
    </row>
    <row r="2" spans="1:31" ht="18.75">
      <c r="A2" s="129"/>
      <c r="B2" s="6" t="s">
        <v>822</v>
      </c>
      <c r="C2" s="25">
        <f>הנחיות!B21</f>
        <v>199</v>
      </c>
      <c r="D2" s="71"/>
      <c r="E2" s="71"/>
    </row>
    <row r="3" spans="1:31" ht="18.75">
      <c r="A3" s="129"/>
      <c r="B3" s="7" t="s">
        <v>28</v>
      </c>
      <c r="C3" s="24" t="str">
        <f ca="1">הנחיות!B23</f>
        <v>מגדל השתלמות אג"ח</v>
      </c>
      <c r="D3" s="24"/>
    </row>
    <row r="4" spans="1:31" ht="18.75">
      <c r="A4" s="12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5">
        <f>W5+1</f>
        <v>1</v>
      </c>
      <c r="Z5" s="5"/>
    </row>
    <row r="6" spans="1:31" s="20" customFormat="1" ht="47.45" customHeight="1">
      <c r="A6" s="131"/>
      <c r="B6" s="118" t="s">
        <v>26</v>
      </c>
      <c r="C6" s="119" t="s">
        <v>30</v>
      </c>
      <c r="D6" s="120" t="s">
        <v>31</v>
      </c>
      <c r="E6" s="121" t="s">
        <v>32</v>
      </c>
      <c r="F6" s="122" t="s">
        <v>33</v>
      </c>
      <c r="G6" s="119" t="s">
        <v>34</v>
      </c>
      <c r="H6" s="120" t="s">
        <v>35</v>
      </c>
      <c r="I6" s="121" t="s">
        <v>36</v>
      </c>
      <c r="J6" s="122" t="s">
        <v>37</v>
      </c>
      <c r="K6" s="119" t="s">
        <v>38</v>
      </c>
      <c r="L6" s="120" t="s">
        <v>39</v>
      </c>
      <c r="M6" s="121" t="s">
        <v>40</v>
      </c>
      <c r="N6" s="122" t="s">
        <v>41</v>
      </c>
      <c r="O6" s="119" t="s">
        <v>42</v>
      </c>
      <c r="P6" s="120" t="s">
        <v>43</v>
      </c>
      <c r="Q6" s="121" t="s">
        <v>44</v>
      </c>
      <c r="R6" s="122" t="s">
        <v>45</v>
      </c>
      <c r="S6" s="119" t="s">
        <v>46</v>
      </c>
      <c r="T6" s="120" t="s">
        <v>47</v>
      </c>
      <c r="U6" s="121" t="s">
        <v>48</v>
      </c>
      <c r="V6" s="122" t="s">
        <v>49</v>
      </c>
      <c r="W6" s="119" t="s">
        <v>50</v>
      </c>
      <c r="X6" s="120" t="s">
        <v>51</v>
      </c>
      <c r="Y6" s="121" t="s">
        <v>52</v>
      </c>
      <c r="Z6" s="123" t="s">
        <v>53</v>
      </c>
      <c r="AE6" s="21"/>
    </row>
    <row r="7" spans="1:31">
      <c r="A7" s="129"/>
      <c r="B7" s="83" t="s">
        <v>1</v>
      </c>
      <c r="C7" s="84">
        <v>-1.7121833102185337E-4</v>
      </c>
      <c r="D7" s="85">
        <v>9.3678879309564519E-2</v>
      </c>
      <c r="E7" s="88">
        <v>7.2023399581699893E-5</v>
      </c>
      <c r="F7" s="110">
        <v>8.1717488652805662E-2</v>
      </c>
      <c r="G7" s="84">
        <v>1.4465695630241397E-3</v>
      </c>
      <c r="H7" s="85">
        <v>6.5988820304131168E-2</v>
      </c>
      <c r="I7" s="86">
        <v>-2.0504826177068414E-7</v>
      </c>
      <c r="J7" s="87">
        <v>6.4782509912135244E-2</v>
      </c>
      <c r="K7" s="84">
        <v>-3.1732903285230978E-4</v>
      </c>
      <c r="L7" s="85">
        <v>7.8396708403893886E-2</v>
      </c>
      <c r="M7" s="86">
        <v>3.328410772040846E-4</v>
      </c>
      <c r="N7" s="87">
        <v>7.6834181082941058E-2</v>
      </c>
      <c r="O7" s="84">
        <v>1.9362923500725472E-4</v>
      </c>
      <c r="P7" s="85">
        <v>7.0404917495229147E-2</v>
      </c>
      <c r="Q7" s="88">
        <v>3.3880498176583243E-4</v>
      </c>
      <c r="R7" s="110">
        <v>6.0800278170651735E-2</v>
      </c>
      <c r="S7" s="84">
        <v>2.4950755876327609E-4</v>
      </c>
      <c r="T7" s="85">
        <v>4.0208323682512342E-2</v>
      </c>
      <c r="U7" s="88">
        <v>-8.8258670737488372E-5</v>
      </c>
      <c r="V7" s="110">
        <v>4.5235310033018582E-2</v>
      </c>
      <c r="W7" s="84">
        <v>5.5532268020414141E-5</v>
      </c>
      <c r="X7" s="85">
        <v>5.5799239932190763E-2</v>
      </c>
      <c r="Y7" s="88">
        <v>2.1047053679247203E-4</v>
      </c>
      <c r="Z7" s="89">
        <v>5.8580874745191906E-2</v>
      </c>
      <c r="AE7" s="3"/>
    </row>
    <row r="8" spans="1:31" ht="30">
      <c r="A8" s="129"/>
      <c r="B8" s="90" t="s">
        <v>909</v>
      </c>
      <c r="C8" s="84">
        <v>1.0401346825961192E-3</v>
      </c>
      <c r="D8" s="85">
        <v>0.26175444696527067</v>
      </c>
      <c r="E8" s="88">
        <v>2.104672900695514E-3</v>
      </c>
      <c r="F8" s="110">
        <v>0.26524208201273913</v>
      </c>
      <c r="G8" s="84">
        <v>-2.0935492302685487E-3</v>
      </c>
      <c r="H8" s="85">
        <v>0.27534150201160201</v>
      </c>
      <c r="I8" s="86">
        <v>3.7481176055132806E-3</v>
      </c>
      <c r="J8" s="87">
        <v>0.27350385781081477</v>
      </c>
      <c r="K8" s="84">
        <v>-1.9716118935719893E-3</v>
      </c>
      <c r="L8" s="85">
        <v>0.26406274897279541</v>
      </c>
      <c r="M8" s="86">
        <v>5.7336221949786364E-3</v>
      </c>
      <c r="N8" s="87">
        <v>0.26609299985958118</v>
      </c>
      <c r="O8" s="84">
        <v>-6.8811997423526402E-4</v>
      </c>
      <c r="P8" s="85">
        <v>0.27851761371837896</v>
      </c>
      <c r="Q8" s="88">
        <v>2.6532326279144129E-3</v>
      </c>
      <c r="R8" s="110">
        <v>0.27426562997925363</v>
      </c>
      <c r="S8" s="84">
        <v>2.2301767494608609E-3</v>
      </c>
      <c r="T8" s="85">
        <v>0.27180468798282337</v>
      </c>
      <c r="U8" s="88">
        <v>3.7339516421128621E-3</v>
      </c>
      <c r="V8" s="110">
        <v>0.27312269571732328</v>
      </c>
      <c r="W8" s="84">
        <v>5.3832259697988137E-4</v>
      </c>
      <c r="X8" s="85">
        <v>0.27385923599040946</v>
      </c>
      <c r="Y8" s="88">
        <v>4.1388445078502953E-4</v>
      </c>
      <c r="Z8" s="89">
        <v>0.2722277494838824</v>
      </c>
      <c r="AE8" s="3"/>
    </row>
    <row r="9" spans="1:31">
      <c r="A9" s="129"/>
      <c r="B9" s="91" t="s">
        <v>2</v>
      </c>
      <c r="C9" s="84">
        <v>0</v>
      </c>
      <c r="D9" s="85">
        <v>0</v>
      </c>
      <c r="E9" s="88">
        <v>0</v>
      </c>
      <c r="F9" s="110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8">
        <v>0</v>
      </c>
      <c r="R9" s="110">
        <v>0</v>
      </c>
      <c r="S9" s="84">
        <v>0</v>
      </c>
      <c r="T9" s="85">
        <v>0</v>
      </c>
      <c r="U9" s="88">
        <v>0</v>
      </c>
      <c r="V9" s="110">
        <v>0</v>
      </c>
      <c r="W9" s="84">
        <v>0</v>
      </c>
      <c r="X9" s="85">
        <v>0</v>
      </c>
      <c r="Y9" s="88">
        <v>0</v>
      </c>
      <c r="Z9" s="89">
        <v>0</v>
      </c>
      <c r="AE9" s="3"/>
    </row>
    <row r="10" spans="1:31">
      <c r="A10" s="129"/>
      <c r="B10" s="91" t="s">
        <v>3</v>
      </c>
      <c r="C10" s="84">
        <v>7.5656143770501079E-6</v>
      </c>
      <c r="D10" s="85">
        <v>1.4825386025420027E-3</v>
      </c>
      <c r="E10" s="88">
        <v>-2.9206401951197317E-5</v>
      </c>
      <c r="F10" s="110">
        <v>1.4674205814323219E-3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8">
        <v>0</v>
      </c>
      <c r="R10" s="110">
        <v>0</v>
      </c>
      <c r="S10" s="84">
        <v>0</v>
      </c>
      <c r="T10" s="85">
        <v>0</v>
      </c>
      <c r="U10" s="88">
        <v>0</v>
      </c>
      <c r="V10" s="110">
        <v>0</v>
      </c>
      <c r="W10" s="84">
        <v>0</v>
      </c>
      <c r="X10" s="85">
        <v>0</v>
      </c>
      <c r="Y10" s="88">
        <v>0</v>
      </c>
      <c r="Z10" s="89">
        <v>0</v>
      </c>
      <c r="AE10" s="3"/>
    </row>
    <row r="11" spans="1:31">
      <c r="A11" s="129"/>
      <c r="B11" s="91" t="s">
        <v>4</v>
      </c>
      <c r="C11" s="84">
        <v>4.8382001892116296E-4</v>
      </c>
      <c r="D11" s="85">
        <v>0.33042367274056644</v>
      </c>
      <c r="E11" s="88">
        <v>2.8155381610914508E-3</v>
      </c>
      <c r="F11" s="110">
        <v>0.32166970792324573</v>
      </c>
      <c r="G11" s="84">
        <v>3.1887252041489119E-4</v>
      </c>
      <c r="H11" s="85">
        <v>0.32176710093356109</v>
      </c>
      <c r="I11" s="86">
        <v>2.2686337475755123E-3</v>
      </c>
      <c r="J11" s="87">
        <v>0.32876915553767883</v>
      </c>
      <c r="K11" s="84">
        <v>-4.3520330089278709E-5</v>
      </c>
      <c r="L11" s="85">
        <v>0.33045701047782328</v>
      </c>
      <c r="M11" s="86">
        <v>4.2790013823843127E-3</v>
      </c>
      <c r="N11" s="87">
        <v>0.33031744926978901</v>
      </c>
      <c r="O11" s="84">
        <v>1.226675557830563E-3</v>
      </c>
      <c r="P11" s="85">
        <v>0.33040183504583043</v>
      </c>
      <c r="Q11" s="88">
        <v>2.2852924004713349E-3</v>
      </c>
      <c r="R11" s="110">
        <v>0.34470084685561198</v>
      </c>
      <c r="S11" s="84">
        <v>2.7961711777805668E-3</v>
      </c>
      <c r="T11" s="85">
        <v>0.3514863047323713</v>
      </c>
      <c r="U11" s="88">
        <v>1.6932799294731072E-3</v>
      </c>
      <c r="V11" s="110">
        <v>0.35023738152517858</v>
      </c>
      <c r="W11" s="84">
        <v>1.2227770077609498E-3</v>
      </c>
      <c r="X11" s="85">
        <v>0.35121358341678577</v>
      </c>
      <c r="Y11" s="88">
        <v>1.1623152365416154E-3</v>
      </c>
      <c r="Z11" s="89">
        <v>0.35344598235849134</v>
      </c>
      <c r="AE11" s="3"/>
    </row>
    <row r="12" spans="1:31">
      <c r="A12" s="129"/>
      <c r="B12" s="91" t="s">
        <v>5</v>
      </c>
      <c r="C12" s="84">
        <v>7.7098970834354886E-6</v>
      </c>
      <c r="D12" s="85">
        <v>1.4249969537007601E-2</v>
      </c>
      <c r="E12" s="88">
        <v>1.6981465746511169E-4</v>
      </c>
      <c r="F12" s="110">
        <v>1.7042721822761894E-2</v>
      </c>
      <c r="G12" s="84">
        <v>-9.6903392217055889E-5</v>
      </c>
      <c r="H12" s="85">
        <v>1.5292918995529035E-2</v>
      </c>
      <c r="I12" s="86">
        <v>1.1775360752600026E-4</v>
      </c>
      <c r="J12" s="87">
        <v>1.5188361160332458E-2</v>
      </c>
      <c r="K12" s="84">
        <v>-4.5862466556750401E-6</v>
      </c>
      <c r="L12" s="85">
        <v>1.4968780381080238E-2</v>
      </c>
      <c r="M12" s="86">
        <v>2.550127734898775E-4</v>
      </c>
      <c r="N12" s="87">
        <v>1.4832593232709985E-2</v>
      </c>
      <c r="O12" s="84">
        <v>1.0702005218493761E-4</v>
      </c>
      <c r="P12" s="85">
        <v>1.4514852357730514E-2</v>
      </c>
      <c r="Q12" s="88">
        <v>1.1797854590479232E-4</v>
      </c>
      <c r="R12" s="110">
        <v>1.4582635575037221E-2</v>
      </c>
      <c r="S12" s="84">
        <v>1.0632086457014077E-4</v>
      </c>
      <c r="T12" s="85">
        <v>1.498545243476204E-2</v>
      </c>
      <c r="U12" s="88">
        <v>1.2745531922027733E-4</v>
      </c>
      <c r="V12" s="110">
        <v>1.4401663394636742E-2</v>
      </c>
      <c r="W12" s="84">
        <v>4.691363199572444E-5</v>
      </c>
      <c r="X12" s="85">
        <v>1.4260522362800523E-2</v>
      </c>
      <c r="Y12" s="88">
        <v>8.4502020952253833E-6</v>
      </c>
      <c r="Z12" s="89">
        <v>1.391791277732933E-2</v>
      </c>
      <c r="AE12" s="3"/>
    </row>
    <row r="13" spans="1:31">
      <c r="A13" s="129"/>
      <c r="B13" s="91" t="s">
        <v>6</v>
      </c>
      <c r="C13" s="84">
        <v>7.8262362200210177E-5</v>
      </c>
      <c r="D13" s="85">
        <v>3.9671231312348332E-3</v>
      </c>
      <c r="E13" s="88">
        <v>1.8430007174675277E-5</v>
      </c>
      <c r="F13" s="110">
        <v>4.6742021146676475E-3</v>
      </c>
      <c r="G13" s="84">
        <v>2.0859508088487126E-4</v>
      </c>
      <c r="H13" s="85">
        <v>2.7610459878559456E-3</v>
      </c>
      <c r="I13" s="86">
        <v>-1.8983800722329592E-5</v>
      </c>
      <c r="J13" s="87">
        <v>1.6796455639502155E-3</v>
      </c>
      <c r="K13" s="84">
        <v>-5.4359666313997351E-5</v>
      </c>
      <c r="L13" s="85">
        <v>1.6153747856623398E-3</v>
      </c>
      <c r="M13" s="86">
        <v>-2.1243949644574914E-5</v>
      </c>
      <c r="N13" s="87">
        <v>1.5834264973994012E-3</v>
      </c>
      <c r="O13" s="84">
        <v>1.6467857214085627E-5</v>
      </c>
      <c r="P13" s="85">
        <v>1.5123325273344477E-3</v>
      </c>
      <c r="Q13" s="88">
        <v>-8.2117336428397998E-5</v>
      </c>
      <c r="R13" s="110">
        <v>4.2235104939070999E-3</v>
      </c>
      <c r="S13" s="84">
        <v>7.2526189601840893E-4</v>
      </c>
      <c r="T13" s="85">
        <v>1.5370008709063951E-2</v>
      </c>
      <c r="U13" s="88">
        <v>4.9170769080989407E-4</v>
      </c>
      <c r="V13" s="110">
        <v>1.6129017989883303E-2</v>
      </c>
      <c r="W13" s="84">
        <v>5.460985301999528E-4</v>
      </c>
      <c r="X13" s="85">
        <v>1.5351628967006047E-2</v>
      </c>
      <c r="Y13" s="88">
        <v>6.8482710488201415E-4</v>
      </c>
      <c r="Z13" s="89">
        <v>1.5439750789752699E-2</v>
      </c>
      <c r="AE13" s="3"/>
    </row>
    <row r="14" spans="1:31">
      <c r="A14" s="129"/>
      <c r="B14" s="91" t="s">
        <v>62</v>
      </c>
      <c r="C14" s="84">
        <v>8.0145563755001692E-5</v>
      </c>
      <c r="D14" s="85">
        <v>6.6649404554760497E-2</v>
      </c>
      <c r="E14" s="88">
        <v>5.1283405065061791E-4</v>
      </c>
      <c r="F14" s="110">
        <v>6.6445333244444488E-2</v>
      </c>
      <c r="G14" s="84">
        <v>-1.4566999864550707E-4</v>
      </c>
      <c r="H14" s="85">
        <v>6.6048216160171036E-2</v>
      </c>
      <c r="I14" s="86">
        <v>1.7713867943504896E-4</v>
      </c>
      <c r="J14" s="87">
        <v>6.0897384464073209E-2</v>
      </c>
      <c r="K14" s="84">
        <v>3.3907022267409021E-6</v>
      </c>
      <c r="L14" s="85">
        <v>5.8571895856680954E-2</v>
      </c>
      <c r="M14" s="86">
        <v>6.4567828832240979E-4</v>
      </c>
      <c r="N14" s="87">
        <v>5.8882221395295135E-2</v>
      </c>
      <c r="O14" s="84">
        <v>1.9036975824488601E-4</v>
      </c>
      <c r="P14" s="85">
        <v>5.7698656450295253E-2</v>
      </c>
      <c r="Q14" s="88">
        <v>3.1565668325812129E-4</v>
      </c>
      <c r="R14" s="110">
        <v>5.5416946729653818E-2</v>
      </c>
      <c r="S14" s="84">
        <v>3.1860613255058816E-4</v>
      </c>
      <c r="T14" s="85">
        <v>5.4226501146533379E-2</v>
      </c>
      <c r="U14" s="88">
        <v>2.6841012531783718E-4</v>
      </c>
      <c r="V14" s="110">
        <v>5.6335898776852314E-2</v>
      </c>
      <c r="W14" s="84">
        <v>-7.7540979502679669E-5</v>
      </c>
      <c r="X14" s="85">
        <v>5.6586291620690392E-2</v>
      </c>
      <c r="Y14" s="88">
        <v>2.0434493462647313E-4</v>
      </c>
      <c r="Z14" s="89">
        <v>5.9423256294495463E-2</v>
      </c>
      <c r="AE14" s="3"/>
    </row>
    <row r="15" spans="1:31">
      <c r="A15" s="129"/>
      <c r="B15" s="91" t="s">
        <v>7</v>
      </c>
      <c r="C15" s="84">
        <v>-6.9654553471175542E-5</v>
      </c>
      <c r="D15" s="85">
        <v>5.7698443251263587E-3</v>
      </c>
      <c r="E15" s="88">
        <v>7.9343594550408935E-5</v>
      </c>
      <c r="F15" s="110">
        <v>5.6919916711670659E-3</v>
      </c>
      <c r="G15" s="84">
        <v>3.5290404780109118E-4</v>
      </c>
      <c r="H15" s="85">
        <v>5.9297531803326172E-3</v>
      </c>
      <c r="I15" s="86">
        <v>-6.5476001576490194E-5</v>
      </c>
      <c r="J15" s="87">
        <v>6.1317737311520964E-3</v>
      </c>
      <c r="K15" s="84">
        <v>-2.0265656749412182E-4</v>
      </c>
      <c r="L15" s="85">
        <v>6.3000346088021783E-3</v>
      </c>
      <c r="M15" s="86">
        <v>-1.0855027312418528E-4</v>
      </c>
      <c r="N15" s="87">
        <v>6.2665789830133765E-3</v>
      </c>
      <c r="O15" s="84">
        <v>-6.8608369066441926E-6</v>
      </c>
      <c r="P15" s="85">
        <v>6.0089826103312113E-3</v>
      </c>
      <c r="Q15" s="88">
        <v>-5.7009236896403084E-6</v>
      </c>
      <c r="R15" s="110">
        <v>6.1292452263416149E-3</v>
      </c>
      <c r="S15" s="84">
        <v>-3.0889554982566395E-5</v>
      </c>
      <c r="T15" s="85">
        <v>6.3105889740681176E-3</v>
      </c>
      <c r="U15" s="88">
        <v>-8.9982327559293959E-5</v>
      </c>
      <c r="V15" s="110">
        <v>6.371915383581994E-3</v>
      </c>
      <c r="W15" s="84">
        <v>3.0332977171086848E-5</v>
      </c>
      <c r="X15" s="85">
        <v>6.3222888935867815E-3</v>
      </c>
      <c r="Y15" s="88">
        <v>-5.7104782586348149E-5</v>
      </c>
      <c r="Z15" s="89">
        <v>6.1749687819735131E-3</v>
      </c>
      <c r="AE15" s="3"/>
    </row>
    <row r="16" spans="1:31">
      <c r="A16" s="129"/>
      <c r="B16" s="91" t="s">
        <v>8</v>
      </c>
      <c r="C16" s="84">
        <v>-6.1574616227572944E-4</v>
      </c>
      <c r="D16" s="85">
        <v>5.6689400220712782E-2</v>
      </c>
      <c r="E16" s="88">
        <v>-3.6207684999613978E-5</v>
      </c>
      <c r="F16" s="110">
        <v>6.9309484499191706E-2</v>
      </c>
      <c r="G16" s="84">
        <v>5.2744654843575002E-3</v>
      </c>
      <c r="H16" s="85">
        <v>7.276477447333303E-2</v>
      </c>
      <c r="I16" s="86">
        <v>5.4153120709712909E-4</v>
      </c>
      <c r="J16" s="87">
        <v>7.6474885201533879E-2</v>
      </c>
      <c r="K16" s="84">
        <v>-2.0621764223046016E-3</v>
      </c>
      <c r="L16" s="85">
        <v>7.3378434492971059E-2</v>
      </c>
      <c r="M16" s="86">
        <v>-1.2761244429274532E-3</v>
      </c>
      <c r="N16" s="87">
        <v>7.0848921237876977E-2</v>
      </c>
      <c r="O16" s="84">
        <v>-4.9681259158532935E-4</v>
      </c>
      <c r="P16" s="85">
        <v>6.7173555047814665E-2</v>
      </c>
      <c r="Q16" s="88">
        <v>2.5325130363473684E-4</v>
      </c>
      <c r="R16" s="110">
        <v>6.7089814949218118E-2</v>
      </c>
      <c r="S16" s="84">
        <v>-3.6649796156457126E-4</v>
      </c>
      <c r="T16" s="85">
        <v>6.5080491783879826E-2</v>
      </c>
      <c r="U16" s="88">
        <v>-1.0710400383340923E-3</v>
      </c>
      <c r="V16" s="110">
        <v>6.3512417727411077E-2</v>
      </c>
      <c r="W16" s="84">
        <v>1.0039103932294043E-3</v>
      </c>
      <c r="X16" s="85">
        <v>6.1593338841481521E-2</v>
      </c>
      <c r="Y16" s="88">
        <v>-7.2543213247156825E-4</v>
      </c>
      <c r="Z16" s="89">
        <v>6.057569593874057E-2</v>
      </c>
      <c r="AE16" s="3"/>
    </row>
    <row r="17" spans="1:31">
      <c r="A17" s="129"/>
      <c r="B17" s="91" t="s">
        <v>9</v>
      </c>
      <c r="C17" s="84">
        <v>3.6395763490436847E-10</v>
      </c>
      <c r="D17" s="85">
        <v>6.7820873365511505E-9</v>
      </c>
      <c r="E17" s="88">
        <v>2.5620457561216521E-10</v>
      </c>
      <c r="F17" s="110">
        <v>7.7138340007164051E-9</v>
      </c>
      <c r="G17" s="84">
        <v>-1.7480566320747304E-9</v>
      </c>
      <c r="H17" s="85">
        <v>6.2903700181273555E-9</v>
      </c>
      <c r="I17" s="86">
        <v>2.8470703357665033E-10</v>
      </c>
      <c r="J17" s="87">
        <v>3.6223806915440092E-9</v>
      </c>
      <c r="K17" s="84">
        <v>5.5000466997569101E-10</v>
      </c>
      <c r="L17" s="85">
        <v>4.1499483885121744E-9</v>
      </c>
      <c r="M17" s="86">
        <v>1.7954481553413495E-9</v>
      </c>
      <c r="N17" s="87">
        <v>4.5961570712813131E-9</v>
      </c>
      <c r="O17" s="84">
        <v>4.2503352427363375E-10</v>
      </c>
      <c r="P17" s="85">
        <v>7.7345789661420608E-9</v>
      </c>
      <c r="Q17" s="88">
        <v>-1.5380364484102384E-6</v>
      </c>
      <c r="R17" s="110">
        <v>3.1708415751374831E-6</v>
      </c>
      <c r="S17" s="84">
        <v>-6.4796479801312001E-6</v>
      </c>
      <c r="T17" s="85">
        <v>1.9106947188094196E-5</v>
      </c>
      <c r="U17" s="88">
        <v>9.272682071225016E-6</v>
      </c>
      <c r="V17" s="110">
        <v>2.3676778772496155E-5</v>
      </c>
      <c r="W17" s="84">
        <v>1.276417176389762E-6</v>
      </c>
      <c r="X17" s="85">
        <v>1.6275904264520111E-5</v>
      </c>
      <c r="Y17" s="88">
        <v>1.6155408427131943E-6</v>
      </c>
      <c r="Z17" s="89">
        <v>3.0050437170594883E-5</v>
      </c>
      <c r="AE17" s="3"/>
    </row>
    <row r="18" spans="1:31">
      <c r="A18" s="129"/>
      <c r="B18" s="91" t="s">
        <v>10</v>
      </c>
      <c r="C18" s="84">
        <v>1.5132148994857649E-3</v>
      </c>
      <c r="D18" s="85">
        <v>9.2035942782166225E-4</v>
      </c>
      <c r="E18" s="88">
        <v>8.9620952276908271E-4</v>
      </c>
      <c r="F18" s="110">
        <v>1.6265545988132946E-3</v>
      </c>
      <c r="G18" s="84">
        <v>-5.4400490689860475E-3</v>
      </c>
      <c r="H18" s="85">
        <v>-1.1895534130762408E-3</v>
      </c>
      <c r="I18" s="86">
        <v>4.7320783205264273E-4</v>
      </c>
      <c r="J18" s="87">
        <v>-3.6612309043351347E-3</v>
      </c>
      <c r="K18" s="84">
        <v>3.133781097111871E-3</v>
      </c>
      <c r="L18" s="85">
        <v>-8.2641433607090432E-4</v>
      </c>
      <c r="M18" s="86">
        <v>3.0384833002155714E-3</v>
      </c>
      <c r="N18" s="87">
        <v>1.9201325975239365E-3</v>
      </c>
      <c r="O18" s="84">
        <v>5.2126337732265413E-4</v>
      </c>
      <c r="P18" s="85">
        <v>7.2173068092440526E-3</v>
      </c>
      <c r="Q18" s="88">
        <v>8.8775077554441013E-4</v>
      </c>
      <c r="R18" s="110">
        <v>6.1858432774934561E-3</v>
      </c>
      <c r="S18" s="84">
        <v>9.4012929231460074E-4</v>
      </c>
      <c r="T18" s="85">
        <v>7.2826553731781991E-3</v>
      </c>
      <c r="U18" s="88">
        <v>2.529993983448203E-3</v>
      </c>
      <c r="V18" s="110">
        <v>9.4164106154370902E-3</v>
      </c>
      <c r="W18" s="84">
        <v>5.2546437544876966E-5</v>
      </c>
      <c r="X18" s="85">
        <v>3.6880553840706091E-3</v>
      </c>
      <c r="Y18" s="88">
        <v>1.0094915049898368E-3</v>
      </c>
      <c r="Z18" s="89">
        <v>2.0129852997859614E-3</v>
      </c>
      <c r="AE18" s="3"/>
    </row>
    <row r="19" spans="1:31">
      <c r="A19" s="129"/>
      <c r="B19" s="91" t="s">
        <v>11</v>
      </c>
      <c r="C19" s="84">
        <v>5.6582200765837617E-9</v>
      </c>
      <c r="D19" s="85">
        <v>9.4114295381390137E-9</v>
      </c>
      <c r="E19" s="88">
        <v>1.3286462092257803E-9</v>
      </c>
      <c r="F19" s="110">
        <v>7.6283581646630003E-9</v>
      </c>
      <c r="G19" s="84">
        <v>1.8492535926585679E-9</v>
      </c>
      <c r="H19" s="85">
        <v>9.631895783966293E-9</v>
      </c>
      <c r="I19" s="86">
        <v>9.9686870495568199E-9</v>
      </c>
      <c r="J19" s="87">
        <v>9.8088624272410506E-9</v>
      </c>
      <c r="K19" s="84">
        <v>1.867135814708041E-8</v>
      </c>
      <c r="L19" s="85">
        <v>1.8044813614450816E-8</v>
      </c>
      <c r="M19" s="86">
        <v>1.5656363386711355E-8</v>
      </c>
      <c r="N19" s="87">
        <v>1.607447269512999E-8</v>
      </c>
      <c r="O19" s="84">
        <v>-6.2358015701570689E-9</v>
      </c>
      <c r="P19" s="85">
        <v>1.1772528605402245E-8</v>
      </c>
      <c r="Q19" s="88">
        <v>-6.1789015647623529E-6</v>
      </c>
      <c r="R19" s="110">
        <v>2.6751099163339694E-6</v>
      </c>
      <c r="S19" s="84">
        <v>1.2752053346509807E-5</v>
      </c>
      <c r="T19" s="85">
        <v>4.8053737635207656E-6</v>
      </c>
      <c r="U19" s="88">
        <v>-4.460388019098778E-6</v>
      </c>
      <c r="V19" s="110">
        <v>1.6392451477490506E-5</v>
      </c>
      <c r="W19" s="84">
        <v>3.0819408254352468E-5</v>
      </c>
      <c r="X19" s="85">
        <v>1.6842648137587771E-5</v>
      </c>
      <c r="Y19" s="88">
        <v>4.160811392861628E-6</v>
      </c>
      <c r="Z19" s="89">
        <v>1.9155677308658434E-5</v>
      </c>
    </row>
    <row r="20" spans="1:31">
      <c r="A20" s="129"/>
      <c r="B20" s="91" t="s">
        <v>12</v>
      </c>
      <c r="C20" s="84">
        <v>-8.2318560470755818E-6</v>
      </c>
      <c r="D20" s="85">
        <v>5.8586105916656256E-3</v>
      </c>
      <c r="E20" s="88">
        <v>1.7077172467481007E-5</v>
      </c>
      <c r="F20" s="110">
        <v>3.8851063701369902E-3</v>
      </c>
      <c r="G20" s="84">
        <v>4.4806656051993659E-5</v>
      </c>
      <c r="H20" s="85">
        <v>6.1331326797668499E-3</v>
      </c>
      <c r="I20" s="86">
        <v>4.2569433924604051E-5</v>
      </c>
      <c r="J20" s="87">
        <v>6.1208181016293908E-3</v>
      </c>
      <c r="K20" s="84">
        <v>3.0250951722139516E-5</v>
      </c>
      <c r="L20" s="85">
        <v>7.0703101098104314E-3</v>
      </c>
      <c r="M20" s="86">
        <v>9.5542140110613393E-5</v>
      </c>
      <c r="N20" s="87">
        <v>9.0348180001384153E-3</v>
      </c>
      <c r="O20" s="84">
        <v>4.0645426518965411E-5</v>
      </c>
      <c r="P20" s="85">
        <v>9.3782055153404115E-3</v>
      </c>
      <c r="Q20" s="88">
        <v>3.469833330840497E-5</v>
      </c>
      <c r="R20" s="110">
        <v>1.0593235167367192E-2</v>
      </c>
      <c r="S20" s="84">
        <v>6.9607617113786958E-6</v>
      </c>
      <c r="T20" s="85">
        <v>1.6377886950373947E-2</v>
      </c>
      <c r="U20" s="88">
        <v>1.6926922440094338E-4</v>
      </c>
      <c r="V20" s="110">
        <v>1.7286021475629066E-2</v>
      </c>
      <c r="W20" s="84">
        <v>8.3705736946566487E-5</v>
      </c>
      <c r="X20" s="85">
        <v>1.7024149644728353E-2</v>
      </c>
      <c r="Y20" s="88">
        <v>7.7688867809881415E-5</v>
      </c>
      <c r="Z20" s="89">
        <v>1.661759328476653E-2</v>
      </c>
    </row>
    <row r="21" spans="1:31">
      <c r="A21" s="129"/>
      <c r="B21" s="91" t="s">
        <v>13</v>
      </c>
      <c r="C21" s="84">
        <v>3.6338887954011042E-4</v>
      </c>
      <c r="D21" s="85">
        <v>0.15730240887124994</v>
      </c>
      <c r="E21" s="88">
        <v>3.4796235434377947E-4</v>
      </c>
      <c r="F21" s="110">
        <v>0.1599879841058208</v>
      </c>
      <c r="G21" s="84">
        <v>1.5287577565353029E-3</v>
      </c>
      <c r="H21" s="85">
        <v>0.16791964540331314</v>
      </c>
      <c r="I21" s="86">
        <v>6.0459134723345632E-4</v>
      </c>
      <c r="J21" s="87">
        <v>0.16887340451562419</v>
      </c>
      <c r="K21" s="84">
        <v>-6.0157024040860627E-4</v>
      </c>
      <c r="L21" s="85">
        <v>0.16476679848692904</v>
      </c>
      <c r="M21" s="86">
        <v>2.97562354429759E-4</v>
      </c>
      <c r="N21" s="87">
        <v>0.1621274019735148</v>
      </c>
      <c r="O21" s="84">
        <v>6.7446859767013529E-4</v>
      </c>
      <c r="P21" s="85">
        <v>0.15590745889347626</v>
      </c>
      <c r="Q21" s="88">
        <v>-2.9249363339097352E-4</v>
      </c>
      <c r="R21" s="110">
        <v>0.15474381115243055</v>
      </c>
      <c r="S21" s="84">
        <v>1.6767407295238068E-5</v>
      </c>
      <c r="T21" s="85">
        <v>0.15558979437287898</v>
      </c>
      <c r="U21" s="88">
        <v>7.4996347306475802E-4</v>
      </c>
      <c r="V21" s="110">
        <v>0.14666295207422733</v>
      </c>
      <c r="W21" s="84">
        <v>4.0311208435554622E-4</v>
      </c>
      <c r="X21" s="85">
        <v>0.14302305382007885</v>
      </c>
      <c r="Y21" s="88">
        <v>-2.4733867931002641E-4</v>
      </c>
      <c r="Z21" s="89">
        <v>0.14028895427232566</v>
      </c>
    </row>
    <row r="22" spans="1:31">
      <c r="A22" s="129"/>
      <c r="B22" s="91" t="s">
        <v>14</v>
      </c>
      <c r="C22" s="84">
        <v>0</v>
      </c>
      <c r="D22" s="85">
        <v>0</v>
      </c>
      <c r="E22" s="88">
        <v>0</v>
      </c>
      <c r="F22" s="110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8">
        <v>0</v>
      </c>
      <c r="R22" s="110">
        <v>0</v>
      </c>
      <c r="S22" s="84">
        <v>0</v>
      </c>
      <c r="T22" s="85">
        <v>0</v>
      </c>
      <c r="U22" s="88">
        <v>0</v>
      </c>
      <c r="V22" s="110">
        <v>0</v>
      </c>
      <c r="W22" s="84">
        <v>0</v>
      </c>
      <c r="X22" s="85">
        <v>0</v>
      </c>
      <c r="Y22" s="88">
        <v>0</v>
      </c>
      <c r="Z22" s="89">
        <v>0</v>
      </c>
    </row>
    <row r="23" spans="1:31">
      <c r="A23" s="129"/>
      <c r="B23" s="91" t="s">
        <v>15</v>
      </c>
      <c r="C23" s="84">
        <v>0</v>
      </c>
      <c r="D23" s="85">
        <v>0</v>
      </c>
      <c r="E23" s="88">
        <v>0</v>
      </c>
      <c r="F23" s="110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8">
        <v>0</v>
      </c>
      <c r="R23" s="110">
        <v>0</v>
      </c>
      <c r="S23" s="84">
        <v>0</v>
      </c>
      <c r="T23" s="85">
        <v>0</v>
      </c>
      <c r="U23" s="88">
        <v>0</v>
      </c>
      <c r="V23" s="110">
        <v>0</v>
      </c>
      <c r="W23" s="84">
        <v>0</v>
      </c>
      <c r="X23" s="85">
        <v>0</v>
      </c>
      <c r="Y23" s="88">
        <v>0</v>
      </c>
      <c r="Z23" s="89">
        <v>0</v>
      </c>
    </row>
    <row r="24" spans="1:31">
      <c r="A24" s="129"/>
      <c r="B24" s="91" t="s">
        <v>16</v>
      </c>
      <c r="C24" s="84">
        <v>4.283441271699025E-7</v>
      </c>
      <c r="D24" s="85">
        <v>1.3069419111207451E-3</v>
      </c>
      <c r="E24" s="88">
        <v>1.473681693567213E-6</v>
      </c>
      <c r="F24" s="110">
        <v>1.2942291989152975E-3</v>
      </c>
      <c r="G24" s="84">
        <v>1.6969366197440888E-6</v>
      </c>
      <c r="H24" s="85">
        <v>1.2970348868507524E-3</v>
      </c>
      <c r="I24" s="86">
        <v>9.2076097805903687E-7</v>
      </c>
      <c r="J24" s="87">
        <v>1.2944365457954396E-3</v>
      </c>
      <c r="K24" s="84">
        <v>6.0105700422058167E-8</v>
      </c>
      <c r="L24" s="85">
        <v>1.2912547944560428E-3</v>
      </c>
      <c r="M24" s="86">
        <v>7.770853996945924E-6</v>
      </c>
      <c r="N24" s="87">
        <v>1.311725399765452E-3</v>
      </c>
      <c r="O24" s="84">
        <v>1.2264479377065358E-6</v>
      </c>
      <c r="P24" s="85">
        <v>1.315271818693066E-3</v>
      </c>
      <c r="Q24" s="88">
        <v>1.2040861750679371E-6</v>
      </c>
      <c r="R24" s="110">
        <v>1.3157857877754034E-3</v>
      </c>
      <c r="S24" s="84">
        <v>1.1233462212517263E-6</v>
      </c>
      <c r="T24" s="85">
        <v>1.3161630065890973E-3</v>
      </c>
      <c r="U24" s="88">
        <v>1.2207151266149068E-7</v>
      </c>
      <c r="V24" s="110">
        <v>1.3093200587003357E-3</v>
      </c>
      <c r="W24" s="84">
        <v>2.2364066874915075E-6</v>
      </c>
      <c r="X24" s="85">
        <v>1.3052985537836724E-3</v>
      </c>
      <c r="Y24" s="88">
        <v>2.4703017685040709E-6</v>
      </c>
      <c r="Z24" s="89">
        <v>1.3012224425649522E-3</v>
      </c>
    </row>
    <row r="25" spans="1:31">
      <c r="A25" s="129"/>
      <c r="B25" s="91" t="s">
        <v>17</v>
      </c>
      <c r="C25" s="84">
        <v>1.7461855209825786E-7</v>
      </c>
      <c r="D25" s="85">
        <v>-5.3616382160562828E-5</v>
      </c>
      <c r="E25" s="88">
        <v>3.2999616638803391E-8</v>
      </c>
      <c r="F25" s="110">
        <v>-5.4322138334327337E-5</v>
      </c>
      <c r="G25" s="84">
        <v>-4.9645676933512246E-7</v>
      </c>
      <c r="H25" s="85">
        <v>-5.4407525636244454E-5</v>
      </c>
      <c r="I25" s="86">
        <v>1.9037583077522885E-7</v>
      </c>
      <c r="J25" s="87">
        <v>-5.5015071627885434E-5</v>
      </c>
      <c r="K25" s="84">
        <v>3.0832156659067473E-7</v>
      </c>
      <c r="L25" s="85">
        <v>-5.2959229595743627E-5</v>
      </c>
      <c r="M25" s="86">
        <v>3.8684875246011007E-7</v>
      </c>
      <c r="N25" s="87">
        <v>-5.2470200178371828E-5</v>
      </c>
      <c r="O25" s="84">
        <v>3.290356409499916E-8</v>
      </c>
      <c r="P25" s="85">
        <v>-5.1007796805889039E-5</v>
      </c>
      <c r="Q25" s="88">
        <v>1.5909354507155597E-7</v>
      </c>
      <c r="R25" s="110">
        <v>-5.3429316233286932E-5</v>
      </c>
      <c r="S25" s="84">
        <v>8.9924494448511142E-8</v>
      </c>
      <c r="T25" s="85">
        <v>-6.2771469986242306E-5</v>
      </c>
      <c r="U25" s="88">
        <v>3.1528321820355036E-7</v>
      </c>
      <c r="V25" s="110">
        <v>-6.1074002129676716E-5</v>
      </c>
      <c r="W25" s="84">
        <v>-4.291681995734061E-8</v>
      </c>
      <c r="X25" s="85">
        <v>-5.9805980014950919E-5</v>
      </c>
      <c r="Y25" s="88">
        <v>1.5610184131684872E-7</v>
      </c>
      <c r="Z25" s="89">
        <v>-5.6152583779498619E-5</v>
      </c>
    </row>
    <row r="26" spans="1:31">
      <c r="A26" s="129"/>
      <c r="B26" s="92" t="s">
        <v>18</v>
      </c>
      <c r="C26" s="93">
        <v>2.7100000000000002E-3</v>
      </c>
      <c r="D26" s="94">
        <v>0.99999999999999989</v>
      </c>
      <c r="E26" s="97">
        <v>6.9699999999999996E-3</v>
      </c>
      <c r="F26" s="111">
        <v>0.99999999999999989</v>
      </c>
      <c r="G26" s="93">
        <v>1.4000000000000002E-3</v>
      </c>
      <c r="H26" s="94">
        <v>1.0000000000000002</v>
      </c>
      <c r="I26" s="95">
        <v>7.8900000000000012E-3</v>
      </c>
      <c r="J26" s="96">
        <v>0.99999999999999978</v>
      </c>
      <c r="K26" s="93">
        <v>-2.0899999999999998E-3</v>
      </c>
      <c r="L26" s="94">
        <v>1.0000000000000004</v>
      </c>
      <c r="M26" s="95">
        <v>1.328E-2</v>
      </c>
      <c r="N26" s="96">
        <v>1.0000000000000002</v>
      </c>
      <c r="O26" s="93">
        <v>1.7799999999999999E-3</v>
      </c>
      <c r="P26" s="94">
        <v>1.0000000000000002</v>
      </c>
      <c r="Q26" s="97">
        <v>6.5000000000000006E-3</v>
      </c>
      <c r="R26" s="111">
        <v>1</v>
      </c>
      <c r="S26" s="93">
        <v>6.9999999999999993E-3</v>
      </c>
      <c r="T26" s="94">
        <v>0.99999999999999989</v>
      </c>
      <c r="U26" s="97">
        <v>8.5199999999999998E-3</v>
      </c>
      <c r="V26" s="111">
        <v>1</v>
      </c>
      <c r="W26" s="93">
        <v>3.9399999999999999E-3</v>
      </c>
      <c r="X26" s="94">
        <v>0.99999999999999978</v>
      </c>
      <c r="Y26" s="97">
        <v>2.7500000000000003E-3</v>
      </c>
      <c r="Z26" s="98">
        <v>1.0000000000000002</v>
      </c>
    </row>
    <row r="27" spans="1:31">
      <c r="A27" s="129"/>
      <c r="B27" s="99" t="s">
        <v>24</v>
      </c>
      <c r="C27" s="100">
        <v>1178.0999999999999</v>
      </c>
      <c r="D27" s="132"/>
      <c r="E27" s="102">
        <v>3042.53</v>
      </c>
      <c r="F27" s="132"/>
      <c r="G27" s="100">
        <v>620.55999999999995</v>
      </c>
      <c r="H27" s="132"/>
      <c r="I27" s="101">
        <v>3500.69</v>
      </c>
      <c r="J27" s="133"/>
      <c r="K27" s="124">
        <v>-938.9</v>
      </c>
      <c r="L27" s="134"/>
      <c r="M27" s="101">
        <v>5855.62</v>
      </c>
      <c r="N27" s="133"/>
      <c r="O27" s="100">
        <v>796.09</v>
      </c>
      <c r="P27" s="132"/>
      <c r="Q27" s="102">
        <v>2893.01</v>
      </c>
      <c r="R27" s="132"/>
      <c r="S27" s="100">
        <v>3113.71</v>
      </c>
      <c r="T27" s="132"/>
      <c r="U27" s="102">
        <v>3800.99</v>
      </c>
      <c r="V27" s="132"/>
      <c r="W27" s="100">
        <v>1777.79</v>
      </c>
      <c r="X27" s="132"/>
      <c r="Y27" s="102">
        <v>1246.9100000000001</v>
      </c>
      <c r="Z27" s="103"/>
    </row>
    <row r="28" spans="1:31">
      <c r="A28" s="129"/>
      <c r="B28" s="135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04"/>
    </row>
    <row r="29" spans="1:31">
      <c r="A29" s="129"/>
      <c r="B29" s="83" t="s">
        <v>19</v>
      </c>
      <c r="C29" s="105">
        <v>4.0078938542863363E-3</v>
      </c>
      <c r="D29" s="106">
        <v>0.84127221696411503</v>
      </c>
      <c r="E29" s="107">
        <v>6.102111093154749E-3</v>
      </c>
      <c r="F29" s="108">
        <v>0.82798989390492883</v>
      </c>
      <c r="G29" s="105">
        <v>-8.9364938071500068E-3</v>
      </c>
      <c r="H29" s="106">
        <v>0.82121675223139512</v>
      </c>
      <c r="I29" s="125">
        <v>8.1392087785809482E-3</v>
      </c>
      <c r="J29" s="126">
        <v>0.81653463659991865</v>
      </c>
      <c r="K29" s="105">
        <v>3.7419160792573555E-3</v>
      </c>
      <c r="L29" s="106">
        <v>0.81944395912439028</v>
      </c>
      <c r="M29" s="125">
        <v>1.6083226372680358E-2</v>
      </c>
      <c r="N29" s="126">
        <v>0.82063148695723676</v>
      </c>
      <c r="O29" s="105">
        <v>2.2218190920434574E-3</v>
      </c>
      <c r="P29" s="106">
        <v>0.82245008303283573</v>
      </c>
      <c r="Q29" s="107">
        <v>7.1913549448680853E-3</v>
      </c>
      <c r="R29" s="108">
        <v>0.82254529410766641</v>
      </c>
      <c r="S29" s="105">
        <v>6.7229019361445697E-3</v>
      </c>
      <c r="T29" s="106">
        <v>0.82418483254329145</v>
      </c>
      <c r="U29" s="107">
        <v>1.063648184156323E-2</v>
      </c>
      <c r="V29" s="108">
        <v>0.82733079824150246</v>
      </c>
      <c r="W29" s="105">
        <v>2.1586236686993213E-3</v>
      </c>
      <c r="X29" s="106">
        <v>0.83448298637658347</v>
      </c>
      <c r="Y29" s="107">
        <v>5.220145333593342E-3</v>
      </c>
      <c r="Z29" s="109">
        <v>0.83847487870866455</v>
      </c>
    </row>
    <row r="30" spans="1:31">
      <c r="A30" s="129"/>
      <c r="B30" s="91" t="s">
        <v>20</v>
      </c>
      <c r="C30" s="84">
        <v>-1.2978938542863386E-3</v>
      </c>
      <c r="D30" s="85">
        <v>0.158727783035885</v>
      </c>
      <c r="E30" s="88">
        <v>8.7002963716225333E-4</v>
      </c>
      <c r="F30" s="110">
        <v>0.17201010609507122</v>
      </c>
      <c r="G30" s="84">
        <v>1.0336493807150009E-2</v>
      </c>
      <c r="H30" s="85">
        <v>0.17878324776860488</v>
      </c>
      <c r="I30" s="86">
        <v>-2.4920877858094288E-4</v>
      </c>
      <c r="J30" s="87">
        <v>0.1834653634000814</v>
      </c>
      <c r="K30" s="84">
        <v>-5.831916079257351E-3</v>
      </c>
      <c r="L30" s="85">
        <v>0.1805560408756097</v>
      </c>
      <c r="M30" s="86">
        <v>-2.8032263726803603E-3</v>
      </c>
      <c r="N30" s="87">
        <v>0.1793685130427633</v>
      </c>
      <c r="O30" s="84">
        <v>-4.4181909204345801E-4</v>
      </c>
      <c r="P30" s="85">
        <v>0.17754991696716432</v>
      </c>
      <c r="Q30" s="88">
        <v>-6.9135494486808312E-4</v>
      </c>
      <c r="R30" s="110">
        <v>0.1774547058923335</v>
      </c>
      <c r="S30" s="84">
        <v>2.7709806385542879E-4</v>
      </c>
      <c r="T30" s="85">
        <v>0.17581516745670853</v>
      </c>
      <c r="U30" s="88">
        <v>-2.1164818415632335E-3</v>
      </c>
      <c r="V30" s="110">
        <v>0.17266920175849756</v>
      </c>
      <c r="W30" s="84">
        <v>1.7813763313006801E-3</v>
      </c>
      <c r="X30" s="85">
        <v>0.1655170136234165</v>
      </c>
      <c r="Y30" s="88">
        <v>-2.4701453335933443E-3</v>
      </c>
      <c r="Z30" s="89">
        <v>0.16152512129133545</v>
      </c>
    </row>
    <row r="31" spans="1:31">
      <c r="A31" s="129"/>
      <c r="B31" s="92" t="s">
        <v>18</v>
      </c>
      <c r="C31" s="93">
        <v>2.7100000000000002E-3</v>
      </c>
      <c r="D31" s="94">
        <v>1</v>
      </c>
      <c r="E31" s="97">
        <v>6.9699999999999996E-3</v>
      </c>
      <c r="F31" s="111">
        <v>1</v>
      </c>
      <c r="G31" s="93">
        <v>1.4000000000000002E-3</v>
      </c>
      <c r="H31" s="94">
        <v>1</v>
      </c>
      <c r="I31" s="95">
        <v>7.8900000000000012E-3</v>
      </c>
      <c r="J31" s="96">
        <v>1</v>
      </c>
      <c r="K31" s="93">
        <v>-2.0899999999999998E-3</v>
      </c>
      <c r="L31" s="94">
        <v>1</v>
      </c>
      <c r="M31" s="95">
        <v>1.328E-2</v>
      </c>
      <c r="N31" s="96">
        <v>1</v>
      </c>
      <c r="O31" s="93">
        <v>1.7799999999999999E-3</v>
      </c>
      <c r="P31" s="94">
        <v>1</v>
      </c>
      <c r="Q31" s="97">
        <v>6.5000000000000006E-3</v>
      </c>
      <c r="R31" s="111">
        <v>0.99999999999999989</v>
      </c>
      <c r="S31" s="93">
        <v>6.9999999999999993E-3</v>
      </c>
      <c r="T31" s="94">
        <v>1</v>
      </c>
      <c r="U31" s="97">
        <v>8.5199999999999998E-3</v>
      </c>
      <c r="V31" s="111">
        <v>1</v>
      </c>
      <c r="W31" s="93">
        <v>3.9399999999999999E-3</v>
      </c>
      <c r="X31" s="94">
        <v>1</v>
      </c>
      <c r="Y31" s="97">
        <v>2.7500000000000003E-3</v>
      </c>
      <c r="Z31" s="98">
        <v>1</v>
      </c>
    </row>
    <row r="32" spans="1:31">
      <c r="A32" s="129"/>
      <c r="B32" s="135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04"/>
    </row>
    <row r="33" spans="1:26">
      <c r="A33" s="129"/>
      <c r="B33" s="83" t="s">
        <v>21</v>
      </c>
      <c r="C33" s="105">
        <v>1.6299495231377908E-3</v>
      </c>
      <c r="D33" s="106">
        <v>0.76012586131421789</v>
      </c>
      <c r="E33" s="107">
        <v>6.0116546770010619E-3</v>
      </c>
      <c r="F33" s="108">
        <v>0.74389254852778608</v>
      </c>
      <c r="G33" s="105">
        <v>1.1940758112316606E-4</v>
      </c>
      <c r="H33" s="106">
        <v>0.73634372822899075</v>
      </c>
      <c r="I33" s="125">
        <v>6.4501936580604186E-3</v>
      </c>
      <c r="J33" s="126">
        <v>0.7343504331703089</v>
      </c>
      <c r="K33" s="105">
        <v>-3.1429785713942785E-3</v>
      </c>
      <c r="L33" s="106">
        <v>0.73767619897128667</v>
      </c>
      <c r="M33" s="125">
        <v>1.141635223921891E-2</v>
      </c>
      <c r="N33" s="126">
        <v>0.73856775503677508</v>
      </c>
      <c r="O33" s="105">
        <v>6.3150309566442826E-4</v>
      </c>
      <c r="P33" s="106">
        <v>0.74320665174146761</v>
      </c>
      <c r="Q33" s="107">
        <v>5.8112284584465835E-3</v>
      </c>
      <c r="R33" s="108">
        <v>0.74432995842894301</v>
      </c>
      <c r="S33" s="105">
        <v>6.4538045891894364E-3</v>
      </c>
      <c r="T33" s="106">
        <v>0.73826628405475458</v>
      </c>
      <c r="U33" s="107">
        <v>6.1641429269842585E-3</v>
      </c>
      <c r="V33" s="108">
        <v>0.74647654089381377</v>
      </c>
      <c r="W33" s="105">
        <v>2.4842755585720053E-3</v>
      </c>
      <c r="X33" s="106">
        <v>0.75800299609026678</v>
      </c>
      <c r="Y33" s="107">
        <v>2.4308919007312402E-3</v>
      </c>
      <c r="Z33" s="109">
        <v>0.76369077534046237</v>
      </c>
    </row>
    <row r="34" spans="1:26">
      <c r="A34" s="129"/>
      <c r="B34" s="91" t="s">
        <v>22</v>
      </c>
      <c r="C34" s="84">
        <v>1.0800504768622089E-3</v>
      </c>
      <c r="D34" s="85">
        <v>0.23987413868578214</v>
      </c>
      <c r="E34" s="88">
        <v>9.6048605331593997E-4</v>
      </c>
      <c r="F34" s="110">
        <v>0.25610745147221392</v>
      </c>
      <c r="G34" s="84">
        <v>1.2805924188768352E-3</v>
      </c>
      <c r="H34" s="85">
        <v>0.26365627177100931</v>
      </c>
      <c r="I34" s="86">
        <v>1.4398063419395887E-3</v>
      </c>
      <c r="J34" s="87">
        <v>0.2656495668296911</v>
      </c>
      <c r="K34" s="84">
        <v>1.0529785713942819E-3</v>
      </c>
      <c r="L34" s="85">
        <v>0.26232380102871328</v>
      </c>
      <c r="M34" s="86">
        <v>1.8636477607810937E-3</v>
      </c>
      <c r="N34" s="87">
        <v>0.26143224496322492</v>
      </c>
      <c r="O34" s="84">
        <v>1.1484969043355699E-3</v>
      </c>
      <c r="P34" s="85">
        <v>0.25679334825853228</v>
      </c>
      <c r="Q34" s="88">
        <v>6.8877154155341758E-4</v>
      </c>
      <c r="R34" s="110">
        <v>0.25567004157105694</v>
      </c>
      <c r="S34" s="84">
        <v>5.4619541081056089E-4</v>
      </c>
      <c r="T34" s="85">
        <v>0.26173371594524536</v>
      </c>
      <c r="U34" s="88">
        <v>2.3558570730157365E-3</v>
      </c>
      <c r="V34" s="110">
        <v>0.25352345910618612</v>
      </c>
      <c r="W34" s="84">
        <v>1.4557244414279949E-3</v>
      </c>
      <c r="X34" s="85">
        <v>0.24199700390973325</v>
      </c>
      <c r="Y34" s="88">
        <v>3.1910809926876147E-4</v>
      </c>
      <c r="Z34" s="89">
        <v>0.23630922465953763</v>
      </c>
    </row>
    <row r="35" spans="1:26">
      <c r="A35" s="129"/>
      <c r="B35" s="112" t="s">
        <v>18</v>
      </c>
      <c r="C35" s="113">
        <v>2.7100000000000002E-3</v>
      </c>
      <c r="D35" s="114">
        <v>1</v>
      </c>
      <c r="E35" s="115">
        <v>6.9699999999999996E-3</v>
      </c>
      <c r="F35" s="116">
        <v>1</v>
      </c>
      <c r="G35" s="113">
        <v>1.4000000000000002E-3</v>
      </c>
      <c r="H35" s="114">
        <v>1</v>
      </c>
      <c r="I35" s="127">
        <v>7.8900000000000012E-3</v>
      </c>
      <c r="J35" s="128">
        <v>1</v>
      </c>
      <c r="K35" s="113">
        <v>-2.0899999999999998E-3</v>
      </c>
      <c r="L35" s="114">
        <v>1</v>
      </c>
      <c r="M35" s="127">
        <v>1.328E-2</v>
      </c>
      <c r="N35" s="128">
        <v>1</v>
      </c>
      <c r="O35" s="113">
        <v>1.7799999999999999E-3</v>
      </c>
      <c r="P35" s="114">
        <v>0.99999999999999989</v>
      </c>
      <c r="Q35" s="115">
        <v>6.5000000000000006E-3</v>
      </c>
      <c r="R35" s="116">
        <v>1</v>
      </c>
      <c r="S35" s="113">
        <v>6.9999999999999993E-3</v>
      </c>
      <c r="T35" s="114">
        <v>1</v>
      </c>
      <c r="U35" s="115">
        <v>8.5199999999999998E-3</v>
      </c>
      <c r="V35" s="116">
        <v>0.99999999999999989</v>
      </c>
      <c r="W35" s="113">
        <v>3.9399999999999999E-3</v>
      </c>
      <c r="X35" s="114">
        <v>1</v>
      </c>
      <c r="Y35" s="115">
        <v>2.7500000000000003E-3</v>
      </c>
      <c r="Z35" s="117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37" t="s">
        <v>1409</v>
      </c>
      <c r="L37" s="137" t="s">
        <v>1409</v>
      </c>
      <c r="M37" s="137" t="s">
        <v>1409</v>
      </c>
      <c r="N37" s="137" t="s">
        <v>1409</v>
      </c>
      <c r="O37" s="137" t="s">
        <v>1409</v>
      </c>
      <c r="P37" s="137" t="s">
        <v>1409</v>
      </c>
      <c r="Q37" s="137" t="s">
        <v>1409</v>
      </c>
      <c r="R37" s="137" t="s">
        <v>1409</v>
      </c>
      <c r="S37" s="137" t="s">
        <v>1409</v>
      </c>
      <c r="T37" s="137" t="s">
        <v>1409</v>
      </c>
      <c r="U37" s="137" t="s">
        <v>1409</v>
      </c>
      <c r="V37" s="137" t="s">
        <v>1409</v>
      </c>
      <c r="W37" s="137" t="s">
        <v>1409</v>
      </c>
      <c r="X37" s="137" t="s">
        <v>1409</v>
      </c>
      <c r="Y37" s="137" t="s">
        <v>1409</v>
      </c>
      <c r="Z37" s="33"/>
    </row>
    <row r="38" spans="1:26">
      <c r="A38" s="129"/>
      <c r="B38" s="83" t="s">
        <v>1</v>
      </c>
      <c r="C38" s="84">
        <v>1.3531379016029541E-3</v>
      </c>
      <c r="D38" s="85">
        <v>6.5988820304131168E-2</v>
      </c>
      <c r="E38" s="86">
        <v>1.3758639191351263E-3</v>
      </c>
      <c r="F38" s="87">
        <v>7.6834181082941058E-2</v>
      </c>
      <c r="G38" s="84">
        <v>2.1789007768181182E-3</v>
      </c>
      <c r="H38" s="85">
        <v>4.0208323682512342E-2</v>
      </c>
      <c r="I38" s="88">
        <v>2.3739211684321551E-3</v>
      </c>
      <c r="J38" s="89">
        <v>5.8580874745191906E-2</v>
      </c>
      <c r="K38" s="137" t="s">
        <v>1409</v>
      </c>
      <c r="L38" s="137" t="s">
        <v>1409</v>
      </c>
      <c r="M38" s="137" t="s">
        <v>1409</v>
      </c>
      <c r="N38" s="137" t="s">
        <v>1409</v>
      </c>
      <c r="O38" s="137" t="s">
        <v>1409</v>
      </c>
      <c r="P38" s="137" t="s">
        <v>1409</v>
      </c>
      <c r="Q38" s="137" t="s">
        <v>1409</v>
      </c>
      <c r="R38" s="137" t="s">
        <v>1409</v>
      </c>
      <c r="S38" s="137" t="s">
        <v>1409</v>
      </c>
      <c r="T38" s="137" t="s">
        <v>1409</v>
      </c>
      <c r="U38" s="137" t="s">
        <v>1409</v>
      </c>
      <c r="V38" s="137" t="s">
        <v>1409</v>
      </c>
      <c r="W38" s="137" t="s">
        <v>1409</v>
      </c>
      <c r="X38" s="137" t="s">
        <v>1409</v>
      </c>
      <c r="Y38" s="137" t="s">
        <v>1409</v>
      </c>
      <c r="Z38" s="33"/>
    </row>
    <row r="39" spans="1:26" ht="30">
      <c r="A39" s="129"/>
      <c r="B39" s="90" t="s">
        <v>909</v>
      </c>
      <c r="C39" s="84">
        <v>1.0514585617233802E-3</v>
      </c>
      <c r="D39" s="85">
        <v>0.27534150201160201</v>
      </c>
      <c r="E39" s="86">
        <v>8.6520168168459175E-3</v>
      </c>
      <c r="F39" s="87">
        <v>0.26609299985958118</v>
      </c>
      <c r="G39" s="84">
        <v>1.2999815675645433E-2</v>
      </c>
      <c r="H39" s="85">
        <v>0.27180468798282337</v>
      </c>
      <c r="I39" s="88">
        <v>1.7930255213843355E-2</v>
      </c>
      <c r="J39" s="89">
        <v>0.2722277494838824</v>
      </c>
      <c r="K39" s="137" t="s">
        <v>1409</v>
      </c>
      <c r="L39" s="137" t="s">
        <v>1409</v>
      </c>
      <c r="M39" s="137" t="s">
        <v>1409</v>
      </c>
      <c r="N39" s="137" t="s">
        <v>1409</v>
      </c>
      <c r="O39" s="137" t="s">
        <v>1409</v>
      </c>
      <c r="P39" s="137" t="s">
        <v>1409</v>
      </c>
      <c r="Q39" s="137" t="s">
        <v>1409</v>
      </c>
      <c r="R39" s="137" t="s">
        <v>1409</v>
      </c>
      <c r="S39" s="137" t="s">
        <v>1409</v>
      </c>
      <c r="T39" s="137" t="s">
        <v>1409</v>
      </c>
      <c r="U39" s="137" t="s">
        <v>1409</v>
      </c>
      <c r="V39" s="137" t="s">
        <v>1409</v>
      </c>
      <c r="W39" s="137" t="s">
        <v>1409</v>
      </c>
      <c r="X39" s="137" t="s">
        <v>1409</v>
      </c>
      <c r="Y39" s="137" t="s">
        <v>1409</v>
      </c>
      <c r="Z39" s="33"/>
    </row>
    <row r="40" spans="1:26">
      <c r="A40" s="129"/>
      <c r="B40" s="91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8">
        <v>0</v>
      </c>
      <c r="J40" s="89">
        <v>0</v>
      </c>
      <c r="K40" s="137" t="s">
        <v>1409</v>
      </c>
      <c r="L40" s="137" t="s">
        <v>1409</v>
      </c>
      <c r="M40" s="137" t="s">
        <v>1409</v>
      </c>
      <c r="N40" s="137" t="s">
        <v>1409</v>
      </c>
      <c r="O40" s="137" t="s">
        <v>1409</v>
      </c>
      <c r="P40" s="137" t="s">
        <v>1409</v>
      </c>
      <c r="Q40" s="137" t="s">
        <v>1409</v>
      </c>
      <c r="R40" s="137" t="s">
        <v>1409</v>
      </c>
      <c r="S40" s="137" t="s">
        <v>1409</v>
      </c>
      <c r="T40" s="137" t="s">
        <v>1409</v>
      </c>
      <c r="U40" s="137" t="s">
        <v>1409</v>
      </c>
      <c r="V40" s="137" t="s">
        <v>1409</v>
      </c>
      <c r="W40" s="137" t="s">
        <v>1409</v>
      </c>
      <c r="X40" s="137" t="s">
        <v>1409</v>
      </c>
      <c r="Y40" s="137" t="s">
        <v>1409</v>
      </c>
      <c r="Z40" s="33"/>
    </row>
    <row r="41" spans="1:26">
      <c r="A41" s="129"/>
      <c r="B41" s="91" t="s">
        <v>3</v>
      </c>
      <c r="C41" s="84">
        <v>-2.1736090015478283E-5</v>
      </c>
      <c r="D41" s="85">
        <v>0</v>
      </c>
      <c r="E41" s="86">
        <v>-2.1854223885832651E-5</v>
      </c>
      <c r="F41" s="87">
        <v>0</v>
      </c>
      <c r="G41" s="84">
        <v>-2.1976411427073092E-5</v>
      </c>
      <c r="H41" s="85">
        <v>0</v>
      </c>
      <c r="I41" s="88">
        <v>-2.210815399045625E-5</v>
      </c>
      <c r="J41" s="89">
        <v>0</v>
      </c>
      <c r="K41" s="137" t="s">
        <v>1409</v>
      </c>
      <c r="L41" s="137" t="s">
        <v>1409</v>
      </c>
      <c r="M41" s="137" t="s">
        <v>1409</v>
      </c>
      <c r="N41" s="137" t="s">
        <v>1409</v>
      </c>
      <c r="O41" s="137" t="s">
        <v>1409</v>
      </c>
      <c r="P41" s="137" t="s">
        <v>1409</v>
      </c>
      <c r="Q41" s="137" t="s">
        <v>1409</v>
      </c>
      <c r="R41" s="137" t="s">
        <v>1409</v>
      </c>
      <c r="S41" s="137" t="s">
        <v>1409</v>
      </c>
      <c r="T41" s="137" t="s">
        <v>1409</v>
      </c>
      <c r="U41" s="137" t="s">
        <v>1409</v>
      </c>
      <c r="V41" s="137" t="s">
        <v>1409</v>
      </c>
      <c r="W41" s="137" t="s">
        <v>1409</v>
      </c>
      <c r="X41" s="137" t="s">
        <v>1409</v>
      </c>
      <c r="Y41" s="137" t="s">
        <v>1409</v>
      </c>
      <c r="Z41" s="33"/>
    </row>
    <row r="42" spans="1:26">
      <c r="A42" s="129"/>
      <c r="B42" s="91" t="s">
        <v>4</v>
      </c>
      <c r="C42" s="84">
        <v>3.6365530142643647E-3</v>
      </c>
      <c r="D42" s="85">
        <v>0.32176710093356109</v>
      </c>
      <c r="E42" s="86">
        <v>1.0257843662564256E-2</v>
      </c>
      <c r="F42" s="87">
        <v>0.33031744926978901</v>
      </c>
      <c r="G42" s="84">
        <v>1.6799128246079546E-2</v>
      </c>
      <c r="H42" s="85">
        <v>0.3514863047323713</v>
      </c>
      <c r="I42" s="88">
        <v>2.1140839152633338E-2</v>
      </c>
      <c r="J42" s="89">
        <v>0.35344598235849134</v>
      </c>
      <c r="K42" s="137" t="s">
        <v>1409</v>
      </c>
      <c r="L42" s="137" t="s">
        <v>1409</v>
      </c>
      <c r="M42" s="137" t="s">
        <v>1409</v>
      </c>
      <c r="N42" s="137" t="s">
        <v>1409</v>
      </c>
      <c r="O42" s="137" t="s">
        <v>1409</v>
      </c>
      <c r="P42" s="137" t="s">
        <v>1409</v>
      </c>
      <c r="Q42" s="137" t="s">
        <v>1409</v>
      </c>
      <c r="R42" s="137" t="s">
        <v>1409</v>
      </c>
      <c r="S42" s="137" t="s">
        <v>1409</v>
      </c>
      <c r="T42" s="137" t="s">
        <v>1409</v>
      </c>
      <c r="U42" s="137" t="s">
        <v>1409</v>
      </c>
      <c r="V42" s="137" t="s">
        <v>1409</v>
      </c>
      <c r="W42" s="137" t="s">
        <v>1409</v>
      </c>
      <c r="X42" s="137" t="s">
        <v>1409</v>
      </c>
      <c r="Y42" s="137" t="s">
        <v>1409</v>
      </c>
      <c r="Z42" s="33"/>
    </row>
    <row r="43" spans="1:26">
      <c r="A43" s="129"/>
      <c r="B43" s="91" t="s">
        <v>5</v>
      </c>
      <c r="C43" s="84">
        <v>8.095941432897805E-5</v>
      </c>
      <c r="D43" s="85">
        <v>1.5292918995529035E-2</v>
      </c>
      <c r="E43" s="86">
        <v>4.5326557540261992E-4</v>
      </c>
      <c r="F43" s="87">
        <v>1.4832593232709985E-2</v>
      </c>
      <c r="G43" s="84">
        <v>7.9244235612293255E-4</v>
      </c>
      <c r="H43" s="85">
        <v>1.498545243476204E-2</v>
      </c>
      <c r="I43" s="88">
        <v>9.8411170256618532E-4</v>
      </c>
      <c r="J43" s="89">
        <v>1.391791277732933E-2</v>
      </c>
      <c r="K43" s="137" t="s">
        <v>1409</v>
      </c>
      <c r="L43" s="137" t="s">
        <v>1409</v>
      </c>
      <c r="M43" s="137" t="s">
        <v>1409</v>
      </c>
      <c r="N43" s="137" t="s">
        <v>1409</v>
      </c>
      <c r="O43" s="137" t="s">
        <v>1409</v>
      </c>
      <c r="P43" s="137" t="s">
        <v>1409</v>
      </c>
      <c r="Q43" s="137" t="s">
        <v>1409</v>
      </c>
      <c r="R43" s="137" t="s">
        <v>1409</v>
      </c>
      <c r="S43" s="137" t="s">
        <v>1409</v>
      </c>
      <c r="T43" s="137" t="s">
        <v>1409</v>
      </c>
      <c r="U43" s="137" t="s">
        <v>1409</v>
      </c>
      <c r="V43" s="137" t="s">
        <v>1409</v>
      </c>
      <c r="W43" s="137" t="s">
        <v>1409</v>
      </c>
      <c r="X43" s="137" t="s">
        <v>1409</v>
      </c>
      <c r="Y43" s="137" t="s">
        <v>1409</v>
      </c>
      <c r="Z43" s="33"/>
    </row>
    <row r="44" spans="1:26">
      <c r="A44" s="129"/>
      <c r="B44" s="91" t="s">
        <v>6</v>
      </c>
      <c r="C44" s="84">
        <v>3.0665046192248561E-4</v>
      </c>
      <c r="D44" s="85">
        <v>2.7610459878559456E-3</v>
      </c>
      <c r="E44" s="86">
        <v>2.1277120807379013E-4</v>
      </c>
      <c r="F44" s="87">
        <v>1.5834264973994012E-3</v>
      </c>
      <c r="G44" s="84">
        <v>8.8388762423108097E-4</v>
      </c>
      <c r="H44" s="85">
        <v>1.5370008709063951E-2</v>
      </c>
      <c r="I44" s="88">
        <v>2.6515377647530276E-3</v>
      </c>
      <c r="J44" s="89">
        <v>1.5439750789752699E-2</v>
      </c>
      <c r="K44" s="137" t="s">
        <v>1409</v>
      </c>
      <c r="L44" s="137" t="s">
        <v>1409</v>
      </c>
      <c r="M44" s="137" t="s">
        <v>1409</v>
      </c>
      <c r="N44" s="137" t="s">
        <v>1409</v>
      </c>
      <c r="O44" s="137" t="s">
        <v>1409</v>
      </c>
      <c r="P44" s="137" t="s">
        <v>1409</v>
      </c>
      <c r="Q44" s="137" t="s">
        <v>1409</v>
      </c>
      <c r="R44" s="137" t="s">
        <v>1409</v>
      </c>
      <c r="S44" s="137" t="s">
        <v>1409</v>
      </c>
      <c r="T44" s="137" t="s">
        <v>1409</v>
      </c>
      <c r="U44" s="137" t="s">
        <v>1409</v>
      </c>
      <c r="V44" s="137" t="s">
        <v>1409</v>
      </c>
      <c r="W44" s="137" t="s">
        <v>1409</v>
      </c>
      <c r="X44" s="137" t="s">
        <v>1409</v>
      </c>
      <c r="Y44" s="137" t="s">
        <v>1409</v>
      </c>
      <c r="Z44" s="33"/>
    </row>
    <row r="45" spans="1:26">
      <c r="A45" s="129"/>
      <c r="B45" s="91" t="s">
        <v>62</v>
      </c>
      <c r="C45" s="84">
        <v>4.492294229065005E-4</v>
      </c>
      <c r="D45" s="85">
        <v>6.6048216160171036E-2</v>
      </c>
      <c r="E45" s="86">
        <v>1.2865102726245389E-3</v>
      </c>
      <c r="F45" s="87">
        <v>5.8882221395295135E-2</v>
      </c>
      <c r="G45" s="84">
        <v>2.1324081969091267E-3</v>
      </c>
      <c r="H45" s="85">
        <v>5.4226501146533379E-2</v>
      </c>
      <c r="I45" s="88">
        <v>2.5498030469728447E-3</v>
      </c>
      <c r="J45" s="89">
        <v>5.9423256294495463E-2</v>
      </c>
      <c r="K45" s="137" t="s">
        <v>1409</v>
      </c>
      <c r="L45" s="137" t="s">
        <v>1409</v>
      </c>
      <c r="M45" s="137" t="s">
        <v>1409</v>
      </c>
      <c r="N45" s="137" t="s">
        <v>1409</v>
      </c>
      <c r="O45" s="137" t="s">
        <v>1409</v>
      </c>
      <c r="P45" s="137" t="s">
        <v>1409</v>
      </c>
      <c r="Q45" s="137" t="s">
        <v>1409</v>
      </c>
      <c r="R45" s="137" t="s">
        <v>1409</v>
      </c>
      <c r="S45" s="137" t="s">
        <v>1409</v>
      </c>
      <c r="T45" s="137" t="s">
        <v>1409</v>
      </c>
      <c r="U45" s="137" t="s">
        <v>1409</v>
      </c>
      <c r="V45" s="137" t="s">
        <v>1409</v>
      </c>
      <c r="W45" s="137" t="s">
        <v>1409</v>
      </c>
      <c r="X45" s="137" t="s">
        <v>1409</v>
      </c>
      <c r="Y45" s="137" t="s">
        <v>1409</v>
      </c>
      <c r="Z45" s="33"/>
    </row>
    <row r="46" spans="1:26">
      <c r="A46" s="129"/>
      <c r="B46" s="91" t="s">
        <v>7</v>
      </c>
      <c r="C46" s="84">
        <v>3.6418405164083785E-4</v>
      </c>
      <c r="D46" s="85">
        <v>5.9297531803326172E-3</v>
      </c>
      <c r="E46" s="86">
        <v>-1.4325821825679247E-5</v>
      </c>
      <c r="F46" s="87">
        <v>6.2665789830133765E-3</v>
      </c>
      <c r="G46" s="84">
        <v>-5.8529603390254667E-5</v>
      </c>
      <c r="H46" s="85">
        <v>6.3105889740681176E-3</v>
      </c>
      <c r="I46" s="88">
        <v>-1.7814730816256846E-4</v>
      </c>
      <c r="J46" s="89">
        <v>6.1749687819735131E-3</v>
      </c>
      <c r="K46" s="137" t="s">
        <v>1409</v>
      </c>
      <c r="L46" s="137" t="s">
        <v>1409</v>
      </c>
      <c r="M46" s="137" t="s">
        <v>1409</v>
      </c>
      <c r="N46" s="137" t="s">
        <v>1409</v>
      </c>
      <c r="O46" s="137" t="s">
        <v>1409</v>
      </c>
      <c r="P46" s="137" t="s">
        <v>1409</v>
      </c>
      <c r="Q46" s="137" t="s">
        <v>1409</v>
      </c>
      <c r="R46" s="137" t="s">
        <v>1409</v>
      </c>
      <c r="S46" s="137" t="s">
        <v>1409</v>
      </c>
      <c r="T46" s="137" t="s">
        <v>1409</v>
      </c>
      <c r="U46" s="137" t="s">
        <v>1409</v>
      </c>
      <c r="V46" s="137" t="s">
        <v>1409</v>
      </c>
      <c r="W46" s="137" t="s">
        <v>1409</v>
      </c>
      <c r="X46" s="137" t="s">
        <v>1409</v>
      </c>
      <c r="Y46" s="137" t="s">
        <v>1409</v>
      </c>
      <c r="Z46" s="33"/>
    </row>
    <row r="47" spans="1:26">
      <c r="A47" s="129"/>
      <c r="B47" s="91" t="s">
        <v>8</v>
      </c>
      <c r="C47" s="84">
        <v>4.6393897008552227E-3</v>
      </c>
      <c r="D47" s="85">
        <v>7.276477447333303E-2</v>
      </c>
      <c r="E47" s="86">
        <v>1.828071300990379E-3</v>
      </c>
      <c r="F47" s="87">
        <v>7.0848921237876977E-2</v>
      </c>
      <c r="G47" s="84">
        <v>1.2176192433077284E-3</v>
      </c>
      <c r="H47" s="85">
        <v>6.5080491783879826E-2</v>
      </c>
      <c r="I47" s="88">
        <v>4.1322845184180846E-4</v>
      </c>
      <c r="J47" s="89">
        <v>6.057569593874057E-2</v>
      </c>
      <c r="K47" s="137" t="s">
        <v>1409</v>
      </c>
      <c r="L47" s="137" t="s">
        <v>1409</v>
      </c>
      <c r="M47" s="137" t="s">
        <v>1409</v>
      </c>
      <c r="N47" s="137" t="s">
        <v>1409</v>
      </c>
      <c r="O47" s="137" t="s">
        <v>1409</v>
      </c>
      <c r="P47" s="137" t="s">
        <v>1409</v>
      </c>
      <c r="Q47" s="137" t="s">
        <v>1409</v>
      </c>
      <c r="R47" s="137" t="s">
        <v>1409</v>
      </c>
      <c r="S47" s="137" t="s">
        <v>1409</v>
      </c>
      <c r="T47" s="137" t="s">
        <v>1409</v>
      </c>
      <c r="U47" s="137" t="s">
        <v>1409</v>
      </c>
      <c r="V47" s="137" t="s">
        <v>1409</v>
      </c>
      <c r="W47" s="137" t="s">
        <v>1409</v>
      </c>
      <c r="X47" s="137" t="s">
        <v>1409</v>
      </c>
      <c r="Y47" s="137" t="s">
        <v>1409</v>
      </c>
      <c r="Z47" s="33"/>
    </row>
    <row r="48" spans="1:26">
      <c r="A48" s="129"/>
      <c r="B48" s="91" t="s">
        <v>9</v>
      </c>
      <c r="C48" s="84">
        <v>-1.1328499376611301E-9</v>
      </c>
      <c r="D48" s="85">
        <v>6.2903700181273555E-9</v>
      </c>
      <c r="E48" s="86">
        <v>1.5170663065663083E-9</v>
      </c>
      <c r="F48" s="87">
        <v>4.5961570712813131E-9</v>
      </c>
      <c r="G48" s="84">
        <v>-8.1399791322240564E-6</v>
      </c>
      <c r="H48" s="85">
        <v>1.9106947188094196E-5</v>
      </c>
      <c r="I48" s="88">
        <v>4.2383813081460051E-6</v>
      </c>
      <c r="J48" s="89">
        <v>3.0050437170594883E-5</v>
      </c>
      <c r="K48" s="137" t="s">
        <v>1409</v>
      </c>
      <c r="L48" s="137" t="s">
        <v>1409</v>
      </c>
      <c r="M48" s="137" t="s">
        <v>1409</v>
      </c>
      <c r="N48" s="137" t="s">
        <v>1409</v>
      </c>
      <c r="O48" s="137" t="s">
        <v>1409</v>
      </c>
      <c r="P48" s="137" t="s">
        <v>1409</v>
      </c>
      <c r="Q48" s="137" t="s">
        <v>1409</v>
      </c>
      <c r="R48" s="137" t="s">
        <v>1409</v>
      </c>
      <c r="S48" s="137" t="s">
        <v>1409</v>
      </c>
      <c r="T48" s="137" t="s">
        <v>1409</v>
      </c>
      <c r="U48" s="137" t="s">
        <v>1409</v>
      </c>
      <c r="V48" s="137" t="s">
        <v>1409</v>
      </c>
      <c r="W48" s="137" t="s">
        <v>1409</v>
      </c>
      <c r="X48" s="137" t="s">
        <v>1409</v>
      </c>
      <c r="Y48" s="137" t="s">
        <v>1409</v>
      </c>
      <c r="Z48" s="33"/>
    </row>
    <row r="49" spans="1:26">
      <c r="A49" s="129"/>
      <c r="B49" s="91" t="s">
        <v>10</v>
      </c>
      <c r="C49" s="84">
        <v>-3.0557502044313953E-3</v>
      </c>
      <c r="D49" s="85">
        <v>-1.1895534130762408E-3</v>
      </c>
      <c r="E49" s="86">
        <v>3.6307022960567321E-3</v>
      </c>
      <c r="F49" s="87">
        <v>1.9201325975239365E-3</v>
      </c>
      <c r="G49" s="84">
        <v>6.0469520677798195E-3</v>
      </c>
      <c r="H49" s="85">
        <v>7.2826553731781991E-3</v>
      </c>
      <c r="I49" s="88">
        <v>9.7774388556281615E-3</v>
      </c>
      <c r="J49" s="89">
        <v>2.0129852997859614E-3</v>
      </c>
      <c r="K49" s="137" t="s">
        <v>1409</v>
      </c>
      <c r="L49" s="137" t="s">
        <v>1409</v>
      </c>
      <c r="M49" s="137" t="s">
        <v>1409</v>
      </c>
      <c r="N49" s="137" t="s">
        <v>1409</v>
      </c>
      <c r="O49" s="137" t="s">
        <v>1409</v>
      </c>
      <c r="P49" s="137" t="s">
        <v>1409</v>
      </c>
      <c r="Q49" s="137" t="s">
        <v>1409</v>
      </c>
      <c r="R49" s="137" t="s">
        <v>1409</v>
      </c>
      <c r="S49" s="137" t="s">
        <v>1409</v>
      </c>
      <c r="T49" s="137" t="s">
        <v>1409</v>
      </c>
      <c r="U49" s="137" t="s">
        <v>1409</v>
      </c>
      <c r="V49" s="137" t="s">
        <v>1409</v>
      </c>
      <c r="W49" s="137" t="s">
        <v>1409</v>
      </c>
      <c r="X49" s="137" t="s">
        <v>1409</v>
      </c>
      <c r="Y49" s="137" t="s">
        <v>1409</v>
      </c>
      <c r="Z49" s="33"/>
    </row>
    <row r="50" spans="1:26">
      <c r="A50" s="129"/>
      <c r="B50" s="91" t="s">
        <v>11</v>
      </c>
      <c r="C50" s="84">
        <v>8.8749422478835135E-9</v>
      </c>
      <c r="D50" s="85">
        <v>9.631895783966293E-9</v>
      </c>
      <c r="E50" s="86">
        <v>5.3656011355506088E-8</v>
      </c>
      <c r="F50" s="87">
        <v>1.607447269512999E-8</v>
      </c>
      <c r="G50" s="84">
        <v>6.7225695432274114E-6</v>
      </c>
      <c r="H50" s="85">
        <v>4.8053737635207656E-6</v>
      </c>
      <c r="I50" s="88">
        <v>3.7941683953567476E-5</v>
      </c>
      <c r="J50" s="89">
        <v>1.9155677308658434E-5</v>
      </c>
      <c r="K50" s="137" t="s">
        <v>1409</v>
      </c>
      <c r="L50" s="137" t="s">
        <v>1409</v>
      </c>
      <c r="M50" s="137" t="s">
        <v>1409</v>
      </c>
      <c r="N50" s="137" t="s">
        <v>1409</v>
      </c>
      <c r="O50" s="137" t="s">
        <v>1409</v>
      </c>
      <c r="P50" s="137" t="s">
        <v>1409</v>
      </c>
      <c r="Q50" s="137" t="s">
        <v>1409</v>
      </c>
      <c r="R50" s="137" t="s">
        <v>1409</v>
      </c>
      <c r="S50" s="137" t="s">
        <v>1409</v>
      </c>
      <c r="T50" s="137" t="s">
        <v>1409</v>
      </c>
      <c r="U50" s="137" t="s">
        <v>1409</v>
      </c>
      <c r="V50" s="137" t="s">
        <v>1409</v>
      </c>
      <c r="W50" s="137" t="s">
        <v>1409</v>
      </c>
      <c r="X50" s="137" t="s">
        <v>1409</v>
      </c>
      <c r="Y50" s="137" t="s">
        <v>1409</v>
      </c>
      <c r="Z50" s="33"/>
    </row>
    <row r="51" spans="1:26">
      <c r="A51" s="129"/>
      <c r="B51" s="91" t="s">
        <v>12</v>
      </c>
      <c r="C51" s="84">
        <v>5.388795351222299E-5</v>
      </c>
      <c r="D51" s="85">
        <v>6.1331326797668499E-3</v>
      </c>
      <c r="E51" s="86">
        <v>2.2421957575771641E-4</v>
      </c>
      <c r="F51" s="87">
        <v>9.0348180001384153E-3</v>
      </c>
      <c r="G51" s="84">
        <v>3.0907383307665295E-4</v>
      </c>
      <c r="H51" s="85">
        <v>1.6377886950373947E-2</v>
      </c>
      <c r="I51" s="88">
        <v>6.4886560100213216E-4</v>
      </c>
      <c r="J51" s="89">
        <v>1.661759328476653E-2</v>
      </c>
      <c r="K51" s="137" t="s">
        <v>1409</v>
      </c>
      <c r="L51" s="137" t="s">
        <v>1409</v>
      </c>
      <c r="M51" s="137" t="s">
        <v>1409</v>
      </c>
      <c r="N51" s="137" t="s">
        <v>1409</v>
      </c>
      <c r="O51" s="137" t="s">
        <v>1409</v>
      </c>
      <c r="P51" s="137" t="s">
        <v>1409</v>
      </c>
      <c r="Q51" s="137" t="s">
        <v>1409</v>
      </c>
      <c r="R51" s="137" t="s">
        <v>1409</v>
      </c>
      <c r="S51" s="137" t="s">
        <v>1409</v>
      </c>
      <c r="T51" s="137" t="s">
        <v>1409</v>
      </c>
      <c r="U51" s="137" t="s">
        <v>1409</v>
      </c>
      <c r="V51" s="137" t="s">
        <v>1409</v>
      </c>
      <c r="W51" s="137" t="s">
        <v>1409</v>
      </c>
      <c r="X51" s="137" t="s">
        <v>1409</v>
      </c>
      <c r="Y51" s="137" t="s">
        <v>1409</v>
      </c>
      <c r="Z51" s="33"/>
    </row>
    <row r="52" spans="1:26">
      <c r="A52" s="129"/>
      <c r="B52" s="91" t="s">
        <v>13</v>
      </c>
      <c r="C52" s="84">
        <v>2.2511705428696167E-3</v>
      </c>
      <c r="D52" s="85">
        <v>0.16791964540331314</v>
      </c>
      <c r="E52" s="86">
        <v>2.5672634248397651E-3</v>
      </c>
      <c r="F52" s="87">
        <v>0.1621274019735148</v>
      </c>
      <c r="G52" s="84">
        <v>2.9873744099686967E-3</v>
      </c>
      <c r="H52" s="85">
        <v>0.15558979437287898</v>
      </c>
      <c r="I52" s="88">
        <v>3.9333105847966709E-3</v>
      </c>
      <c r="J52" s="89">
        <v>0.14028895427232566</v>
      </c>
      <c r="K52" s="137" t="s">
        <v>1409</v>
      </c>
      <c r="L52" s="137" t="s">
        <v>1409</v>
      </c>
      <c r="M52" s="137" t="s">
        <v>1409</v>
      </c>
      <c r="N52" s="137" t="s">
        <v>1409</v>
      </c>
      <c r="O52" s="137" t="s">
        <v>1409</v>
      </c>
      <c r="P52" s="137" t="s">
        <v>1409</v>
      </c>
      <c r="Q52" s="137" t="s">
        <v>1409</v>
      </c>
      <c r="R52" s="137" t="s">
        <v>1409</v>
      </c>
      <c r="S52" s="137" t="s">
        <v>1409</v>
      </c>
      <c r="T52" s="137" t="s">
        <v>1409</v>
      </c>
      <c r="U52" s="137" t="s">
        <v>1409</v>
      </c>
      <c r="V52" s="137" t="s">
        <v>1409</v>
      </c>
      <c r="W52" s="137" t="s">
        <v>1409</v>
      </c>
      <c r="X52" s="137" t="s">
        <v>1409</v>
      </c>
      <c r="Y52" s="137" t="s">
        <v>1409</v>
      </c>
      <c r="Z52" s="33"/>
    </row>
    <row r="53" spans="1:26">
      <c r="A53" s="129"/>
      <c r="B53" s="91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8">
        <v>0</v>
      </c>
      <c r="J53" s="89">
        <v>0</v>
      </c>
      <c r="K53" s="137" t="s">
        <v>1409</v>
      </c>
      <c r="L53" s="137" t="s">
        <v>1409</v>
      </c>
      <c r="M53" s="137" t="s">
        <v>1409</v>
      </c>
      <c r="N53" s="137" t="s">
        <v>1409</v>
      </c>
      <c r="O53" s="137" t="s">
        <v>1409</v>
      </c>
      <c r="P53" s="137" t="s">
        <v>1409</v>
      </c>
      <c r="Q53" s="137" t="s">
        <v>1409</v>
      </c>
      <c r="R53" s="137" t="s">
        <v>1409</v>
      </c>
      <c r="S53" s="137" t="s">
        <v>1409</v>
      </c>
      <c r="T53" s="137" t="s">
        <v>1409</v>
      </c>
      <c r="U53" s="137" t="s">
        <v>1409</v>
      </c>
      <c r="V53" s="137" t="s">
        <v>1409</v>
      </c>
      <c r="W53" s="137" t="s">
        <v>1409</v>
      </c>
      <c r="X53" s="137" t="s">
        <v>1409</v>
      </c>
      <c r="Y53" s="137" t="s">
        <v>1409</v>
      </c>
      <c r="Z53" s="33"/>
    </row>
    <row r="54" spans="1:26">
      <c r="A54" s="129"/>
      <c r="B54" s="91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8">
        <v>0</v>
      </c>
      <c r="J54" s="89">
        <v>0</v>
      </c>
      <c r="K54" s="137" t="s">
        <v>1409</v>
      </c>
      <c r="L54" s="137" t="s">
        <v>1409</v>
      </c>
      <c r="M54" s="137" t="s">
        <v>1409</v>
      </c>
      <c r="N54" s="137" t="s">
        <v>1409</v>
      </c>
      <c r="O54" s="137" t="s">
        <v>1409</v>
      </c>
      <c r="P54" s="137" t="s">
        <v>1409</v>
      </c>
      <c r="Q54" s="137" t="s">
        <v>1409</v>
      </c>
      <c r="R54" s="137" t="s">
        <v>1409</v>
      </c>
      <c r="S54" s="137" t="s">
        <v>1409</v>
      </c>
      <c r="T54" s="137" t="s">
        <v>1409</v>
      </c>
      <c r="U54" s="137" t="s">
        <v>1409</v>
      </c>
      <c r="V54" s="137" t="s">
        <v>1409</v>
      </c>
      <c r="W54" s="137" t="s">
        <v>1409</v>
      </c>
      <c r="X54" s="137" t="s">
        <v>1409</v>
      </c>
      <c r="Y54" s="137" t="s">
        <v>1409</v>
      </c>
      <c r="Z54" s="33"/>
    </row>
    <row r="55" spans="1:26">
      <c r="A55" s="129"/>
      <c r="B55" s="91" t="s">
        <v>16</v>
      </c>
      <c r="C55" s="84">
        <v>3.6147786415632261E-6</v>
      </c>
      <c r="D55" s="85">
        <v>1.2970348868507524E-3</v>
      </c>
      <c r="E55" s="86">
        <v>1.2472410144151824E-5</v>
      </c>
      <c r="F55" s="87">
        <v>1.311725399765452E-3</v>
      </c>
      <c r="G55" s="84">
        <v>1.6151152665171234E-5</v>
      </c>
      <c r="H55" s="85">
        <v>1.3161630065890973E-3</v>
      </c>
      <c r="I55" s="88">
        <v>2.1181073689909835E-5</v>
      </c>
      <c r="J55" s="89">
        <v>1.3012224425649522E-3</v>
      </c>
      <c r="K55" s="137" t="s">
        <v>1409</v>
      </c>
      <c r="L55" s="137" t="s">
        <v>1409</v>
      </c>
      <c r="M55" s="137" t="s">
        <v>1409</v>
      </c>
      <c r="N55" s="137" t="s">
        <v>1409</v>
      </c>
      <c r="O55" s="137" t="s">
        <v>1409</v>
      </c>
      <c r="P55" s="137" t="s">
        <v>1409</v>
      </c>
      <c r="Q55" s="137" t="s">
        <v>1409</v>
      </c>
      <c r="R55" s="137" t="s">
        <v>1409</v>
      </c>
      <c r="S55" s="137" t="s">
        <v>1409</v>
      </c>
      <c r="T55" s="137" t="s">
        <v>1409</v>
      </c>
      <c r="U55" s="137" t="s">
        <v>1409</v>
      </c>
      <c r="V55" s="137" t="s">
        <v>1409</v>
      </c>
      <c r="W55" s="137" t="s">
        <v>1409</v>
      </c>
      <c r="X55" s="137" t="s">
        <v>1409</v>
      </c>
      <c r="Y55" s="137" t="s">
        <v>1409</v>
      </c>
      <c r="Z55" s="33"/>
    </row>
    <row r="56" spans="1:26">
      <c r="A56" s="129"/>
      <c r="B56" s="91" t="s">
        <v>17</v>
      </c>
      <c r="C56" s="84">
        <v>-2.9010773354779164E-7</v>
      </c>
      <c r="D56" s="85">
        <v>-5.4407525636244454E-5</v>
      </c>
      <c r="E56" s="86">
        <v>6.0258643365117434E-7</v>
      </c>
      <c r="F56" s="87">
        <v>-5.2470200178371828E-5</v>
      </c>
      <c r="G56" s="84">
        <v>8.9224666610171478E-7</v>
      </c>
      <c r="H56" s="85">
        <v>-6.2771469986242306E-5</v>
      </c>
      <c r="I56" s="88">
        <v>1.3353130615791105E-6</v>
      </c>
      <c r="J56" s="89">
        <v>-5.6152583779498619E-5</v>
      </c>
      <c r="K56" s="137" t="s">
        <v>1409</v>
      </c>
      <c r="L56" s="137" t="s">
        <v>1409</v>
      </c>
      <c r="M56" s="137" t="s">
        <v>1409</v>
      </c>
      <c r="N56" s="137" t="s">
        <v>1409</v>
      </c>
      <c r="O56" s="137" t="s">
        <v>1409</v>
      </c>
      <c r="P56" s="137" t="s">
        <v>1409</v>
      </c>
      <c r="Q56" s="137" t="s">
        <v>1409</v>
      </c>
      <c r="R56" s="137" t="s">
        <v>1409</v>
      </c>
      <c r="S56" s="137" t="s">
        <v>1409</v>
      </c>
      <c r="T56" s="137" t="s">
        <v>1409</v>
      </c>
      <c r="U56" s="137" t="s">
        <v>1409</v>
      </c>
      <c r="V56" s="137" t="s">
        <v>1409</v>
      </c>
      <c r="W56" s="137" t="s">
        <v>1409</v>
      </c>
      <c r="X56" s="137" t="s">
        <v>1409</v>
      </c>
      <c r="Y56" s="137" t="s">
        <v>1409</v>
      </c>
      <c r="Z56" s="33"/>
    </row>
    <row r="57" spans="1:26">
      <c r="A57" s="129"/>
      <c r="B57" s="92" t="s">
        <v>25</v>
      </c>
      <c r="C57" s="93">
        <v>1.1112467144180016E-2</v>
      </c>
      <c r="D57" s="94">
        <v>1.0000000000000002</v>
      </c>
      <c r="E57" s="95">
        <v>3.0465478176234795E-2</v>
      </c>
      <c r="F57" s="96">
        <v>1.0000000000000002</v>
      </c>
      <c r="G57" s="93">
        <v>4.6282722404864085E-2</v>
      </c>
      <c r="H57" s="94">
        <v>1</v>
      </c>
      <c r="I57" s="97">
        <v>6.2267752532329856E-2</v>
      </c>
      <c r="J57" s="98">
        <v>1.0000000000000002</v>
      </c>
      <c r="K57" s="137" t="s">
        <v>1409</v>
      </c>
      <c r="L57" s="137" t="s">
        <v>1409</v>
      </c>
      <c r="M57" s="137" t="s">
        <v>1409</v>
      </c>
      <c r="N57" s="137" t="s">
        <v>1409</v>
      </c>
      <c r="O57" s="137" t="s">
        <v>1409</v>
      </c>
      <c r="P57" s="137" t="s">
        <v>1409</v>
      </c>
      <c r="Q57" s="137" t="s">
        <v>1409</v>
      </c>
      <c r="R57" s="137" t="s">
        <v>1409</v>
      </c>
      <c r="S57" s="137" t="s">
        <v>1409</v>
      </c>
      <c r="T57" s="137" t="s">
        <v>1409</v>
      </c>
      <c r="U57" s="137" t="s">
        <v>1409</v>
      </c>
      <c r="V57" s="137" t="s">
        <v>1409</v>
      </c>
      <c r="W57" s="137" t="s">
        <v>1409</v>
      </c>
      <c r="X57" s="137" t="s">
        <v>1409</v>
      </c>
      <c r="Y57" s="137" t="s">
        <v>1409</v>
      </c>
      <c r="Z57" s="33"/>
    </row>
    <row r="58" spans="1:26">
      <c r="A58" s="129"/>
      <c r="B58" s="99" t="s">
        <v>24</v>
      </c>
      <c r="C58" s="100">
        <v>4841.1900000000005</v>
      </c>
      <c r="D58" s="132"/>
      <c r="E58" s="101">
        <v>13258.6</v>
      </c>
      <c r="F58" s="133"/>
      <c r="G58" s="100">
        <v>20061.41</v>
      </c>
      <c r="H58" s="132"/>
      <c r="I58" s="102">
        <v>26887.100000000002</v>
      </c>
      <c r="J58" s="138"/>
      <c r="K58" s="137" t="s">
        <v>1409</v>
      </c>
      <c r="L58" s="137" t="s">
        <v>1409</v>
      </c>
      <c r="M58" s="137" t="s">
        <v>1409</v>
      </c>
      <c r="N58" s="137" t="s">
        <v>1409</v>
      </c>
      <c r="O58" s="137" t="s">
        <v>1409</v>
      </c>
      <c r="P58" s="137" t="s">
        <v>1409</v>
      </c>
      <c r="Q58" s="137" t="s">
        <v>1409</v>
      </c>
      <c r="R58" s="137" t="s">
        <v>1409</v>
      </c>
      <c r="S58" s="137" t="s">
        <v>1409</v>
      </c>
      <c r="T58" s="137" t="s">
        <v>1409</v>
      </c>
      <c r="U58" s="137" t="s">
        <v>1409</v>
      </c>
      <c r="V58" s="137" t="s">
        <v>1409</v>
      </c>
      <c r="W58" s="137" t="s">
        <v>1409</v>
      </c>
      <c r="X58" s="137" t="s">
        <v>1409</v>
      </c>
      <c r="Y58" s="137" t="s">
        <v>1409</v>
      </c>
      <c r="Z58" s="33"/>
    </row>
    <row r="59" spans="1:26">
      <c r="A59" s="129"/>
      <c r="B59" s="135"/>
      <c r="C59" s="136"/>
      <c r="D59" s="136"/>
      <c r="E59" s="136"/>
      <c r="F59" s="136"/>
      <c r="G59" s="136"/>
      <c r="H59" s="136"/>
      <c r="I59" s="136"/>
      <c r="J59" s="139"/>
      <c r="K59" s="137" t="s">
        <v>1409</v>
      </c>
      <c r="L59" s="137" t="s">
        <v>1409</v>
      </c>
      <c r="M59" s="137" t="s">
        <v>1409</v>
      </c>
      <c r="N59" s="137" t="s">
        <v>1409</v>
      </c>
      <c r="O59" s="137" t="s">
        <v>1409</v>
      </c>
      <c r="P59" s="137" t="s">
        <v>1409</v>
      </c>
      <c r="Q59" s="137" t="s">
        <v>1409</v>
      </c>
      <c r="R59" s="137" t="s">
        <v>1409</v>
      </c>
      <c r="S59" s="137" t="s">
        <v>1409</v>
      </c>
      <c r="T59" s="137" t="s">
        <v>1409</v>
      </c>
      <c r="U59" s="137" t="s">
        <v>1409</v>
      </c>
      <c r="V59" s="137" t="s">
        <v>1409</v>
      </c>
      <c r="W59" s="137" t="s">
        <v>1409</v>
      </c>
      <c r="X59" s="137" t="s">
        <v>1409</v>
      </c>
      <c r="Y59" s="137" t="s">
        <v>1409</v>
      </c>
      <c r="Z59" s="33"/>
    </row>
    <row r="60" spans="1:26">
      <c r="A60" s="129"/>
      <c r="B60" s="83" t="s">
        <v>19</v>
      </c>
      <c r="C60" s="105">
        <v>1.1176600527617753E-3</v>
      </c>
      <c r="D60" s="106">
        <v>0.82121675223139512</v>
      </c>
      <c r="E60" s="107">
        <v>2.951007448585306E-2</v>
      </c>
      <c r="F60" s="108">
        <v>0.82063148695723676</v>
      </c>
      <c r="G60" s="105">
        <v>4.6189858224142379E-2</v>
      </c>
      <c r="H60" s="106">
        <v>0.82418483254329145</v>
      </c>
      <c r="I60" s="107">
        <v>6.4984967873708374E-2</v>
      </c>
      <c r="J60" s="109">
        <v>0.83847487870866455</v>
      </c>
      <c r="K60" s="137" t="s">
        <v>1409</v>
      </c>
      <c r="L60" s="137" t="s">
        <v>1409</v>
      </c>
      <c r="M60" s="137" t="s">
        <v>1409</v>
      </c>
      <c r="N60" s="137" t="s">
        <v>1409</v>
      </c>
      <c r="O60" s="137" t="s">
        <v>1409</v>
      </c>
      <c r="P60" s="137" t="s">
        <v>1409</v>
      </c>
      <c r="Q60" s="137" t="s">
        <v>1409</v>
      </c>
      <c r="R60" s="137" t="s">
        <v>1409</v>
      </c>
      <c r="S60" s="137" t="s">
        <v>1409</v>
      </c>
      <c r="T60" s="137" t="s">
        <v>1409</v>
      </c>
      <c r="U60" s="137" t="s">
        <v>1409</v>
      </c>
      <c r="V60" s="137" t="s">
        <v>1409</v>
      </c>
      <c r="W60" s="137" t="s">
        <v>1409</v>
      </c>
      <c r="X60" s="137" t="s">
        <v>1409</v>
      </c>
      <c r="Y60" s="137" t="s">
        <v>1409</v>
      </c>
      <c r="Z60" s="33"/>
    </row>
    <row r="61" spans="1:26">
      <c r="A61" s="129"/>
      <c r="B61" s="91" t="s">
        <v>20</v>
      </c>
      <c r="C61" s="84">
        <v>9.9948070914182407E-3</v>
      </c>
      <c r="D61" s="85">
        <v>0.17878324776860488</v>
      </c>
      <c r="E61" s="88">
        <v>9.5540369038173525E-4</v>
      </c>
      <c r="F61" s="110">
        <v>0.1793685130427633</v>
      </c>
      <c r="G61" s="84">
        <v>9.286418072170481E-5</v>
      </c>
      <c r="H61" s="85">
        <v>0.17581516745670853</v>
      </c>
      <c r="I61" s="88">
        <v>-2.7172153413785268E-3</v>
      </c>
      <c r="J61" s="89">
        <v>0.16152512129133545</v>
      </c>
      <c r="K61" s="137" t="s">
        <v>1409</v>
      </c>
      <c r="L61" s="137" t="s">
        <v>1409</v>
      </c>
      <c r="M61" s="137" t="s">
        <v>1409</v>
      </c>
      <c r="N61" s="137" t="s">
        <v>1409</v>
      </c>
      <c r="O61" s="137" t="s">
        <v>1409</v>
      </c>
      <c r="P61" s="137" t="s">
        <v>1409</v>
      </c>
      <c r="Q61" s="137" t="s">
        <v>1409</v>
      </c>
      <c r="R61" s="137" t="s">
        <v>1409</v>
      </c>
      <c r="S61" s="137" t="s">
        <v>1409</v>
      </c>
      <c r="T61" s="137" t="s">
        <v>1409</v>
      </c>
      <c r="U61" s="137" t="s">
        <v>1409</v>
      </c>
      <c r="V61" s="137" t="s">
        <v>1409</v>
      </c>
      <c r="W61" s="137" t="s">
        <v>1409</v>
      </c>
      <c r="X61" s="137" t="s">
        <v>1409</v>
      </c>
      <c r="Y61" s="137" t="s">
        <v>1409</v>
      </c>
      <c r="Z61" s="33"/>
    </row>
    <row r="62" spans="1:26">
      <c r="A62" s="129"/>
      <c r="B62" s="92" t="s">
        <v>25</v>
      </c>
      <c r="C62" s="93">
        <v>1.1112467144180016E-2</v>
      </c>
      <c r="D62" s="94">
        <v>1</v>
      </c>
      <c r="E62" s="97">
        <v>3.0465478176234795E-2</v>
      </c>
      <c r="F62" s="111">
        <v>1</v>
      </c>
      <c r="G62" s="93">
        <v>4.6282722404864085E-2</v>
      </c>
      <c r="H62" s="94">
        <v>1</v>
      </c>
      <c r="I62" s="97">
        <v>6.2267752532329856E-2</v>
      </c>
      <c r="J62" s="98">
        <v>1</v>
      </c>
      <c r="K62" s="137" t="s">
        <v>1409</v>
      </c>
      <c r="L62" s="137" t="s">
        <v>1409</v>
      </c>
      <c r="M62" s="137" t="s">
        <v>1409</v>
      </c>
      <c r="N62" s="137" t="s">
        <v>1409</v>
      </c>
      <c r="O62" s="137" t="s">
        <v>1409</v>
      </c>
      <c r="P62" s="137" t="s">
        <v>1409</v>
      </c>
      <c r="Q62" s="137" t="s">
        <v>1409</v>
      </c>
      <c r="R62" s="137" t="s">
        <v>1409</v>
      </c>
      <c r="S62" s="137" t="s">
        <v>1409</v>
      </c>
      <c r="T62" s="137" t="s">
        <v>1409</v>
      </c>
      <c r="U62" s="137" t="s">
        <v>1409</v>
      </c>
      <c r="V62" s="137" t="s">
        <v>1409</v>
      </c>
      <c r="W62" s="137" t="s">
        <v>1409</v>
      </c>
      <c r="X62" s="137" t="s">
        <v>1409</v>
      </c>
      <c r="Y62" s="137" t="s">
        <v>1409</v>
      </c>
      <c r="Z62" s="33"/>
    </row>
    <row r="63" spans="1:26">
      <c r="A63" s="129"/>
      <c r="B63" s="135"/>
      <c r="C63" s="136"/>
      <c r="D63" s="136"/>
      <c r="E63" s="136"/>
      <c r="F63" s="136"/>
      <c r="G63" s="136"/>
      <c r="H63" s="136"/>
      <c r="I63" s="136"/>
      <c r="J63" s="139"/>
      <c r="K63" s="137" t="s">
        <v>1409</v>
      </c>
      <c r="L63" s="137" t="s">
        <v>1409</v>
      </c>
      <c r="M63" s="137" t="s">
        <v>1409</v>
      </c>
      <c r="N63" s="137" t="s">
        <v>1409</v>
      </c>
      <c r="O63" s="137" t="s">
        <v>1409</v>
      </c>
      <c r="P63" s="137" t="s">
        <v>1409</v>
      </c>
      <c r="Q63" s="137" t="s">
        <v>1409</v>
      </c>
      <c r="R63" s="137" t="s">
        <v>1409</v>
      </c>
      <c r="S63" s="137" t="s">
        <v>1409</v>
      </c>
      <c r="T63" s="137" t="s">
        <v>1409</v>
      </c>
      <c r="U63" s="137" t="s">
        <v>1409</v>
      </c>
      <c r="V63" s="137" t="s">
        <v>1409</v>
      </c>
      <c r="W63" s="137" t="s">
        <v>1409</v>
      </c>
      <c r="X63" s="137" t="s">
        <v>1409</v>
      </c>
      <c r="Y63" s="137" t="s">
        <v>1409</v>
      </c>
      <c r="Z63" s="33"/>
    </row>
    <row r="64" spans="1:26">
      <c r="A64" s="129"/>
      <c r="B64" s="83" t="s">
        <v>21</v>
      </c>
      <c r="C64" s="105">
        <v>7.782903711037582E-3</v>
      </c>
      <c r="D64" s="106">
        <v>0.73634372822899075</v>
      </c>
      <c r="E64" s="107">
        <v>2.2728934491292922E-2</v>
      </c>
      <c r="F64" s="108">
        <v>0.73856775503677508</v>
      </c>
      <c r="G64" s="105">
        <v>3.6107858830383206E-2</v>
      </c>
      <c r="H64" s="106">
        <v>0.73826628405475458</v>
      </c>
      <c r="I64" s="107">
        <v>4.7844033092886498E-2</v>
      </c>
      <c r="J64" s="109">
        <v>0.76369077534046237</v>
      </c>
      <c r="K64" s="137" t="s">
        <v>1409</v>
      </c>
      <c r="L64" s="137" t="s">
        <v>1409</v>
      </c>
      <c r="M64" s="137" t="s">
        <v>1409</v>
      </c>
      <c r="N64" s="137" t="s">
        <v>1409</v>
      </c>
      <c r="O64" s="137" t="s">
        <v>1409</v>
      </c>
      <c r="P64" s="137" t="s">
        <v>1409</v>
      </c>
      <c r="Q64" s="137" t="s">
        <v>1409</v>
      </c>
      <c r="R64" s="137" t="s">
        <v>1409</v>
      </c>
      <c r="S64" s="137" t="s">
        <v>1409</v>
      </c>
      <c r="T64" s="137" t="s">
        <v>1409</v>
      </c>
      <c r="U64" s="137" t="s">
        <v>1409</v>
      </c>
      <c r="V64" s="137" t="s">
        <v>1409</v>
      </c>
      <c r="W64" s="137" t="s">
        <v>1409</v>
      </c>
      <c r="X64" s="137" t="s">
        <v>1409</v>
      </c>
      <c r="Y64" s="137" t="s">
        <v>1409</v>
      </c>
      <c r="Z64" s="33"/>
    </row>
    <row r="65" spans="1:26">
      <c r="A65" s="129"/>
      <c r="B65" s="91" t="s">
        <v>22</v>
      </c>
      <c r="C65" s="84">
        <v>3.3295634331424336E-3</v>
      </c>
      <c r="D65" s="85">
        <v>0.26365627177100931</v>
      </c>
      <c r="E65" s="88">
        <v>7.73654368494187E-3</v>
      </c>
      <c r="F65" s="110">
        <v>0.26143224496322492</v>
      </c>
      <c r="G65" s="84">
        <v>1.0174863574480877E-2</v>
      </c>
      <c r="H65" s="85">
        <v>0.26173371594524536</v>
      </c>
      <c r="I65" s="88">
        <v>1.4423719439443358E-2</v>
      </c>
      <c r="J65" s="89">
        <v>0.23630922465953763</v>
      </c>
      <c r="K65" s="137" t="s">
        <v>1409</v>
      </c>
      <c r="L65" s="137" t="s">
        <v>1409</v>
      </c>
      <c r="M65" s="137" t="s">
        <v>1409</v>
      </c>
      <c r="N65" s="137" t="s">
        <v>1409</v>
      </c>
      <c r="O65" s="137" t="s">
        <v>1409</v>
      </c>
      <c r="P65" s="137" t="s">
        <v>1409</v>
      </c>
      <c r="Q65" s="137" t="s">
        <v>1409</v>
      </c>
      <c r="R65" s="137" t="s">
        <v>1409</v>
      </c>
      <c r="S65" s="137" t="s">
        <v>1409</v>
      </c>
      <c r="T65" s="137" t="s">
        <v>1409</v>
      </c>
      <c r="U65" s="137" t="s">
        <v>1409</v>
      </c>
      <c r="V65" s="137" t="s">
        <v>1409</v>
      </c>
      <c r="W65" s="137" t="s">
        <v>1409</v>
      </c>
      <c r="X65" s="137" t="s">
        <v>1409</v>
      </c>
      <c r="Y65" s="137" t="s">
        <v>1409</v>
      </c>
      <c r="Z65" s="33"/>
    </row>
    <row r="66" spans="1:26">
      <c r="A66" s="129"/>
      <c r="B66" s="112" t="s">
        <v>25</v>
      </c>
      <c r="C66" s="113">
        <v>1.1112467144180016E-2</v>
      </c>
      <c r="D66" s="114">
        <v>1</v>
      </c>
      <c r="E66" s="115">
        <v>3.0465478176234795E-2</v>
      </c>
      <c r="F66" s="116">
        <v>1</v>
      </c>
      <c r="G66" s="113">
        <v>4.6282722404864085E-2</v>
      </c>
      <c r="H66" s="114">
        <v>1</v>
      </c>
      <c r="I66" s="115">
        <v>6.2267752532329856E-2</v>
      </c>
      <c r="J66" s="117">
        <v>1</v>
      </c>
      <c r="K66" s="137" t="s">
        <v>1409</v>
      </c>
      <c r="L66" s="137" t="s">
        <v>1409</v>
      </c>
      <c r="M66" s="137" t="s">
        <v>1409</v>
      </c>
      <c r="N66" s="137" t="s">
        <v>1409</v>
      </c>
      <c r="O66" s="137" t="s">
        <v>1409</v>
      </c>
      <c r="P66" s="137" t="s">
        <v>1409</v>
      </c>
      <c r="Q66" s="137" t="s">
        <v>1409</v>
      </c>
      <c r="R66" s="137" t="s">
        <v>1409</v>
      </c>
      <c r="S66" s="137" t="s">
        <v>1409</v>
      </c>
      <c r="T66" s="137" t="s">
        <v>1409</v>
      </c>
      <c r="U66" s="137" t="s">
        <v>1409</v>
      </c>
      <c r="V66" s="137" t="s">
        <v>1409</v>
      </c>
      <c r="W66" s="137" t="s">
        <v>1409</v>
      </c>
      <c r="X66" s="137" t="s">
        <v>1409</v>
      </c>
      <c r="Y66" s="137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2026-01-20T14:35:09Z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