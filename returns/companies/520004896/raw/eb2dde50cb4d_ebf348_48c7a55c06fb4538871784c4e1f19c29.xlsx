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"/>
    </mc:Choice>
  </mc:AlternateContent>
  <xr:revisionPtr revIDLastSave="0" documentId="13_ncr:1_{BC66A35D-27E0-459C-A84F-562CCC24CF9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<sst xmlns="http://schemas.openxmlformats.org/spreadsheetml/2006/main" count="5967" uniqueCount="1430">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</sst>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1375</v>
      </c>
      <c r="C20" s="29" t="str">
        <f>VLOOKUP(B20,Tab_Type,2,0)</f>
        <v>TabE</v>
      </c>
    </row>
    <row r="21" spans="1:4" ht="15">
      <c r="A21" s="13" t="s">
        <v>890</v>
      </c>
      <c r="B21" s="30"/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שם מסלול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שם חברה</v>
      </c>
      <c r="C24" s="27">
        <v>4</v>
      </c>
    </row>
    <row r="25" spans="1:4">
      <c r="A25" s="13" t="s">
        <v>888</v>
      </c>
      <c r="B25" s="31" t="str">
        <f ca="1">IFERROR(VLOOKUP($B$21,INDIRECT($C$20),C25,0),"מספר ח.פ.")</f>
        <v>מספר ח.פ.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מספר ח.פ._c_Yield226.xlsx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0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שם מסלול</v>
      </c>
      <c r="D3" s="24"/>
    </row>
    <row r="4" spans="1:31" ht="18.75">
      <c r="A4" s="127"/>
      <c r="B4" s="6" t="s">
        <v>27</v>
      </c>
      <c r="C4" s="24" t="str">
        <f ca="1">הנחיות!B24</f>
        <v>שם חברה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-1.0332875561815172E-3</v>
      </c>
      <c r="D7" s="93">
        <v>0.19658591216523336</v>
      </c>
      <c r="E7" s="94">
        <v>8.2381742310904001E-4</v>
      </c>
      <c r="F7" s="95">
        <v>0.19135432952179546</v>
      </c>
      <c r="G7" s="92">
        <v>1.8197985048366754E-3</v>
      </c>
      <c r="H7" s="93">
        <v>0.18915696438150784</v>
      </c>
      <c r="I7" s="94">
        <v>-3.7577665624478089E-3</v>
      </c>
      <c r="J7" s="95">
        <v>0.18243953583858896</v>
      </c>
      <c r="K7" s="92">
        <v>-1.2565306529234229E-3</v>
      </c>
      <c r="L7" s="93">
        <v>0.16957603870577559</v>
      </c>
      <c r="M7" s="94">
        <v>3.0689306392523027E-3</v>
      </c>
      <c r="N7" s="95">
        <v>0.1888005893932887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4.4440431576363965E-4</v>
      </c>
      <c r="D8" s="93">
        <v>6.4982655539319659E-2</v>
      </c>
      <c r="E8" s="94">
        <v>4.2410606618474334E-4</v>
      </c>
      <c r="F8" s="95">
        <v>6.4609897682860601E-2</v>
      </c>
      <c r="G8" s="92">
        <v>-1.0544231094295716E-3</v>
      </c>
      <c r="H8" s="93">
        <v>6.6488900432989412E-2</v>
      </c>
      <c r="I8" s="94">
        <v>2.4320720865984201E-4</v>
      </c>
      <c r="J8" s="95">
        <v>6.4948692291159849E-2</v>
      </c>
      <c r="K8" s="92">
        <v>1.096526740638176E-3</v>
      </c>
      <c r="L8" s="93">
        <v>5.6996771972676982E-2</v>
      </c>
      <c r="M8" s="94">
        <v>7.1633325840538226E-4</v>
      </c>
      <c r="N8" s="95">
        <v>5.8492253453171272E-2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-1.7431106417545349E-4</v>
      </c>
      <c r="D11" s="93">
        <v>6.627357264601208E-2</v>
      </c>
      <c r="E11" s="94">
        <v>2.1695401372306112E-4</v>
      </c>
      <c r="F11" s="95">
        <v>6.5689794001101781E-2</v>
      </c>
      <c r="G11" s="92">
        <v>-5.8900541617687787E-4</v>
      </c>
      <c r="H11" s="93">
        <v>7.0302271403128197E-2</v>
      </c>
      <c r="I11" s="94">
        <v>-5.0831016992801859E-4</v>
      </c>
      <c r="J11" s="95">
        <v>6.765799857697169E-2</v>
      </c>
      <c r="K11" s="92">
        <v>-3.144126052075029E-4</v>
      </c>
      <c r="L11" s="93">
        <v>6.8823184873300636E-2</v>
      </c>
      <c r="M11" s="94">
        <v>1.6491460742486983E-3</v>
      </c>
      <c r="N11" s="95">
        <v>7.1213778399826413E-2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-9.9670050439259157E-6</v>
      </c>
      <c r="D12" s="93">
        <v>6.3613624690256844E-3</v>
      </c>
      <c r="E12" s="94">
        <v>-7.321522214092233E-6</v>
      </c>
      <c r="F12" s="95">
        <v>6.1363087854128173E-3</v>
      </c>
      <c r="G12" s="92">
        <v>-2.6691502882110021E-5</v>
      </c>
      <c r="H12" s="93">
        <v>6.270002284526106E-3</v>
      </c>
      <c r="I12" s="94">
        <v>6.98266131432646E-5</v>
      </c>
      <c r="J12" s="95">
        <v>6.0042291227195115E-3</v>
      </c>
      <c r="K12" s="92">
        <v>9.4603637816929631E-5</v>
      </c>
      <c r="L12" s="93">
        <v>5.8132761950997775E-3</v>
      </c>
      <c r="M12" s="94">
        <v>2.7258293004227735E-5</v>
      </c>
      <c r="N12" s="95">
        <v>5.9106606786840654E-3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2.3297721444591368E-2</v>
      </c>
      <c r="D13" s="93">
        <v>0.34964949438922099</v>
      </c>
      <c r="E13" s="94">
        <v>4.4086863249461188E-3</v>
      </c>
      <c r="F13" s="95">
        <v>0.35192757632981359</v>
      </c>
      <c r="G13" s="92">
        <v>-7.6747847178878234E-3</v>
      </c>
      <c r="H13" s="93">
        <v>0.34941840003691421</v>
      </c>
      <c r="I13" s="94">
        <v>2.7701408428850972E-2</v>
      </c>
      <c r="J13" s="95">
        <v>0.35348929635809284</v>
      </c>
      <c r="K13" s="92">
        <v>1.2775097427786418E-2</v>
      </c>
      <c r="L13" s="93">
        <v>0.36812677166183538</v>
      </c>
      <c r="M13" s="94">
        <v>-1.9431194784120469E-2</v>
      </c>
      <c r="N13" s="95">
        <v>0.35338469554855911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3.450729878995115E-3</v>
      </c>
      <c r="D14" s="93">
        <v>0.17277917929347036</v>
      </c>
      <c r="E14" s="94">
        <v>3.4853964602271047E-3</v>
      </c>
      <c r="F14" s="95">
        <v>0.17563172299860852</v>
      </c>
      <c r="G14" s="92">
        <v>-1.1550950133340149E-2</v>
      </c>
      <c r="H14" s="93">
        <v>0.18000626196844968</v>
      </c>
      <c r="I14" s="94">
        <v>6.4224961211819653E-3</v>
      </c>
      <c r="J14" s="95">
        <v>0.17888188009862688</v>
      </c>
      <c r="K14" s="92">
        <v>6.4501287868154054E-4</v>
      </c>
      <c r="L14" s="93">
        <v>0.17322286950049615</v>
      </c>
      <c r="M14" s="94">
        <v>3.7358616569788906E-3</v>
      </c>
      <c r="N14" s="95">
        <v>0.1726649102554437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-1.8970742427490273E-4</v>
      </c>
      <c r="D15" s="93">
        <v>6.3180137124070924E-3</v>
      </c>
      <c r="E15" s="94">
        <v>9.3692492276075274E-5</v>
      </c>
      <c r="F15" s="95">
        <v>5.9948699112510528E-3</v>
      </c>
      <c r="G15" s="92">
        <v>-2.3330458310008234E-4</v>
      </c>
      <c r="H15" s="93">
        <v>5.7916124700495035E-3</v>
      </c>
      <c r="I15" s="94">
        <v>-1.2592342116911261E-4</v>
      </c>
      <c r="J15" s="95">
        <v>5.1656628956630963E-3</v>
      </c>
      <c r="K15" s="92">
        <v>-1.5617673343714625E-4</v>
      </c>
      <c r="L15" s="93">
        <v>4.4201435677935401E-3</v>
      </c>
      <c r="M15" s="94">
        <v>2.2965727339210545E-4</v>
      </c>
      <c r="N15" s="95">
        <v>4.2108104549255952E-3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-7.9278172197939098E-4</v>
      </c>
      <c r="D16" s="93">
        <v>4.8642550640999475E-2</v>
      </c>
      <c r="E16" s="94">
        <v>4.8703616453171989E-4</v>
      </c>
      <c r="F16" s="95">
        <v>4.9415618159499589E-2</v>
      </c>
      <c r="G16" s="92">
        <v>5.7944808164204597E-4</v>
      </c>
      <c r="H16" s="93">
        <v>5.2396854449277538E-2</v>
      </c>
      <c r="I16" s="94">
        <v>-2.7961803317768136E-3</v>
      </c>
      <c r="J16" s="95">
        <v>5.2269701119914219E-2</v>
      </c>
      <c r="K16" s="92">
        <v>-2.1746399585000362E-3</v>
      </c>
      <c r="L16" s="93">
        <v>5.0449247166006732E-2</v>
      </c>
      <c r="M16" s="94">
        <v>3.000175411634891E-3</v>
      </c>
      <c r="N16" s="95">
        <v>5.4818610155368167E-2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2.6529557447046862E-5</v>
      </c>
      <c r="D17" s="93">
        <v>3.313367724381917E-4</v>
      </c>
      <c r="E17" s="94">
        <v>3.3033275664061551E-5</v>
      </c>
      <c r="F17" s="95">
        <v>3.9636219496165699E-4</v>
      </c>
      <c r="G17" s="92">
        <v>1.0785125112234714E-4</v>
      </c>
      <c r="H17" s="93">
        <v>4.4256425327655137E-4</v>
      </c>
      <c r="I17" s="94">
        <v>9.7554818710690315E-5</v>
      </c>
      <c r="J17" s="95">
        <v>5.8632827843363401E-4</v>
      </c>
      <c r="K17" s="92">
        <v>1.2638574690710273E-4</v>
      </c>
      <c r="L17" s="93">
        <v>6.2394294359791643E-4</v>
      </c>
      <c r="M17" s="94">
        <v>-1.4403840457412727E-4</v>
      </c>
      <c r="N17" s="95">
        <v>5.9955364926789472E-4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9.3735877929257954E-3</v>
      </c>
      <c r="D18" s="93">
        <v>1.4098498943601573E-2</v>
      </c>
      <c r="E18" s="94">
        <v>3.0366098235165952E-3</v>
      </c>
      <c r="F18" s="95">
        <v>1.7566141695750378E-2</v>
      </c>
      <c r="G18" s="92">
        <v>-1.8439709659215864E-2</v>
      </c>
      <c r="H18" s="93">
        <v>6.264055067818795E-3</v>
      </c>
      <c r="I18" s="94">
        <v>3.1668348433883539E-2</v>
      </c>
      <c r="J18" s="95">
        <v>1.7820363108705418E-2</v>
      </c>
      <c r="K18" s="92">
        <v>1.5658897741050004E-2</v>
      </c>
      <c r="L18" s="93">
        <v>3.3928472643539528E-2</v>
      </c>
      <c r="M18" s="94">
        <v>-1.0549208452141849E-2</v>
      </c>
      <c r="N18" s="95">
        <v>1.8691119933025701E-2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3.9015559446219686E-4</v>
      </c>
      <c r="D19" s="93">
        <v>2.6229846856366389E-4</v>
      </c>
      <c r="E19" s="94">
        <v>1.4654097140663183E-4</v>
      </c>
      <c r="F19" s="95">
        <v>3.8838777155450206E-4</v>
      </c>
      <c r="G19" s="92">
        <v>-3.1894834837116942E-4</v>
      </c>
      <c r="H19" s="93">
        <v>2.0847493290909605E-4</v>
      </c>
      <c r="I19" s="94">
        <v>6.7321812754953809E-6</v>
      </c>
      <c r="J19" s="95">
        <v>8.2524475737117911E-5</v>
      </c>
      <c r="K19" s="92">
        <v>-8.1853901567043247E-5</v>
      </c>
      <c r="L19" s="93">
        <v>3.8197324167823458E-5</v>
      </c>
      <c r="M19" s="94">
        <v>1.0854844577263698E-4</v>
      </c>
      <c r="N19" s="95">
        <v>-5.9970934426622259E-6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6.6635766168404751E-6</v>
      </c>
      <c r="D20" s="93">
        <v>7.6690997770655937E-3</v>
      </c>
      <c r="E20" s="94">
        <v>1.8996919463221217E-5</v>
      </c>
      <c r="F20" s="95">
        <v>7.241477636517871E-3</v>
      </c>
      <c r="G20" s="92">
        <v>-6.0387000546769271E-5</v>
      </c>
      <c r="H20" s="93">
        <v>8.7772981428893351E-3</v>
      </c>
      <c r="I20" s="94">
        <v>1.1051669065654241E-4</v>
      </c>
      <c r="J20" s="95">
        <v>8.608847864605829E-3</v>
      </c>
      <c r="K20" s="92">
        <v>9.24692019284974E-5</v>
      </c>
      <c r="L20" s="93">
        <v>8.1749996913690268E-3</v>
      </c>
      <c r="M20" s="94">
        <v>4.3609446508706272E-5</v>
      </c>
      <c r="N20" s="95">
        <v>8.3449070122417514E-3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4.9819055926624353E-6</v>
      </c>
      <c r="D21" s="93">
        <v>6.3633522622883951E-2</v>
      </c>
      <c r="E21" s="94">
        <v>1.1218271842573273E-4</v>
      </c>
      <c r="F21" s="95">
        <v>6.1359052963842448E-2</v>
      </c>
      <c r="G21" s="92">
        <v>-1.86184389632538E-4</v>
      </c>
      <c r="H21" s="93">
        <v>6.2090326815350184E-2</v>
      </c>
      <c r="I21" s="94">
        <v>6.9386365370801596E-4</v>
      </c>
      <c r="J21" s="95">
        <v>5.9721329087775901E-2</v>
      </c>
      <c r="K21" s="92">
        <v>3.9521247031537983E-4</v>
      </c>
      <c r="L21" s="93">
        <v>5.7403821949968292E-2</v>
      </c>
      <c r="M21" s="94">
        <v>5.4656379920074629E-4</v>
      </c>
      <c r="N21" s="95">
        <v>6.0002154542739813E-2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6.6943597802512063E-6</v>
      </c>
      <c r="D24" s="93">
        <v>2.447725250625771E-3</v>
      </c>
      <c r="E24" s="94">
        <v>6.5690133300370272E-6</v>
      </c>
      <c r="F24" s="95">
        <v>2.2952745859007662E-3</v>
      </c>
      <c r="G24" s="92">
        <v>8.4894919729741555E-6</v>
      </c>
      <c r="H24" s="93">
        <v>2.3549303159647404E-3</v>
      </c>
      <c r="I24" s="94">
        <v>1.3186773075889019E-5</v>
      </c>
      <c r="J24" s="95">
        <v>2.3369365459937111E-3</v>
      </c>
      <c r="K24" s="92">
        <v>8.48581006896588E-6</v>
      </c>
      <c r="L24" s="93">
        <v>2.4064053071408643E-3</v>
      </c>
      <c r="M24" s="94">
        <v>1.6439258187691593E-5</v>
      </c>
      <c r="N24" s="95">
        <v>2.8855987599616969E-3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1.5616548027026097E-7</v>
      </c>
      <c r="D25" s="93">
        <v>-3.5222690867208896E-5</v>
      </c>
      <c r="E25" s="94">
        <v>4.9245409951228809E-8</v>
      </c>
      <c r="F25" s="95">
        <v>-6.8142388709263496E-6</v>
      </c>
      <c r="G25" s="92">
        <v>3.9461008906155358E-8</v>
      </c>
      <c r="H25" s="93">
        <v>3.1083044949104308E-5</v>
      </c>
      <c r="I25" s="94">
        <v>1.6358217554690849E-7</v>
      </c>
      <c r="J25" s="95">
        <v>-1.3325662988561119E-5</v>
      </c>
      <c r="K25" s="92">
        <v>1.5794644213527716E-7</v>
      </c>
      <c r="L25" s="93">
        <v>-4.1435027679844935E-6</v>
      </c>
      <c r="M25" s="94">
        <v>-1.2367574983247363E-7</v>
      </c>
      <c r="N25" s="95">
        <v>-1.3645143061296498E-5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3.4801569820000003E-2</v>
      </c>
      <c r="D26" s="101">
        <v>1.0000000000000002</v>
      </c>
      <c r="E26" s="102">
        <v>1.328634939E-2</v>
      </c>
      <c r="F26" s="103">
        <v>1</v>
      </c>
      <c r="G26" s="100">
        <v>-3.7618762069999999E-2</v>
      </c>
      <c r="H26" s="101">
        <v>1.0000000000000004</v>
      </c>
      <c r="I26" s="102">
        <v>5.9839124020000002E-2</v>
      </c>
      <c r="J26" s="103">
        <v>1.0000000000000002</v>
      </c>
      <c r="K26" s="100">
        <v>2.690923575E-2</v>
      </c>
      <c r="L26" s="101">
        <v>1.0000000000000002</v>
      </c>
      <c r="M26" s="102">
        <v>-1.698204176E-2</v>
      </c>
      <c r="N26" s="103">
        <v>0.99999999999999989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1057361.65949</v>
      </c>
      <c r="D27" s="130"/>
      <c r="E27" s="107">
        <v>441058.82094000006</v>
      </c>
      <c r="F27" s="130"/>
      <c r="G27" s="106">
        <v>-1295145.7249799999</v>
      </c>
      <c r="H27" s="130"/>
      <c r="I27" s="107">
        <v>1982652.0859299996</v>
      </c>
      <c r="J27" s="130"/>
      <c r="K27" s="106">
        <v>973141.80779999995</v>
      </c>
      <c r="L27" s="130"/>
      <c r="M27" s="107">
        <v>-648050.84353000007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2.6440062976262307E-2</v>
      </c>
      <c r="D29" s="111">
        <v>0.67274487680734163</v>
      </c>
      <c r="E29" s="112">
        <v>6.7264164794522078E-3</v>
      </c>
      <c r="F29" s="113">
        <v>0.67369992357614594</v>
      </c>
      <c r="G29" s="110">
        <v>-7.1078645267777761E-3</v>
      </c>
      <c r="H29" s="111">
        <v>0.68828465356112001</v>
      </c>
      <c r="I29" s="112">
        <v>3.0629745861101385E-2</v>
      </c>
      <c r="J29" s="113">
        <v>0.67467924225924047</v>
      </c>
      <c r="K29" s="110">
        <v>1.7001270506483084E-2</v>
      </c>
      <c r="L29" s="111">
        <v>0.65635594142158105</v>
      </c>
      <c r="M29" s="112">
        <v>-3.5237476709696486E-2</v>
      </c>
      <c r="N29" s="113">
        <v>0.65098938603281042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8.3615068437376625E-3</v>
      </c>
      <c r="D30" s="93">
        <v>0.32725512319265826</v>
      </c>
      <c r="E30" s="94">
        <v>6.5599329105477866E-3</v>
      </c>
      <c r="F30" s="95">
        <v>0.326300076423854</v>
      </c>
      <c r="G30" s="92">
        <v>-3.0510897543222219E-2</v>
      </c>
      <c r="H30" s="93">
        <v>0.31171534643887988</v>
      </c>
      <c r="I30" s="94">
        <v>2.9209381672965131E-2</v>
      </c>
      <c r="J30" s="95">
        <v>0.32532075774075947</v>
      </c>
      <c r="K30" s="92">
        <v>9.9079636086099009E-3</v>
      </c>
      <c r="L30" s="93">
        <v>0.3436440585784189</v>
      </c>
      <c r="M30" s="94">
        <v>1.8255434911723802E-2</v>
      </c>
      <c r="N30" s="95">
        <v>0.34901061396718946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3.4801569820000003E-2</v>
      </c>
      <c r="D31" s="101">
        <v>1.0000000000000002</v>
      </c>
      <c r="E31" s="102">
        <v>1.328634939E-2</v>
      </c>
      <c r="F31" s="103">
        <v>1</v>
      </c>
      <c r="G31" s="100">
        <v>-3.7618762069999999E-2</v>
      </c>
      <c r="H31" s="101">
        <v>1.0000000000000004</v>
      </c>
      <c r="I31" s="102">
        <v>5.9839124020000002E-2</v>
      </c>
      <c r="J31" s="103">
        <v>1.0000000000000002</v>
      </c>
      <c r="K31" s="100">
        <v>2.690923575E-2</v>
      </c>
      <c r="L31" s="101">
        <v>1.0000000000000002</v>
      </c>
      <c r="M31" s="102">
        <v>-1.698204176E-2</v>
      </c>
      <c r="N31" s="103">
        <v>0.99999999999999989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2.9939635919939107E-2</v>
      </c>
      <c r="D33" s="111">
        <v>0.85811113720451793</v>
      </c>
      <c r="E33" s="112">
        <v>1.213495850830526E-2</v>
      </c>
      <c r="F33" s="113">
        <v>0.85814664399961027</v>
      </c>
      <c r="G33" s="110">
        <v>-3.3458686067694782E-2</v>
      </c>
      <c r="H33" s="111">
        <v>0.85531839052460512</v>
      </c>
      <c r="I33" s="112">
        <v>4.8801216672718126E-2</v>
      </c>
      <c r="J33" s="113">
        <v>0.85470723770246693</v>
      </c>
      <c r="K33" s="110">
        <v>2.1039874013701589E-2</v>
      </c>
      <c r="L33" s="111">
        <v>0.85323985412807835</v>
      </c>
      <c r="M33" s="112">
        <v>-1.0425109917151773E-2</v>
      </c>
      <c r="N33" s="113">
        <v>0.85193504843153312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4.8619339000608806E-3</v>
      </c>
      <c r="D34" s="93">
        <v>0.14188886279548205</v>
      </c>
      <c r="E34" s="94">
        <v>1.1513908816947304E-3</v>
      </c>
      <c r="F34" s="95">
        <v>0.14185335600038965</v>
      </c>
      <c r="G34" s="92">
        <v>-4.1600760023051868E-3</v>
      </c>
      <c r="H34" s="93">
        <v>0.14468160947539485</v>
      </c>
      <c r="I34" s="94">
        <v>1.103791083950369E-2</v>
      </c>
      <c r="J34" s="95">
        <v>0.14529276229753302</v>
      </c>
      <c r="K34" s="92">
        <v>5.869361736298425E-3</v>
      </c>
      <c r="L34" s="93">
        <v>0.14676014587192179</v>
      </c>
      <c r="M34" s="94">
        <v>-6.5569318428482246E-3</v>
      </c>
      <c r="N34" s="95">
        <v>0.14806495156846677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3.4801569820000003E-2</v>
      </c>
      <c r="D35" s="117">
        <v>1.0000000000000002</v>
      </c>
      <c r="E35" s="118">
        <v>1.328634939E-2</v>
      </c>
      <c r="F35" s="119">
        <v>1</v>
      </c>
      <c r="G35" s="116">
        <v>-3.7618762069999999E-2</v>
      </c>
      <c r="H35" s="117">
        <v>1.0000000000000004</v>
      </c>
      <c r="I35" s="118">
        <v>5.9839124020000002E-2</v>
      </c>
      <c r="J35" s="119">
        <v>1.0000000000000002</v>
      </c>
      <c r="K35" s="116">
        <v>2.690923575E-2</v>
      </c>
      <c r="L35" s="117">
        <v>1.0000000000000002</v>
      </c>
      <c r="M35" s="118">
        <v>-1.698204176E-2</v>
      </c>
      <c r="N35" s="119">
        <v>0.99999999999999989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1.4202958982267619E-3</v>
      </c>
      <c r="D38" s="93">
        <v>0.19236573535617887</v>
      </c>
      <c r="E38" s="94">
        <v>-3.3617391731678823E-4</v>
      </c>
      <c r="F38" s="95">
        <v>0.18631889500103163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-2.507886638862306E-4</v>
      </c>
      <c r="D39" s="93">
        <v>6.5360484551723219E-2</v>
      </c>
      <c r="E39" s="94">
        <v>1.8749504885635837E-3</v>
      </c>
      <c r="F39" s="95">
        <v>6.2753195228696296E-2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-6.1259698172790435E-4</v>
      </c>
      <c r="D42" s="93">
        <v>6.7421879350080691E-2</v>
      </c>
      <c r="E42" s="94">
        <v>2.8344694797732833E-4</v>
      </c>
      <c r="F42" s="95">
        <v>6.8326766650056783E-2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-5.0119377175854899E-5</v>
      </c>
      <c r="D43" s="93">
        <v>6.2558911796548695E-3</v>
      </c>
      <c r="E43" s="94">
        <v>1.481654244274196E-4</v>
      </c>
      <c r="F43" s="95">
        <v>6.082639922577994E-3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1.9577071143544247E-2</v>
      </c>
      <c r="D44" s="93">
        <v>0.35033182358531628</v>
      </c>
      <c r="E44" s="94">
        <v>4.0963639380225472E-2</v>
      </c>
      <c r="F44" s="95">
        <v>0.35433270572073933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-4.8559271259254588E-3</v>
      </c>
      <c r="D45" s="93">
        <v>0.17613905475350955</v>
      </c>
      <c r="E45" s="94">
        <v>6.1132349562676115E-3</v>
      </c>
      <c r="F45" s="95">
        <v>0.17553113735251591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-3.3523780604301494E-4</v>
      </c>
      <c r="D46" s="93">
        <v>6.0348320312358832E-3</v>
      </c>
      <c r="E46" s="94">
        <v>-3.8138899911607414E-4</v>
      </c>
      <c r="F46" s="95">
        <v>5.3168521686816463E-3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2.2391736541293336E-4</v>
      </c>
      <c r="D47" s="93">
        <v>5.0151674416592205E-2</v>
      </c>
      <c r="E47" s="94">
        <v>-1.7030319410313401E-3</v>
      </c>
      <c r="F47" s="95">
        <v>5.1332096948510951E-2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1.6703853068822158E-4</v>
      </c>
      <c r="D48" s="93">
        <v>3.900877402254667E-4</v>
      </c>
      <c r="E48" s="94">
        <v>2.4735404004079412E-4</v>
      </c>
      <c r="F48" s="95">
        <v>4.9668134866264087E-4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-6.2428218691522198E-3</v>
      </c>
      <c r="D49" s="93">
        <v>1.2642898569056914E-2</v>
      </c>
      <c r="E49" s="94">
        <v>3.031127796229071E-2</v>
      </c>
      <c r="F49" s="95">
        <v>1.8061441898740233E-2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2.1735311828374772E-4</v>
      </c>
      <c r="D50" s="93">
        <v>2.8638705767575402E-4</v>
      </c>
      <c r="E50" s="94">
        <v>2.510715949017307E-4</v>
      </c>
      <c r="F50" s="95">
        <v>1.6231431324825686E-4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-4.2477462718740284E-5</v>
      </c>
      <c r="D51" s="93">
        <v>7.8959585188242663E-3</v>
      </c>
      <c r="E51" s="94">
        <v>2.1248481104195439E-4</v>
      </c>
      <c r="F51" s="95">
        <v>8.1361050207815668E-3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-1.3024556206562063E-4</v>
      </c>
      <c r="D52" s="93">
        <v>6.2360967467358863E-2</v>
      </c>
      <c r="E52" s="94">
        <v>1.5718834264686645E-3</v>
      </c>
      <c r="F52" s="95">
        <v>6.0701701330426766E-2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1.9430919790479047E-5</v>
      </c>
      <c r="D55" s="93">
        <v>2.3659767174970922E-3</v>
      </c>
      <c r="E55" s="94">
        <v>6.004924575095229E-5</v>
      </c>
      <c r="F55" s="95">
        <v>2.4544784609312584E-3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2.484555002318079E-7</v>
      </c>
      <c r="D56" s="93">
        <v>-3.6512949296769786E-6</v>
      </c>
      <c r="E56" s="94">
        <v>4.4220182287986058E-7</v>
      </c>
      <c r="F56" s="95">
        <v>-7.0113656011455071E-6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9.1051405827515808E-3</v>
      </c>
      <c r="D57" s="101">
        <v>1.0000000000000002</v>
      </c>
      <c r="E57" s="102">
        <v>7.9617405622314896E-2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203274.75545000006</v>
      </c>
      <c r="D58" s="130"/>
      <c r="E58" s="107">
        <v>2511017.8056499995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2.5387159089978528E-2</v>
      </c>
      <c r="D60" s="111">
        <v>0.67824315131486923</v>
      </c>
      <c r="E60" s="112">
        <v>3.7945363158986126E-2</v>
      </c>
      <c r="F60" s="113">
        <v>0.66945900394303992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-1.6282018507226947E-2</v>
      </c>
      <c r="D61" s="93">
        <v>0.32175684868513071</v>
      </c>
      <c r="E61" s="94">
        <v>4.1672042463328771E-2</v>
      </c>
      <c r="F61" s="95">
        <v>0.33054099605696002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9.1051405827515808E-3</v>
      </c>
      <c r="D62" s="101">
        <v>1</v>
      </c>
      <c r="E62" s="102">
        <v>7.9617405622314896E-2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7.3124580928126829E-3</v>
      </c>
      <c r="D64" s="111">
        <v>0.85719205724291114</v>
      </c>
      <c r="E64" s="112">
        <v>6.7497588063624173E-2</v>
      </c>
      <c r="F64" s="113">
        <v>0.85524305199846873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1.7926824899388977E-3</v>
      </c>
      <c r="D65" s="93">
        <v>0.14280794275708886</v>
      </c>
      <c r="E65" s="94">
        <v>1.2119817558690729E-2</v>
      </c>
      <c r="F65" s="95">
        <v>0.14475694800153135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9.1051405827515808E-3</v>
      </c>
      <c r="D66" s="117">
        <v>1</v>
      </c>
      <c r="E66" s="118">
        <v>7.9617405622314896E-2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2026-07-29T05:35:57Z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