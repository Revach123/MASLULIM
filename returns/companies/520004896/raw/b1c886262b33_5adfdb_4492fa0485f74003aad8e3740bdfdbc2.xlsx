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B25" i="6"/>
  <c r="B24" i="6"/>
  <c r="B23" i="6"/>
  <c r="AC3" i="8" l="1"/>
  <c r="C3" i="5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<sst xmlns="http://schemas.openxmlformats.org/spreadsheetml/2006/main" count="5549" uniqueCount="1410">
  <si>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</si>
  <si>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</si>
  <si>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</si>
  <si>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</si>
  <si>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</si>
  <si>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</si>
  <si>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</si>
  <si>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</si>
  <si>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</si>
  <si>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</si>
  <si>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</si>
  <si>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</si>
  <si>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</si>
  <si>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</si>
  <si>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</si>
  <si>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</si>
  <si>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</si>
  <si>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</si>
  <si>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</si>
  <si>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</si>
  <si>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</si>
  <si>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</si>
  <si>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</si>
  <si>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</si>
  <si>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</si>
  <si>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</si>
  <si>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</si>
  <si>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</si>
  <si>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</si>
  <si>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</si>
  <si>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</si>
  <si>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</si>
  <si>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</si>
  <si>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</si>
  <si>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</si>
  <si>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</si>
  <si>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</si>
  <si>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</si>
  <si>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</si>
  <si>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</si>
  <si>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</si>
  <si>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</si>
  <si>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</si>
  <si>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</si>
  <si>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</si>
  <si>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</si>
  <si>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</si>
  <si>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</si>
  <si>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</si>
  <si>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</si>
  <si>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</si>
  <si>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</si>
  <si>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</si>
  <si>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</si>
  <si>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</si>
  <si>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</si>
  <si>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</si>
  <si>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</si>
  <si>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</si>
  <si>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</si>
  <si>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</si>
  <si>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</si>
  <si>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</si>
  <si>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</si>
  <si>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</si>
  <si>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</si>
  <si>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</si>
  <si>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</si>
  <si>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</si>
  <si>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</si>
  <si>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</si>
  <si>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</si>
  <si>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</si>
  <si>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</si>
  <si>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</si>
  <si>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</si>
  <si>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</si>
  <si>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</si>
  <si>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</si>
  <si>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</si>
  <si>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</si>
  <si>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</si>
  <si>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</si>
  <si>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</si>
  <si>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</si>
  <si>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</si>
  <si>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</si>
  <si>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</si>
  <si>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</si>
  <si>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</si>
  <si>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</si>
  <si>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</si>
  <si>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</si>
  <si>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</si>
  <si>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</si>
  <si>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</si>
  <si>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</si>
  <si>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</si>
  <si>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</si>
  <si>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</si>
  <si>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</si>
  <si>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</si>
  <si>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</si>
  <si>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</si>
  <si>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</si>
  <si>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</si>
  <si>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</si>
  <si>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</si>
  <si>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</si>
  <si>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</si>
  <si>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</si>
  <si>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</si>
  <si>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</si>
  <si>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</si>
  <si>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</si>
  <si>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</si>
  <si>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</si>
  <si>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</si>
  <si>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</si>
  <si>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</si>
  <si>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</si>
  <si>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</si>
  <si>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</si>
  <si>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</si>
  <si>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</si>
  <si>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</si>
  <si>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</si>
  <si>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</si>
  <si>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</si>
  <si>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</si>
  <si>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</si>
  <si>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</si>
  <si>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</si>
  <si>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</si>
  <si>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</si>
  <si>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</si>
  <si>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</si>
  <si>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</si>
  <si>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</si>
  <si>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</si>
  <si>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</si>
  <si>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</si>
  <si>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</si>
  <si>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</si>
  <si>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</si>
  <si>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</si>
  <si>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</si>
  <si>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</si>
  <si>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</si>
  <si>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</si>
  <si>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</si>
  <si>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</si>
  <si>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</si>
  <si>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</si>
  <si>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</si>
  <si>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</si>
  <si>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</si>
  <si>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</si>
  <si>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</si>
  <si>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</si>
  <si>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</si>
  <si>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</si>
  <si>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</si>
  <si>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</si>
  <si>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</si>
  <si>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</si>
  <si>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</si>
  <si>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</si>
  <si>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</si>
  <si>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</si>
  <si>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</si>
  <si>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</si>
  <si>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</si>
  <si>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</si>
  <si>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</si>
  <si>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</si>
  <si>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</si>
  <si>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</si>
  <si>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</si>
  <si>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</si>
  <si>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</si>
  <si>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</si>
  <si>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</si>
  <si>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</si>
  <si>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</si>
  <si>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</si>
  <si>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</si>
  <si>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</si>
  <si>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</si>
  <si>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</si>
  <si>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</si>
  <si>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</si>
  <si>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</si>
  <si>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</si>
  <si>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</si>
  <si>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</si>
  <si>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</si>
  <si>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</si>
  <si>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</si>
  <si>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</si>
  <si>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</si>
  <si>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</si>
  <si>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</si>
  <si>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</si>
  <si>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</si>
  <si>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</si>
  <si>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</si>
  <si>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</si>
  <si>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</si>
  <si>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</si>
  <si>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</si>
  <si>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</si>
  <si>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</si>
  <si>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</si>
  <si>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</si>
  <si>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</si>
  <si>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</si>
  <si>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</si>
  <si>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</si>
  <si>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</si>
  <si>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</si>
  <si>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</si>
  <si>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</si>
  <si>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</si>
  <si>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</si>
  <si>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</si>
  <si>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</si>
  <si>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</si>
  <si>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</si>
  <si>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</si>
  <si>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</si>
  <si>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</si>
  <si>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</si>
  <si>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</si>
  <si>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</si>
  <si>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</si>
  <si>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</si>
  <si>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</si>
  <si>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</si>
  <si>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</si>
  <si>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</si>
  <si>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</si>
  <si>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</si>
  <si>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</si>
  <si>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</si>
  <si>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</si>
  <si>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</si>
  <si>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</si>
  <si>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</si>
  <si>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</si>
  <si>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</si>
  <si>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</si>
  <si>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</si>
  <si>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</si>
  <si>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</si>
  <si>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</si>
  <si>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</si>
  <si>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</si>
  <si>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</si>
  <si>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</si>
  <si>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</si>
  <si>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</si>
  <si>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</si>
  <si>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</si>
  <si>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</si>
  <si>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</si>
  <si>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</si>
  <si>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</si>
  <si>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</si>
  <si>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</si>
  <si>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</si>
  <si>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</si>
  <si>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</si>
  <si>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</si>
  <si>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</si>
  <si>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</si>
  <si>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</si>
  <si>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</si>
  <si>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</si>
  <si>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</si>
  <si>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</si>
  <si>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</si>
  <si>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</si>
  <si>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</si>
  <si>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</si>
  <si>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</si>
  <si>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</si>
  <si>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</si>
  <si>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</si>
  <si>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</si>
  <si>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</si>
  <si>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</si>
  <si>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</si>
  <si>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</si>
  <si>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</si>
  <si>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</si>
  <si>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</si>
  <si>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</si>
  <si>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</si>
  <si>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</si>
  <si>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</si>
  <si>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</si>
  <si>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</si>
  <si>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</si>
  <si>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</si>
  <si>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</si>
  <si>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</si>
  <si>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</si>
  <si>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</si>
  <si>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</si>
  <si>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</si>
  <si>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</si>
  <si>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</si>
  <si>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</si>
  <si>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</si>
  <si>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</si>
  <si>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</si>
  <si>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</si>
  <si>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</si>
  <si>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</si>
  <si>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</si>
  <si>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</si>
  <si>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</si>
  <si>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</si>
  <si>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</si>
  <si>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</si>
  <si>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</si>
  <si>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</si>
  <si>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</si>
  <si>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</si>
  <si>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</si>
  <si>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</si>
  <si>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</si>
  <si>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</si>
  <si>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</si>
  <si>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</si>
  <si>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</si>
  <si>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</si>
  <si>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</si>
  <si>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</si>
  <si>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</si>
  <si>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</si>
  <si>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</si>
  <si>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</si>
  <si>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</si>
  <si>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</si>
  <si>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</si>
  <si>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</si>
  <si>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</si>
  <si>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</si>
  <si>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</si>
  <si>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</si>
  <si>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</si>
  <si>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</si>
  <si>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</si>
  <si>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</si>
  <si>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</si>
  <si>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</si>
  <si>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</si>
  <si>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</si>
  <si>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</si>
  <si>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</si>
  <si>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</si>
  <si>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</si>
  <si>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</si>
  <si>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</si>
  <si>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</si>
  <si>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</si>
  <si>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</si>
  <si>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</si>
  <si>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</si>
  <si>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</si>
  <si>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</si>
  <si>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</si>
  <si>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</si>
  <si>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</si>
  <si>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</si>
  <si>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</si>
  <si>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</si>
  <si>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</si>
  <si>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</si>
  <si>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</si>
  <si>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</si>
  <si>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</si>
  <si>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</si>
  <si>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</si>
  <si>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</si>
  <si>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</si>
  <si>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</si>
  <si>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</si>
  <si>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</si>
  <si>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</si>
  <si>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</si>
  <si>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</si>
  <si>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</si>
  <si>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</si>
  <si>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</si>
  <si>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</si>
  <si>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</si>
  <si>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</si>
  <si>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</si>
  <si>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</si>
  <si>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</si>
  <si>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</si>
  <si>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</si>
  <si>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</si>
  <si>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</si>
  <si>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</si>
  <si>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</si>
  <si>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</si>
  <si>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</si>
  <si>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</si>
  <si>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</si>
  <si>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</si>
  <si>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</si>
  <si>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</si>
  <si>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</si>
  <si>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</si>
  <si>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</si>
  <si>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</si>
  <si>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</si>
  <si>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</si>
  <si>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</si>
  <si>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</si>
  <si>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</si>
  <si>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</si>
  <si>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</si>
  <si>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</si>
  <si>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</si>
  <si>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</si>
  <si>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</si>
  <si>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</si>
  <si>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</si>
  <si>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</si>
  <si>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</si>
  <si>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</si>
  <si>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</si>
  <si>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</si>
  <si>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</si>
  <si>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</si>
  <si>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</si>
  <si>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</si>
  <si>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</si>
  <si>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</si>
  <si>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</si>
  <si>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</si>
  <si>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</si>
  <si>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</si>
  <si>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</si>
  <si>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</si>
  <si>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</si>
  <si>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</si>
  <si>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</si>
  <si>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</si>
  <si>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</si>
  <si>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</si>
  <si>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</si>
  <si>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</si>
  <si>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</si>
  <si>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</si>
  <si>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</si>
  <si>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</si>
  <si>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</si>
  <si>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</si>
  <si>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</si>
  <si>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</si>
  <si>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</si>
  <si>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</si>
  <si>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</si>
  <si>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</si>
  <si>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</si>
  <si>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</si>
  <si>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</si>
  <si>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</si>
  <si>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</si>
  <si>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</si>
  <si>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</si>
  <si>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</si>
  <si>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</si>
  <si>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</si>
  <si>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</si>
  <si>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</si>
  <si>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</si>
  <si>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</si>
  <si>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</si>
  <si>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</si>
  <si>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</si>
  <si>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</si>
  <si>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</si>
  <si>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</si>
  <si>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</si>
  <si>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</si>
  <si>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</si>
  <si>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</si>
  <si>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</si>
  <si>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</si>
  <si>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</si>
  <si>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</si>
  <si>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</si>
  <si>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</si>
  <si>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</si>
  <si>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</si>
  <si>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</si>
  <si>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</si>
  <si>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</si>
  <si>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</si>
  <si>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</si>
  <si>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</si>
  <si>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</si>
  <si>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</si>
  <si>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</si>
  <si>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</si>
  <si>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</si>
  <si>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</si>
  <si>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</si>
  <si>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</si>
  <si>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</si>
  <si>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</si>
  <si>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</si>
  <si>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</si>
  <si>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</si>
  <si>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</si>
  <si>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</si>
  <si>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</si>
  <si>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</si>
  <si>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</si>
  <si>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</si>
  <si>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</si>
  <si>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</si>
  <si>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</si>
  <si>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</si>
  <si>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</si>
  <si>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</si>
  <si>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</si>
  <si>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</si>
  <si>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</si>
  <si>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</si>
  <si>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</si>
  <si>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</si>
  <si>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</si>
  <si>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</si>
  <si>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</si>
  <si>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</si>
  <si>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</si>
  <si>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</si>
  <si>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</si>
  <si>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</si>
  <si>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</si>
  <si>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</si>
  <si>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</si>
  <si>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</si>
  <si>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</si>
  <si>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</si>
  <si>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</si>
  <si>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</si>
  <si>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</si>
  <si>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</si>
  <si>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</si>
  <si>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</si>
  <si>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</si>
  <si>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</si>
  <si>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</si>
  <si>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</si>
  <si>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</si>
  <si>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</si>
  <si>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</si>
  <si>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</si>
  <si>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</si>
  <si>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</si>
  <si>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</si>
  <si>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</si>
  <si>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</si>
  <si>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</si>
  <si>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</si>
  <si>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</si>
  <si>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</si>
  <si>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</si>
  <si>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</si>
  <si>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</si>
  <si>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</si>
  <si>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</si>
  <si>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</si>
  <si>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</si>
  <si>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</si>
  <si>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</si>
  <si>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</si>
  <si>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</si>
  <si>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</si>
  <si>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</si>
  <si>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</si>
  <si>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</si>
  <si>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</si>
  <si>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</si>
  <si>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</si>
  <si>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</si>
  <si>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</si>
  <si>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</si>
  <si>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</si>
  <si>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</si>
  <si>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</si>
  <si>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</si>
  <si>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</si>
  <si>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</si>
  <si>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</si>
  <si>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</si>
  <si>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</si>
  <si>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</si>
  <si>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</si>
  <si>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</si>
  <si>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</si>
  <si>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</si>
  <si>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</si>
  <si>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</si>
  <si>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</si>
  <si>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</si>
  <si>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</si>
  <si>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</si>
  <si>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</si>
  <si>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</si>
  <si>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</si>
  <si>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</si>
  <si>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</si>
  <si>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</si>
  <si>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</si>
  <si>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</si>
  <si>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</si>
  <si>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</si>
  <si>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</si>
  <si>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</si>
  <si>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</si>
  <si>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</si>
  <si>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</si>
  <si>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</si>
  <si>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</si>
  <si>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</si>
  <si>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</si>
  <si>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</si>
  <si>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</si>
  <si>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</si>
  <si>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</si>
  <si>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</si>
  <si>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</si>
  <si>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</si>
  <si>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</si>
  <si>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</si>
  <si>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</si>
  <si>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</si>
  <si>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</si>
  <si>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</si>
  <si>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</si>
  <si>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</si>
  <si>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</si>
  <si>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</si>
  <si>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</si>
  <si>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</si>
  <si>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</si>
  <si>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</si>
  <si>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</si>
  <si>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</si>
  <si>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</si>
  <si>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</si>
  <si>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</si>
  <si>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</si>
  <si>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</si>
  <si>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</si>
  <si>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</si>
  <si>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</si>
  <si>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</si>
  <si>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</si>
  <si>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</si>
  <si>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</si>
  <si>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</si>
  <si>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</si>
  <si>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</si>
  <si>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</si>
  <si>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</si>
  <si>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</si>
  <si>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</si>
  <si>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</si>
  <si>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</si>
  <si>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</si>
  <si>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</si>
  <si>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</si>
  <si>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</si>
  <si>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</si>
  <si>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</si>
  <si>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</si>
  <si>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</si>
  <si>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</si>
  <si>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</si>
  <si>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</si>
  <si>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</si>
  <si>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</si>
  <si>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</si>
  <si>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</si>
  <si>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</si>
  <si>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</si>
  <si>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</si>
  <si>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</si>
  <si>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</si>
  <si>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</si>
  <si>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</si>
  <si>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</si>
  <si>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</si>
  <si>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</si>
  <si>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</si>
  <si>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</si>
  <si>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</si>
  <si>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</si>
  <si>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</si>
  <si>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</si>
  <si>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</si>
  <si>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</si>
  <si>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</si>
  <si>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</si>
  <si>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</si>
  <si>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</si>
  <si>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</si>
  <si>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</si>
  <si>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</si>
  <si>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</si>
  <si>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</si>
  <si>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</si>
  <si>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</si>
  <si>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</si>
  <si>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</si>
  <si>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</si>
  <si>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</si>
  <si>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</si>
  <si>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</si>
  <si>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</si>
  <si>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</si>
  <si>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</si>
  <si>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</si>
  <si>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</si>
  <si>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</si>
  <si>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</si>
  <si>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</si>
  <si>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</si>
  <si>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</si>
  <si>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</si>
  <si>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</si>
  <si>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</si>
  <si>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</si>
  <si>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</si>
  <si>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</si>
  <si>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</si>
  <si>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</si>
  <si>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</si>
  <si>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</si>
  <si>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</si>
  <si>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</si>
  <si>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</si>
  <si>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</si>
  <si>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</si>
  <si>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</si>
  <si>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</si>
  <si>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</si>
  <si>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</si>
  <si>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</si>
  <si>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</si>
  <si>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</si>
  <si>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</si>
  <si>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</si>
  <si>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</si>
  <si>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</si>
  <si>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</si>
  <si>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</si>
  <si>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</si>
  <si>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</si>
  <si>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</si>
  <si>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</si>
  <si>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</si>
  <si>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</si>
  <si>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</si>
  <si>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</si>
  <si>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</si>
  <si>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</si>
  <si>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</si>
  <si>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</si>
  <si>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</si>
  <si>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</si>
  <si>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</si>
  <si>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</si>
  <si>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</si>
  <si>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</si>
  <si>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</si>
  <si>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</si>
  <si>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</si>
  <si>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</si>
  <si>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</si>
  <si>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</si>
  <si>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</si>
  <si>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</si>
  <si>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</si>
  <si>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</si>
  <si>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</si>
  <si>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</si>
  <si>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</si>
  <si>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</si>
  <si>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</si>
  <si>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</si>
  <si>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</si>
  <si>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</si>
  <si>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</si>
  <si>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</si>
  <si>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</si>
  <si>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</si>
  <si>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</si>
  <si>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</si>
  <si>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</si>
  <si>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</si>
  <si>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</si>
  <si>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</si>
  <si>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</si>
  <si>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</si>
  <si>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</si>
  <si>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</si>
  <si>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</si>
  <si>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</si>
  <si>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</si>
  <si>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</si>
  <si>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</si>
  <si>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</si>
  <si>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</si>
  <si>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</si>
  <si>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</si>
  <si>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</si>
  <si>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</si>
  <si>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</si>
  <si>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</si>
  <si>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</si>
  <si>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</si>
  <si>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</si>
  <si>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</si>
  <si>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</si>
  <si>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</si>
  <si>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</si>
  <si>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</si>
  <si>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</si>
  <si>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</si>
  <si>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</si>
  <si>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</si>
  <si>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</si>
  <si>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</si>
  <si>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</si>
  <si>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</si>
  <si>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</si>
  <si>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</si>
  <si>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</si>
  <si>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</si>
  <si>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</si>
  <si>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</si>
  <si>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</si>
  <si>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</si>
  <si>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</si>
  <si>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</si>
  <si>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</si>
  <si>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</si>
  <si>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</si>
  <si>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</si>
  <si>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</si>
  <si>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</si>
  <si>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</si>
  <si>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</si>
  <si>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</si>
  <si>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</si>
  <si>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</si>
  <si>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</si>
  <si>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</si>
  <si>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</si>
  <si>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</si>
  <si>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</si>
  <si>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</si>
  <si>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</si>
  <si>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</si>
  <si>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</si>
  <si>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</si>
  <si>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</si>
  <si>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</si>
  <si>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</si>
  <si>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</si>
  <si>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</si>
  <si>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</si>
  <si>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</si>
  <si>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</si>
  <si>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</si>
  <si>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</si>
  <si>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</si>
  <si>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</si>
  <si>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</si>
  <si>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</si>
  <si>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</si>
  <si>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</si>
  <si>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</si>
  <si>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</si>
  <si>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</si>
  <si>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</si>
  <si>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</si>
  <si>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</si>
  <si>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</si>
  <si>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</si>
  <si>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</si>
  <si>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</si>
  <si>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</si>
  <si>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</si>
  <si>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</si>
  <si>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</si>
  <si>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</si>
  <si>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</si>
  <si>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</si>
  <si>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</si>
  <si>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</si>
  <si>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</si>
  <si>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</si>
  <si>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</si>
  <si>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</si>
  <si>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</si>
  <si>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</si>
  <si>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</si>
  <si>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</si>
  <si>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</si>
  <si>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</si>
  <si>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</si>
  <si>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</si>
  <si>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</si>
  <si>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</si>
  <si>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</si>
  <si>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</si>
  <si>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</si>
  <si>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</si>
  <si>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</si>
  <si>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</si>
  <si>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</si>
  <si>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</si>
  <si>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</si>
  <si>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</si>
  <si>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</si>
  <si>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</si>
  <si>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</si>
  <si>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</si>
  <si>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</si>
  <si>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</si>
  <si>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</si>
  <si>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</si>
  <si>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</si>
  <si>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</si>
  <si>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</si>
  <si>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</si>
  <si>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</si>
  <si>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</si>
  <si>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</si>
  <si>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</si>
  <si>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</si>
  <si>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</si>
  <si>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</si>
  <si>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</si>
  <si>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</si>
  <si>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</si>
  <si>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</si>
  <si>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</si>
  <si>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</si>
  <si>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</si>
  <si>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</si>
  <si>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</si>
  <si>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</si>
  <si>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</si>
  <si>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</si>
  <si>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</si>
  <si>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</si>
  <si>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</si>
  <si>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</si>
  <si>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</si>
  <si>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</si>
  <si>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</si>
  <si>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</si>
  <si>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</si>
  <si>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</si>
  <si>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</si>
  <si>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</si>
  <si>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</si>
  <si>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</si>
  <si>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</si>
  <si>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</si>
  <si>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</si>
  <si>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</si>
  <si>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</si>
  <si>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</si>
  <si>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</si>
  <si>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</si>
  <si>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</si>
  <si>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</si>
  <si>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</si>
  <si>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</si>
  <si>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</si>
  <si>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</si>
  <si>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</si>
  <si>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</si>
  <si>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</si>
  <si>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</si>
  <si>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</si>
  <si>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</si>
  <si>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</si>
  <si>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</si>
  <si>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</si>
  <si>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</si>
  <si>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</si>
  <si>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</si>
  <si>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</si>
  <si>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</si>
  <si>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</si>
  <si>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</si>
  <si>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</si>
  <si>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</si>
  <si>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</si>
  <si>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</si>
  <si>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</si>
  <si>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</si>
  <si>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</si>
  <si>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</si>
  <si>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</si>
  <si>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</si>
  <si>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</si>
  <si>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</si>
  <si>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</si>
  <si>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</si>
  <si>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</si>
  <si>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</si>
  <si>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</si>
  <si>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</si>
  <si>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</si>
  <si>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</si>
  <si>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</si>
  <si>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</si>
  <si>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</si>
  <si>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</si>
  <si>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</si>
  <si>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</si>
  <si>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</si>
  <si>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</si>
  <si>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</si>
  <si>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</si>
  <si>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</si>
  <si>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</si>
  <si>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</si>
  <si>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</si>
  <si>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</si>
  <si>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</si>
  <si>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</si>
  <si>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</si>
  <si>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</si>
  <si>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</si>
  <si>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</si>
  <si>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</si>
  <si>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</si>
  <si>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</si>
  <si>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</si>
  <si>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</si>
  <si>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</si>
  <si>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</si>
  <si>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</si>
  <si>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</si>
  <si>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</si>
  <si>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</si>
  <si>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</si>
  <si>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</si>
  <si>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</si>
  <si>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</si>
  <si>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</si>
  <si>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</si>
  <si>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</si>
  <si>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</si>
  <si>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</si>
  <si>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</si>
  <si>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</si>
  <si>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</si>
  <si>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</si>
  <si>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</si>
  <si>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</si>
  <si>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</si>
  <si>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</si>
  <si>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</si>
  <si>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</si>
  <si>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</si>
  <si>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</si>
  <si>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</si>
  <si>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</si>
  <si>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</si>
  <si>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</si>
  <si>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</si>
  <si>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</si>
  <si>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</si>
  <si>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</si>
  <si>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</si>
  <si>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</si>
  <si>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</si>
  <si>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</si>
  <si>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</si>
  <si>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</si>
  <si>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</si>
  <si>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</si>
  <si>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</si>
  <si>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</si>
  <si>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</si>
  <si>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</si>
  <si>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</si>
  <si>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</si>
  <si>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</si>
  <si>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</si>
  <si>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</si>
  <si>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</si>
  <si>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</si>
  <si>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</si>
  <si>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</si>
  <si>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</si>
  <si>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</si>
  <si>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</si>
  <si>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</si>
  <si>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</si>
  <si>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</si>
  <si>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</si>
  <si>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</si>
  <si>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</si>
  <si>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</si>
  <si>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</si>
  <si>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</si>
  <si>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</si>
  <si>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</si>
  <si>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</si>
  <si>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</si>
  <si>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</si>
  <si>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</si>
  <si>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</si>
  <si>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</si>
  <si>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</si>
  <si>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</si>
  <si>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</si>
  <si>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</si>
  <si>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</si>
  <si>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</si>
  <si>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</si>
  <si>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</si>
  <si>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</si>
  <si>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</si>
  <si>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</si>
  <si>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</si>
  <si>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</si>
  <si>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</si>
  <si>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</si>
  <si>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</si>
  <si>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</si>
  <si>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</si>
  <si>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</si>
  <si>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</si>
  <si>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</si>
  <si>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</si>
  <si>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</si>
  <si>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</si>
  <si>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</si>
  <si>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</si>
  <si>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</si>
  <si>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</si>
  <si>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</si>
  <si>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</si>
  <si>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</si>
  <si>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</si>
  <si>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</si>
  <si>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</si>
  <si>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</si>
  <si>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</si>
  <si>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</si>
  <si>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</si>
  <si>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</si>
  <si>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</si>
  <si>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</si>
  <si>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</si>
  <si>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</si>
  <si>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</si>
  <si>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</si>
  <si>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</si>
  <si>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</si>
  <si>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</si>
  <si>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</si>
  <si>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</si>
  <si>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</si>
  <si>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</si>
  <si>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</si>
  <si>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</si>
  <si>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</si>
  <si>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</si>
  <si>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</si>
  <si>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</si>
  <si>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</si>
  <si>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</si>
  <si>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</si>
  <si>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</si>
  <si>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</si>
  <si>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</si>
  <si>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</si>
  <si>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</si>
  <si>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</si>
  <si>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</si>
  <si>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</si>
  <si>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</si>
  <si>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</si>
  <si>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</si>
  <si>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</si>
  <si>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</si>
  <si>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</si>
  <si>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</si>
  <si>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</si>
  <si>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</si>
  <si>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</si>
  <si>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</si>
  <si>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</si>
  <si>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</si>
  <si>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</si>
  <si>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</si>
  <si>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</si>
  <si>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</si>
  <si>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</si>
  <si>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</si>
  <si>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</si>
  <si>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</si>
  <si>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</si>
  <si>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</si>
  <si>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</si>
  <si>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</si>
  <si>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</si>
  <si>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</si>
  <si>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</si>
  <si>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</si>
  <si>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</si>
  <si>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</si>
  <si>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</si>
  <si>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</si>
  <si>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</si>
  <si>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</si>
  <si>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</si>
  <si>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</si>
  <si>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</si>
  <si>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</si>
  <si>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</si>
  <si>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</si>
  <si>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</si>
  <si>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</si>
  <si>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</si>
  <si>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</si>
  <si>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</si>
  <si>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</si>
  <si>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</si>
  <si>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</si>
  <si>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</si>
  <si>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</si>
  <si>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</si>
  <si>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</si>
  <si>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</si>
  <si>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</si>
  <si>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</si>
  <si>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</si>
  <si>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</si>
  <si>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</si>
  <si>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</si>
  <si>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</si>
  <si>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</si>
  <si>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</si>
  <si>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</si>
  <si>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</si>
  <si>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</si>
  <si>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</si>
  <si>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</si>
  <si>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</si>
  <si>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</si>
  <si>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</si>
  <si>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</si>
  <si>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</si>
  <si>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</si>
  <si>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</si>
  <si>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</si>
  <si>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</si>
  <si>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</si>
  <si>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</si>
  <si>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</si>
  <si>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</si>
  <si>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</si>
  <si>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</si>
  <si>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</si>
  <si>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</si>
  <si>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</si>
  <si>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</si>
  <si>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</si>
  <si>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</si>
  <si>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</si>
  <si>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</si>
  <si>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</si>
  <si>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</si>
  <si>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</si>
  <si>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</si>
  <si>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</si>
  <si>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</si>
  <si>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</si>
  <si>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</si>
  <si>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</si>
  <si>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</si>
  <si>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</si>
  <si>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</si>
  <si>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</si>
  <si>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</si>
  <si>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</si>
  <si>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</si>
  <si>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</si>
  <si>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</si>
  <si>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</si>
  <si>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</si>
  <si>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</si>
  <si>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</si>
  <si>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</si>
  <si>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</si>
  <si>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</si>
  <si>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</si>
  <si>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</si>
  <si>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</si>
  <si>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</si>
  <si>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</si>
  <si>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</si>
  <si>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</si>
  <si>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</si>
  <si>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</si>
  <si>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</si>
  <si>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</si>
  <si>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</si>
  <si>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</si>
  <si>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</si>
  <si>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</si>
  <si>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</si>
  <si>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</si>
  <si>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</si>
  <si>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</si>
  <si>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</si>
  <si>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</si>
  <si>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</si>
  <si>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</si>
  <si>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</si>
  <si>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</si>
  <si>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</si>
  <si>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</si>
  <si>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</si>
  <si>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</si>
  <si>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</si>
  <si>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</si>
  <si>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</si>
  <si>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</si>
  <si>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</si>
  <si>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</si>
  <si>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</si>
  <si>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</si>
  <si>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</si>
  <si>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</si>
  <si>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</si>
  <si>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</si>
  <si>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</si>
  <si>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</si>
  <si>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</si>
  <si>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</si>
  <si>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</si>
  <si>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</si>
  <si>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</si>
  <si>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</si>
  <si>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</si>
  <si>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</si>
  <si>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</si>
  <si>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</si>
  <si>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</si>
  <si>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</si>
  <si>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</si>
  <si>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</si>
  <si>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</si>
  <si>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</si>
  <si>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</si>
  <si>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</si>
  <si>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</si>
  <si>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</si>
  <si>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</si>
  <si>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</si>
  <si>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</si>
  <si>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</si>
  <si>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</si>
  <si>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</si>
  <si>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</si>
  <si>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</si>
  <si>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</si>
  <si>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</si>
  <si>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</si>
  <si>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</si>
  <si>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</si>
  <si>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</si>
  <si>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</si>
  <si>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</si>
  <si>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</si>
  <si>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</si>
  <si>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</si>
  <si>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</si>
  <si>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</si>
  <si>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</si>
  <si>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</si>
  <si>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</si>
  <si>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</si>
  <si>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לתגמולים ולפיצויים- מסלול עוקב מדדי מניות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</si>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</sst>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47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1409</v>
      </c>
      <c r="D1" s="8" t="s">
        <v>74</v>
      </c>
    </row>
    <row r="2" spans="1:4">
      <c r="A2" s="139" t="s">
        <v>64</v>
      </c>
      <c r="B2" s="9">
        <v>1</v>
      </c>
      <c r="C2" s="9" t="s">
        <v>65</v>
      </c>
      <c r="D2" s="10" t="s">
        <v>79</v>
      </c>
    </row>
    <row r="3" spans="1:4">
      <c r="A3" s="140"/>
      <c r="B3" s="9">
        <v>2</v>
      </c>
      <c r="C3" s="9" t="s">
        <v>66</v>
      </c>
      <c r="D3" s="10" t="s">
        <v>67</v>
      </c>
    </row>
    <row r="4" spans="1:4">
      <c r="A4" s="140"/>
      <c r="B4" s="9">
        <v>3</v>
      </c>
      <c r="C4" s="9" t="s">
        <v>68</v>
      </c>
      <c r="D4" s="10" t="s">
        <v>69</v>
      </c>
    </row>
    <row r="5" spans="1:4">
      <c r="A5" s="140"/>
      <c r="B5" s="141">
        <v>4</v>
      </c>
      <c r="C5" s="9" t="s">
        <v>70</v>
      </c>
      <c r="D5" s="10" t="s">
        <v>75</v>
      </c>
    </row>
    <row r="6" spans="1:4">
      <c r="A6" s="140"/>
      <c r="B6" s="142"/>
      <c r="C6" s="69"/>
      <c r="D6" s="58" t="s">
        <v>909</v>
      </c>
    </row>
    <row r="7" spans="1:4">
      <c r="A7" s="140"/>
      <c r="B7" s="142"/>
      <c r="C7" s="69"/>
      <c r="D7" s="57" t="s">
        <v>1384</v>
      </c>
    </row>
    <row r="8" spans="1:4">
      <c r="A8" s="140"/>
      <c r="B8" s="142"/>
      <c r="C8" s="69"/>
      <c r="D8" s="59" t="s">
        <v>1385</v>
      </c>
    </row>
    <row r="9" spans="1:4">
      <c r="A9" s="140"/>
      <c r="B9" s="142"/>
      <c r="C9" s="69"/>
      <c r="D9" s="10" t="s">
        <v>76</v>
      </c>
    </row>
    <row r="10" spans="1:4">
      <c r="A10" s="140"/>
      <c r="B10" s="142"/>
      <c r="C10" s="69"/>
      <c r="D10" s="58" t="s">
        <v>77</v>
      </c>
    </row>
    <row r="11" spans="1:4">
      <c r="A11" s="140"/>
      <c r="B11" s="142"/>
      <c r="C11" s="69"/>
      <c r="D11" s="57" t="s">
        <v>78</v>
      </c>
    </row>
    <row r="12" spans="1:4">
      <c r="A12" s="140"/>
      <c r="B12" s="142"/>
      <c r="C12" s="69"/>
      <c r="D12" s="10" t="s">
        <v>71</v>
      </c>
    </row>
    <row r="13" spans="1:4">
      <c r="A13" s="140"/>
      <c r="B13" s="142"/>
      <c r="C13" s="69"/>
      <c r="D13" s="10" t="s">
        <v>1377</v>
      </c>
    </row>
    <row r="14" spans="1:4">
      <c r="A14" s="140"/>
      <c r="B14" s="142"/>
      <c r="C14" s="69"/>
      <c r="D14" s="10" t="s">
        <v>1378</v>
      </c>
    </row>
    <row r="15" spans="1:4">
      <c r="A15" s="143" t="s">
        <v>905</v>
      </c>
      <c r="B15" s="9">
        <v>5</v>
      </c>
      <c r="C15" s="9" t="s">
        <v>72</v>
      </c>
      <c r="D15" s="10" t="s">
        <v>73</v>
      </c>
    </row>
    <row r="16" spans="1:4">
      <c r="A16" s="144"/>
      <c r="B16" s="9">
        <v>6</v>
      </c>
      <c r="C16" s="69"/>
      <c r="D16" s="9" t="s">
        <v>904</v>
      </c>
    </row>
    <row r="17" spans="1:4" ht="28.5">
      <c r="A17" s="145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15055</v>
      </c>
      <c r="C21" s="27"/>
    </row>
    <row r="22" spans="1:4" ht="15">
      <c r="A22" s="13" t="s">
        <v>886</v>
      </c>
      <c r="B22" s="30" t="s">
        <v>1408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ולפיצויים- מסלול עוקב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512237744_g15055_Yield424.xlsx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15055</v>
      </c>
      <c r="D2" s="146"/>
      <c r="E2" s="146"/>
    </row>
    <row r="3" spans="1:31" ht="18.75">
      <c r="A3" s="112"/>
      <c r="B3" s="7" t="s">
        <v>28</v>
      </c>
      <c r="C3" s="24" t="str">
        <f ca="1">הנחיות!B23</f>
        <v>מגדל לתגמולים ולפיצויים- מסלול עוקב מדדי מניות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115"/>
      <c r="D7" s="116"/>
      <c r="E7" s="117"/>
      <c r="F7" s="118"/>
      <c r="G7" s="115"/>
      <c r="H7" s="116"/>
      <c r="I7" s="79">
        <v>-9.2808809207799142E-3</v>
      </c>
      <c r="J7" s="80">
        <v>0.41231633330454098</v>
      </c>
      <c r="K7" s="77">
        <v>7.8167249611833054E-3</v>
      </c>
      <c r="L7" s="78">
        <v>0.4403840945415145</v>
      </c>
      <c r="M7" s="79">
        <v>7.0136716012624192E-3</v>
      </c>
      <c r="N7" s="80">
        <v>0.42743722872070439</v>
      </c>
      <c r="O7" s="77">
        <v>-9.2263328760364902E-3</v>
      </c>
      <c r="P7" s="78">
        <v>0.56714857201629842</v>
      </c>
      <c r="Q7" s="79">
        <v>-3.8424684753837579E-3</v>
      </c>
      <c r="R7" s="80">
        <v>0.56579015338833571</v>
      </c>
      <c r="S7" s="77">
        <v>3.8650123521966431E-3</v>
      </c>
      <c r="T7" s="78">
        <v>0.53891633142170492</v>
      </c>
      <c r="U7" s="79">
        <v>3.0316518738840587E-3</v>
      </c>
      <c r="V7" s="80">
        <v>0.50921705897161451</v>
      </c>
      <c r="W7" s="77">
        <v>3.6922089679112527E-3</v>
      </c>
      <c r="X7" s="78">
        <v>0.50020346455576914</v>
      </c>
      <c r="Y7" s="79">
        <v>6.143572382386395E-3</v>
      </c>
      <c r="Z7" s="81">
        <v>0.53108892306541677</v>
      </c>
      <c r="AE7" s="3"/>
    </row>
    <row r="8" spans="1:31" ht="30">
      <c r="A8" s="112"/>
      <c r="B8" s="82" t="s">
        <v>908</v>
      </c>
      <c r="C8" s="115"/>
      <c r="D8" s="116"/>
      <c r="E8" s="117"/>
      <c r="F8" s="118"/>
      <c r="G8" s="115"/>
      <c r="H8" s="116"/>
      <c r="I8" s="79">
        <v>0</v>
      </c>
      <c r="J8" s="80">
        <v>0</v>
      </c>
      <c r="K8" s="77">
        <v>0</v>
      </c>
      <c r="L8" s="78">
        <v>0</v>
      </c>
      <c r="M8" s="79">
        <v>0</v>
      </c>
      <c r="N8" s="80">
        <v>0</v>
      </c>
      <c r="O8" s="77">
        <v>0</v>
      </c>
      <c r="P8" s="78">
        <v>0</v>
      </c>
      <c r="Q8" s="79">
        <v>0</v>
      </c>
      <c r="R8" s="80">
        <v>0</v>
      </c>
      <c r="S8" s="77">
        <v>0</v>
      </c>
      <c r="T8" s="78">
        <v>0</v>
      </c>
      <c r="U8" s="79">
        <v>0</v>
      </c>
      <c r="V8" s="80">
        <v>0</v>
      </c>
      <c r="W8" s="77">
        <v>0</v>
      </c>
      <c r="X8" s="78">
        <v>0</v>
      </c>
      <c r="Y8" s="79">
        <v>0</v>
      </c>
      <c r="Z8" s="81">
        <v>0</v>
      </c>
      <c r="AE8" s="3"/>
    </row>
    <row r="9" spans="1:31">
      <c r="A9" s="112"/>
      <c r="B9" s="83" t="s">
        <v>2</v>
      </c>
      <c r="C9" s="115"/>
      <c r="D9" s="116"/>
      <c r="E9" s="117"/>
      <c r="F9" s="118"/>
      <c r="G9" s="115"/>
      <c r="H9" s="116"/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115"/>
      <c r="D10" s="116"/>
      <c r="E10" s="117"/>
      <c r="F10" s="118"/>
      <c r="G10" s="115"/>
      <c r="H10" s="116"/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115"/>
      <c r="D11" s="116"/>
      <c r="E11" s="117"/>
      <c r="F11" s="118"/>
      <c r="G11" s="115"/>
      <c r="H11" s="116"/>
      <c r="I11" s="79">
        <v>0</v>
      </c>
      <c r="J11" s="80">
        <v>0</v>
      </c>
      <c r="K11" s="77">
        <v>0</v>
      </c>
      <c r="L11" s="78">
        <v>0</v>
      </c>
      <c r="M11" s="79">
        <v>0</v>
      </c>
      <c r="N11" s="80">
        <v>0</v>
      </c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115"/>
      <c r="D12" s="116"/>
      <c r="E12" s="117"/>
      <c r="F12" s="118"/>
      <c r="G12" s="115"/>
      <c r="H12" s="116"/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115"/>
      <c r="D13" s="116"/>
      <c r="E13" s="117"/>
      <c r="F13" s="118"/>
      <c r="G13" s="115"/>
      <c r="H13" s="116"/>
      <c r="I13" s="79">
        <v>0</v>
      </c>
      <c r="J13" s="80">
        <v>0</v>
      </c>
      <c r="K13" s="77">
        <v>3.0391902305564591E-6</v>
      </c>
      <c r="L13" s="78">
        <v>0</v>
      </c>
      <c r="M13" s="79">
        <v>3.8028357607706957E-6</v>
      </c>
      <c r="N13" s="80">
        <v>0</v>
      </c>
      <c r="O13" s="77">
        <v>8.6513045906710115E-7</v>
      </c>
      <c r="P13" s="78">
        <v>0</v>
      </c>
      <c r="Q13" s="79">
        <v>1.6874504073582031E-7</v>
      </c>
      <c r="R13" s="80">
        <v>0</v>
      </c>
      <c r="S13" s="77">
        <v>2.1749266838171663E-7</v>
      </c>
      <c r="T13" s="78">
        <v>0</v>
      </c>
      <c r="U13" s="79">
        <v>0</v>
      </c>
      <c r="V13" s="80">
        <v>0</v>
      </c>
      <c r="W13" s="77">
        <v>-2.3623421541248935E-4</v>
      </c>
      <c r="X13" s="78">
        <v>0</v>
      </c>
      <c r="Y13" s="79">
        <v>0</v>
      </c>
      <c r="Z13" s="81">
        <v>0</v>
      </c>
      <c r="AE13" s="3"/>
    </row>
    <row r="14" spans="1:31">
      <c r="A14" s="112"/>
      <c r="B14" s="83" t="s">
        <v>62</v>
      </c>
      <c r="C14" s="115"/>
      <c r="D14" s="116"/>
      <c r="E14" s="117"/>
      <c r="F14" s="118"/>
      <c r="G14" s="115"/>
      <c r="H14" s="116"/>
      <c r="I14" s="79">
        <v>-2.2430237681470067E-2</v>
      </c>
      <c r="J14" s="80">
        <v>0.59297208497171772</v>
      </c>
      <c r="K14" s="77">
        <v>3.0474138345345292E-2</v>
      </c>
      <c r="L14" s="78">
        <v>0.55125628295485529</v>
      </c>
      <c r="M14" s="79">
        <v>4.3547246486807051E-2</v>
      </c>
      <c r="N14" s="80">
        <v>0.56259224661768836</v>
      </c>
      <c r="O14" s="77">
        <v>-5.9520006208377057E-3</v>
      </c>
      <c r="P14" s="78">
        <v>0.43756059201695874</v>
      </c>
      <c r="Q14" s="79">
        <v>-8.2468959527699625E-3</v>
      </c>
      <c r="R14" s="80">
        <v>0.44059407452335514</v>
      </c>
      <c r="S14" s="77">
        <v>2.5523231578241632E-2</v>
      </c>
      <c r="T14" s="78">
        <v>0.45651429123357101</v>
      </c>
      <c r="U14" s="79">
        <v>-7.6356812820957474E-4</v>
      </c>
      <c r="V14" s="80">
        <v>0.46045383618674057</v>
      </c>
      <c r="W14" s="77">
        <v>2.1220761485675189E-2</v>
      </c>
      <c r="X14" s="78">
        <v>0.46091535074911666</v>
      </c>
      <c r="Y14" s="79">
        <v>4.8118342062517354E-3</v>
      </c>
      <c r="Z14" s="81">
        <v>0.45308937282351386</v>
      </c>
      <c r="AE14" s="3"/>
    </row>
    <row r="15" spans="1:31">
      <c r="A15" s="112"/>
      <c r="B15" s="83" t="s">
        <v>7</v>
      </c>
      <c r="C15" s="115"/>
      <c r="D15" s="116"/>
      <c r="E15" s="117"/>
      <c r="F15" s="118"/>
      <c r="G15" s="115"/>
      <c r="H15" s="116"/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115"/>
      <c r="D16" s="116"/>
      <c r="E16" s="117"/>
      <c r="F16" s="118"/>
      <c r="G16" s="115"/>
      <c r="H16" s="116"/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115"/>
      <c r="D17" s="116"/>
      <c r="E17" s="117"/>
      <c r="F17" s="118"/>
      <c r="G17" s="115"/>
      <c r="H17" s="116"/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115"/>
      <c r="D18" s="116"/>
      <c r="E18" s="117"/>
      <c r="F18" s="118"/>
      <c r="G18" s="115"/>
      <c r="H18" s="116"/>
      <c r="I18" s="79">
        <v>-7.1888813977500146E-3</v>
      </c>
      <c r="J18" s="80">
        <v>-5.2884182762587299E-3</v>
      </c>
      <c r="K18" s="77">
        <v>1.239609750324085E-2</v>
      </c>
      <c r="L18" s="78">
        <v>8.3596225036301729E-3</v>
      </c>
      <c r="M18" s="79">
        <v>2.0735279076169757E-2</v>
      </c>
      <c r="N18" s="80">
        <v>9.9705246616072912E-3</v>
      </c>
      <c r="O18" s="77">
        <v>1.4774683664151268E-3</v>
      </c>
      <c r="P18" s="78">
        <v>-4.7091640332570664E-3</v>
      </c>
      <c r="Q18" s="79">
        <v>-1.1010804316887012E-2</v>
      </c>
      <c r="R18" s="80">
        <v>-6.3842279116909321E-3</v>
      </c>
      <c r="S18" s="77">
        <v>2.6071538576893344E-2</v>
      </c>
      <c r="T18" s="78">
        <v>4.5693773447241359E-3</v>
      </c>
      <c r="U18" s="79">
        <v>-1.488083745674484E-3</v>
      </c>
      <c r="V18" s="80">
        <v>3.0329104841644815E-2</v>
      </c>
      <c r="W18" s="77">
        <v>1.3633263761826045E-2</v>
      </c>
      <c r="X18" s="78">
        <v>3.8881184695114195E-2</v>
      </c>
      <c r="Y18" s="79">
        <v>-7.1554065886381291E-3</v>
      </c>
      <c r="Z18" s="81">
        <v>1.582170411106942E-2</v>
      </c>
      <c r="AE18" s="3"/>
    </row>
    <row r="19" spans="1:31">
      <c r="A19" s="112"/>
      <c r="B19" s="83" t="s">
        <v>11</v>
      </c>
      <c r="C19" s="115"/>
      <c r="D19" s="116"/>
      <c r="E19" s="117"/>
      <c r="F19" s="118"/>
      <c r="G19" s="115"/>
      <c r="H19" s="116"/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115"/>
      <c r="D20" s="116"/>
      <c r="E20" s="117"/>
      <c r="F20" s="118"/>
      <c r="G20" s="115"/>
      <c r="H20" s="116"/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115"/>
      <c r="D21" s="116"/>
      <c r="E21" s="117"/>
      <c r="F21" s="118"/>
      <c r="G21" s="115"/>
      <c r="H21" s="116"/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115"/>
      <c r="D22" s="116"/>
      <c r="E22" s="117"/>
      <c r="F22" s="118"/>
      <c r="G22" s="115"/>
      <c r="H22" s="116"/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115"/>
      <c r="D23" s="116"/>
      <c r="E23" s="117"/>
      <c r="F23" s="118"/>
      <c r="G23" s="115"/>
      <c r="H23" s="116"/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115"/>
      <c r="D24" s="116"/>
      <c r="E24" s="117"/>
      <c r="F24" s="118"/>
      <c r="G24" s="115"/>
      <c r="H24" s="116"/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115"/>
      <c r="D25" s="116"/>
      <c r="E25" s="117"/>
      <c r="F25" s="118"/>
      <c r="G25" s="115"/>
      <c r="H25" s="116"/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119"/>
      <c r="D26" s="120"/>
      <c r="E26" s="121"/>
      <c r="F26" s="122"/>
      <c r="G26" s="119"/>
      <c r="H26" s="120"/>
      <c r="I26" s="87">
        <v>-3.8899999999999997E-2</v>
      </c>
      <c r="J26" s="88">
        <v>1</v>
      </c>
      <c r="K26" s="85">
        <v>5.0689999999999999E-2</v>
      </c>
      <c r="L26" s="86">
        <v>1</v>
      </c>
      <c r="M26" s="87">
        <v>7.1300000000000002E-2</v>
      </c>
      <c r="N26" s="88">
        <v>1</v>
      </c>
      <c r="O26" s="85">
        <v>-1.37E-2</v>
      </c>
      <c r="P26" s="86">
        <v>1.0000000000000002</v>
      </c>
      <c r="Q26" s="87">
        <v>-2.3099999999999999E-2</v>
      </c>
      <c r="R26" s="88">
        <v>0.99999999999999989</v>
      </c>
      <c r="S26" s="85">
        <v>5.5460000000000002E-2</v>
      </c>
      <c r="T26" s="86">
        <v>1</v>
      </c>
      <c r="U26" s="87">
        <v>7.7999999999999999E-4</v>
      </c>
      <c r="V26" s="88">
        <v>0.99999999999999989</v>
      </c>
      <c r="W26" s="85">
        <v>3.8309999999999997E-2</v>
      </c>
      <c r="X26" s="86">
        <v>0.99999999999999989</v>
      </c>
      <c r="Y26" s="87">
        <v>3.8E-3</v>
      </c>
      <c r="Z26" s="89">
        <v>1</v>
      </c>
    </row>
    <row r="27" spans="1:31">
      <c r="A27" s="112"/>
      <c r="B27" s="90" t="s">
        <v>24</v>
      </c>
      <c r="C27" s="123"/>
      <c r="D27" s="124"/>
      <c r="E27" s="125"/>
      <c r="F27" s="124"/>
      <c r="G27" s="123"/>
      <c r="H27" s="124"/>
      <c r="I27" s="92">
        <v>-27.09</v>
      </c>
      <c r="J27" s="124"/>
      <c r="K27" s="91">
        <v>335.37</v>
      </c>
      <c r="L27" s="124"/>
      <c r="M27" s="92">
        <v>1691.24</v>
      </c>
      <c r="N27" s="124"/>
      <c r="O27" s="91">
        <v>-134.74700000000001</v>
      </c>
      <c r="P27" s="124"/>
      <c r="Q27" s="92">
        <v>-1569.06</v>
      </c>
      <c r="R27" s="124"/>
      <c r="S27" s="91">
        <v>5157.5789999999997</v>
      </c>
      <c r="T27" s="124"/>
      <c r="U27" s="92">
        <v>-108.56</v>
      </c>
      <c r="V27" s="124"/>
      <c r="W27" s="91">
        <v>4169.18</v>
      </c>
      <c r="X27" s="124"/>
      <c r="Y27" s="92">
        <v>85.22</v>
      </c>
      <c r="Z27" s="93"/>
    </row>
    <row r="28" spans="1:31">
      <c r="A28" s="11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94"/>
    </row>
    <row r="29" spans="1:31">
      <c r="A29" s="112"/>
      <c r="B29" s="76" t="s">
        <v>19</v>
      </c>
      <c r="C29" s="128"/>
      <c r="D29" s="129"/>
      <c r="E29" s="130"/>
      <c r="F29" s="131"/>
      <c r="G29" s="128"/>
      <c r="H29" s="129"/>
      <c r="I29" s="97">
        <v>-1.1534181477255701E-2</v>
      </c>
      <c r="J29" s="98">
        <v>0.42610985038222671</v>
      </c>
      <c r="K29" s="95">
        <v>1.0828100062735053E-2</v>
      </c>
      <c r="L29" s="96">
        <v>0.44351074729728535</v>
      </c>
      <c r="M29" s="97">
        <v>1.1096450761421222E-2</v>
      </c>
      <c r="N29" s="98">
        <v>0.43168502685511179</v>
      </c>
      <c r="O29" s="95">
        <v>-7.112060801425576E-3</v>
      </c>
      <c r="P29" s="96">
        <v>0.75689976543981596</v>
      </c>
      <c r="Q29" s="97">
        <v>-1.5842352956496865E-2</v>
      </c>
      <c r="R29" s="98">
        <v>0.779127833418224</v>
      </c>
      <c r="S29" s="95">
        <v>1.5717512160917928E-2</v>
      </c>
      <c r="T29" s="96">
        <v>0.76429630948949878</v>
      </c>
      <c r="U29" s="97">
        <v>3.3738212603610625E-3</v>
      </c>
      <c r="V29" s="98">
        <v>0.74449782547265131</v>
      </c>
      <c r="W29" s="95">
        <v>-2.0335137181725889E-3</v>
      </c>
      <c r="X29" s="96">
        <v>0.72688844603849845</v>
      </c>
      <c r="Y29" s="97">
        <v>1.0670835536780823E-2</v>
      </c>
      <c r="Z29" s="99">
        <v>0.7414653004610281</v>
      </c>
    </row>
    <row r="30" spans="1:31">
      <c r="A30" s="112"/>
      <c r="B30" s="83" t="s">
        <v>20</v>
      </c>
      <c r="C30" s="115"/>
      <c r="D30" s="116"/>
      <c r="E30" s="117"/>
      <c r="F30" s="118"/>
      <c r="G30" s="115"/>
      <c r="H30" s="116"/>
      <c r="I30" s="79">
        <v>-2.7451292144127611E-2</v>
      </c>
      <c r="J30" s="80">
        <v>0.57389014961777329</v>
      </c>
      <c r="K30" s="77">
        <v>3.9861899937264959E-2</v>
      </c>
      <c r="L30" s="78">
        <v>0.55648925270271477</v>
      </c>
      <c r="M30" s="79">
        <v>6.0203549238578742E-2</v>
      </c>
      <c r="N30" s="80">
        <v>0.5683149731448881</v>
      </c>
      <c r="O30" s="77">
        <v>-6.5879391985744339E-3</v>
      </c>
      <c r="P30" s="78">
        <v>0.24310023456018401</v>
      </c>
      <c r="Q30" s="79">
        <v>-7.2576470435031428E-3</v>
      </c>
      <c r="R30" s="80">
        <v>0.22087216658177602</v>
      </c>
      <c r="S30" s="77">
        <v>3.974248783908204E-2</v>
      </c>
      <c r="T30" s="78">
        <v>0.23570369051050122</v>
      </c>
      <c r="U30" s="79">
        <v>-2.5938212603610626E-3</v>
      </c>
      <c r="V30" s="80">
        <v>0.25550217452734869</v>
      </c>
      <c r="W30" s="77">
        <v>4.0343513718172568E-2</v>
      </c>
      <c r="X30" s="78">
        <v>0.27311155396150161</v>
      </c>
      <c r="Y30" s="79">
        <v>-6.8708355367808199E-3</v>
      </c>
      <c r="Z30" s="81">
        <v>0.25853469953897185</v>
      </c>
    </row>
    <row r="31" spans="1:31">
      <c r="A31" s="112"/>
      <c r="B31" s="84" t="s">
        <v>18</v>
      </c>
      <c r="C31" s="119"/>
      <c r="D31" s="120"/>
      <c r="E31" s="121"/>
      <c r="F31" s="122"/>
      <c r="G31" s="119"/>
      <c r="H31" s="120"/>
      <c r="I31" s="87">
        <v>-3.8899999999999997E-2</v>
      </c>
      <c r="J31" s="88">
        <v>1</v>
      </c>
      <c r="K31" s="85">
        <v>5.0689999999999999E-2</v>
      </c>
      <c r="L31" s="86">
        <v>1</v>
      </c>
      <c r="M31" s="87">
        <v>7.1300000000000002E-2</v>
      </c>
      <c r="N31" s="88">
        <v>0.99999999999999989</v>
      </c>
      <c r="O31" s="85">
        <v>-1.37E-2</v>
      </c>
      <c r="P31" s="86">
        <v>1</v>
      </c>
      <c r="Q31" s="87">
        <v>-2.3099999999999999E-2</v>
      </c>
      <c r="R31" s="88">
        <v>1</v>
      </c>
      <c r="S31" s="85">
        <v>5.5460000000000002E-2</v>
      </c>
      <c r="T31" s="86">
        <v>1</v>
      </c>
      <c r="U31" s="87">
        <v>7.7999999999999999E-4</v>
      </c>
      <c r="V31" s="88">
        <v>1</v>
      </c>
      <c r="W31" s="85">
        <v>3.8309999999999997E-2</v>
      </c>
      <c r="X31" s="86">
        <v>1</v>
      </c>
      <c r="Y31" s="87">
        <v>3.8E-3</v>
      </c>
      <c r="Z31" s="89">
        <v>1</v>
      </c>
    </row>
    <row r="32" spans="1:31">
      <c r="A32" s="11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94"/>
    </row>
    <row r="33" spans="1:26">
      <c r="A33" s="112"/>
      <c r="B33" s="76" t="s">
        <v>21</v>
      </c>
      <c r="C33" s="128"/>
      <c r="D33" s="129"/>
      <c r="E33" s="130"/>
      <c r="F33" s="131"/>
      <c r="G33" s="128"/>
      <c r="H33" s="129"/>
      <c r="I33" s="97">
        <v>-3.9645738583046708E-2</v>
      </c>
      <c r="J33" s="98">
        <v>0.9831222726022919</v>
      </c>
      <c r="K33" s="95">
        <v>4.7708151169231827E-2</v>
      </c>
      <c r="L33" s="96">
        <v>0.99709182406900221</v>
      </c>
      <c r="M33" s="97">
        <v>6.7221084470199172E-2</v>
      </c>
      <c r="N33" s="98">
        <v>0.99575220186559277</v>
      </c>
      <c r="O33" s="95">
        <v>-2.5833814261931327E-2</v>
      </c>
      <c r="P33" s="96">
        <v>0.9986856163635266</v>
      </c>
      <c r="Q33" s="97">
        <v>-1.1845146765476353E-2</v>
      </c>
      <c r="R33" s="98">
        <v>0.98920483554520777</v>
      </c>
      <c r="S33" s="95">
        <v>4.9170576076440493E-2</v>
      </c>
      <c r="T33" s="96">
        <v>0.76461885952361197</v>
      </c>
      <c r="U33" s="97">
        <v>-3.9472407929302283E-4</v>
      </c>
      <c r="V33" s="98">
        <v>0.83567665738865138</v>
      </c>
      <c r="W33" s="95">
        <v>4.6957542549523452E-2</v>
      </c>
      <c r="X33" s="96">
        <v>0.99147020478497916</v>
      </c>
      <c r="Y33" s="97">
        <v>2.3816292402793825E-3</v>
      </c>
      <c r="Z33" s="99">
        <v>1.0027841311078103</v>
      </c>
    </row>
    <row r="34" spans="1:26">
      <c r="A34" s="112"/>
      <c r="B34" s="83" t="s">
        <v>22</v>
      </c>
      <c r="C34" s="115"/>
      <c r="D34" s="116"/>
      <c r="E34" s="117"/>
      <c r="F34" s="118"/>
      <c r="G34" s="115"/>
      <c r="H34" s="116"/>
      <c r="I34" s="79">
        <v>-2.7913470249315811E-3</v>
      </c>
      <c r="J34" s="80">
        <v>1.6877727397708053E-2</v>
      </c>
      <c r="K34" s="77">
        <v>2.981848830768196E-3</v>
      </c>
      <c r="L34" s="78">
        <v>2.908175930997862E-3</v>
      </c>
      <c r="M34" s="79">
        <v>4.0789155298008107E-3</v>
      </c>
      <c r="N34" s="80">
        <v>4.247798134407268E-3</v>
      </c>
      <c r="O34" s="77">
        <v>1.2133814261931325E-2</v>
      </c>
      <c r="P34" s="78">
        <v>1.3143836364733613E-3</v>
      </c>
      <c r="Q34" s="79">
        <v>-1.1254853234523653E-2</v>
      </c>
      <c r="R34" s="80">
        <v>1.0795164454792177E-2</v>
      </c>
      <c r="S34" s="77">
        <v>6.2894239235594656E-3</v>
      </c>
      <c r="T34" s="78">
        <v>0.235381140476388</v>
      </c>
      <c r="U34" s="79">
        <v>1.1747240792930223E-3</v>
      </c>
      <c r="V34" s="80">
        <v>0.16432334261134862</v>
      </c>
      <c r="W34" s="77">
        <v>-8.6475425495234556E-3</v>
      </c>
      <c r="X34" s="78">
        <v>8.5297952150208654E-3</v>
      </c>
      <c r="Y34" s="79">
        <v>1.418370759720621E-3</v>
      </c>
      <c r="Z34" s="81">
        <v>-2.7841311078102729E-3</v>
      </c>
    </row>
    <row r="35" spans="1:26">
      <c r="A35" s="112"/>
      <c r="B35" s="100" t="s">
        <v>18</v>
      </c>
      <c r="C35" s="132"/>
      <c r="D35" s="133"/>
      <c r="E35" s="134"/>
      <c r="F35" s="135"/>
      <c r="G35" s="132"/>
      <c r="H35" s="133"/>
      <c r="I35" s="103">
        <v>-3.8899999999999997E-2</v>
      </c>
      <c r="J35" s="104">
        <v>1</v>
      </c>
      <c r="K35" s="101">
        <v>5.0689999999999999E-2</v>
      </c>
      <c r="L35" s="102">
        <v>1</v>
      </c>
      <c r="M35" s="103">
        <v>7.1300000000000002E-2</v>
      </c>
      <c r="N35" s="104">
        <v>1</v>
      </c>
      <c r="O35" s="101">
        <v>-1.37E-2</v>
      </c>
      <c r="P35" s="102">
        <v>1</v>
      </c>
      <c r="Q35" s="103">
        <v>-2.3099999999999999E-2</v>
      </c>
      <c r="R35" s="104">
        <v>1</v>
      </c>
      <c r="S35" s="101">
        <v>5.5460000000000002E-2</v>
      </c>
      <c r="T35" s="102">
        <v>1</v>
      </c>
      <c r="U35" s="103">
        <v>7.7999999999999999E-4</v>
      </c>
      <c r="V35" s="104">
        <v>1</v>
      </c>
      <c r="W35" s="101">
        <v>3.8309999999999997E-2</v>
      </c>
      <c r="X35" s="102">
        <v>1</v>
      </c>
      <c r="Y35" s="103">
        <v>3.8E-3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36" t="s">
        <v>1409</v>
      </c>
      <c r="L37" s="136" t="s">
        <v>1409</v>
      </c>
      <c r="M37" s="136" t="s">
        <v>1409</v>
      </c>
      <c r="N37" s="136" t="s">
        <v>1409</v>
      </c>
      <c r="O37" s="136" t="s">
        <v>1409</v>
      </c>
      <c r="P37" s="136" t="s">
        <v>1409</v>
      </c>
      <c r="Q37" s="136" t="s">
        <v>1409</v>
      </c>
      <c r="R37" s="136" t="s">
        <v>1409</v>
      </c>
      <c r="S37" s="136" t="s">
        <v>1409</v>
      </c>
      <c r="T37" s="136" t="s">
        <v>1409</v>
      </c>
      <c r="U37" s="136" t="s">
        <v>1409</v>
      </c>
      <c r="V37" s="136" t="s">
        <v>1409</v>
      </c>
      <c r="W37" s="136" t="s">
        <v>1409</v>
      </c>
      <c r="X37" s="136" t="s">
        <v>1409</v>
      </c>
      <c r="Y37" s="136" t="s">
        <v>1409</v>
      </c>
      <c r="Z37" s="33"/>
    </row>
    <row r="38" spans="1:26">
      <c r="A38" s="112"/>
      <c r="B38" s="76" t="s">
        <v>1</v>
      </c>
      <c r="C38" s="115"/>
      <c r="D38" s="116"/>
      <c r="E38" s="79">
        <v>5.4104803910036059E-3</v>
      </c>
      <c r="F38" s="80">
        <v>0.42743722872070439</v>
      </c>
      <c r="G38" s="77">
        <v>-3.7465666675237886E-3</v>
      </c>
      <c r="H38" s="78">
        <v>0.53891633142170492</v>
      </c>
      <c r="I38" s="79">
        <v>9.1427519900652565E-3</v>
      </c>
      <c r="J38" s="81">
        <v>0.53108892306541677</v>
      </c>
      <c r="K38" s="136" t="s">
        <v>1409</v>
      </c>
      <c r="L38" s="136" t="s">
        <v>1409</v>
      </c>
      <c r="M38" s="136" t="s">
        <v>1409</v>
      </c>
      <c r="N38" s="136" t="s">
        <v>1409</v>
      </c>
      <c r="O38" s="136" t="s">
        <v>1409</v>
      </c>
      <c r="P38" s="136" t="s">
        <v>1409</v>
      </c>
      <c r="Q38" s="136" t="s">
        <v>1409</v>
      </c>
      <c r="R38" s="136" t="s">
        <v>1409</v>
      </c>
      <c r="S38" s="136" t="s">
        <v>1409</v>
      </c>
      <c r="T38" s="136" t="s">
        <v>1409</v>
      </c>
      <c r="U38" s="136" t="s">
        <v>1409</v>
      </c>
      <c r="V38" s="136" t="s">
        <v>1409</v>
      </c>
      <c r="W38" s="136" t="s">
        <v>1409</v>
      </c>
      <c r="X38" s="136" t="s">
        <v>1409</v>
      </c>
      <c r="Y38" s="136" t="s">
        <v>1409</v>
      </c>
      <c r="Z38" s="33"/>
    </row>
    <row r="39" spans="1:26" ht="30">
      <c r="A39" s="112"/>
      <c r="B39" s="82" t="s">
        <v>908</v>
      </c>
      <c r="C39" s="115"/>
      <c r="D39" s="116"/>
      <c r="E39" s="79">
        <v>0</v>
      </c>
      <c r="F39" s="80">
        <v>0</v>
      </c>
      <c r="G39" s="77">
        <v>0</v>
      </c>
      <c r="H39" s="78">
        <v>0</v>
      </c>
      <c r="I39" s="79">
        <v>0</v>
      </c>
      <c r="J39" s="81">
        <v>0</v>
      </c>
      <c r="K39" s="136" t="s">
        <v>1409</v>
      </c>
      <c r="L39" s="136" t="s">
        <v>1409</v>
      </c>
      <c r="M39" s="136" t="s">
        <v>1409</v>
      </c>
      <c r="N39" s="136" t="s">
        <v>1409</v>
      </c>
      <c r="O39" s="136" t="s">
        <v>1409</v>
      </c>
      <c r="P39" s="136" t="s">
        <v>1409</v>
      </c>
      <c r="Q39" s="136" t="s">
        <v>1409</v>
      </c>
      <c r="R39" s="136" t="s">
        <v>1409</v>
      </c>
      <c r="S39" s="136" t="s">
        <v>1409</v>
      </c>
      <c r="T39" s="136" t="s">
        <v>1409</v>
      </c>
      <c r="U39" s="136" t="s">
        <v>1409</v>
      </c>
      <c r="V39" s="136" t="s">
        <v>1409</v>
      </c>
      <c r="W39" s="136" t="s">
        <v>1409</v>
      </c>
      <c r="X39" s="136" t="s">
        <v>1409</v>
      </c>
      <c r="Y39" s="136" t="s">
        <v>1409</v>
      </c>
      <c r="Z39" s="33"/>
    </row>
    <row r="40" spans="1:26">
      <c r="A40" s="112"/>
      <c r="B40" s="83" t="s">
        <v>2</v>
      </c>
      <c r="C40" s="115"/>
      <c r="D40" s="116"/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36" t="s">
        <v>1409</v>
      </c>
      <c r="L40" s="136" t="s">
        <v>1409</v>
      </c>
      <c r="M40" s="136" t="s">
        <v>1409</v>
      </c>
      <c r="N40" s="136" t="s">
        <v>1409</v>
      </c>
      <c r="O40" s="136" t="s">
        <v>1409</v>
      </c>
      <c r="P40" s="136" t="s">
        <v>1409</v>
      </c>
      <c r="Q40" s="136" t="s">
        <v>1409</v>
      </c>
      <c r="R40" s="136" t="s">
        <v>1409</v>
      </c>
      <c r="S40" s="136" t="s">
        <v>1409</v>
      </c>
      <c r="T40" s="136" t="s">
        <v>1409</v>
      </c>
      <c r="U40" s="136" t="s">
        <v>1409</v>
      </c>
      <c r="V40" s="136" t="s">
        <v>1409</v>
      </c>
      <c r="W40" s="136" t="s">
        <v>1409</v>
      </c>
      <c r="X40" s="136" t="s">
        <v>1409</v>
      </c>
      <c r="Y40" s="136" t="s">
        <v>1409</v>
      </c>
      <c r="Z40" s="33"/>
    </row>
    <row r="41" spans="1:26">
      <c r="A41" s="112"/>
      <c r="B41" s="83" t="s">
        <v>3</v>
      </c>
      <c r="C41" s="115"/>
      <c r="D41" s="116"/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36" t="s">
        <v>1409</v>
      </c>
      <c r="L41" s="136" t="s">
        <v>1409</v>
      </c>
      <c r="M41" s="136" t="s">
        <v>1409</v>
      </c>
      <c r="N41" s="136" t="s">
        <v>1409</v>
      </c>
      <c r="O41" s="136" t="s">
        <v>1409</v>
      </c>
      <c r="P41" s="136" t="s">
        <v>1409</v>
      </c>
      <c r="Q41" s="136" t="s">
        <v>1409</v>
      </c>
      <c r="R41" s="136" t="s">
        <v>1409</v>
      </c>
      <c r="S41" s="136" t="s">
        <v>1409</v>
      </c>
      <c r="T41" s="136" t="s">
        <v>1409</v>
      </c>
      <c r="U41" s="136" t="s">
        <v>1409</v>
      </c>
      <c r="V41" s="136" t="s">
        <v>1409</v>
      </c>
      <c r="W41" s="136" t="s">
        <v>1409</v>
      </c>
      <c r="X41" s="136" t="s">
        <v>1409</v>
      </c>
      <c r="Y41" s="136" t="s">
        <v>1409</v>
      </c>
      <c r="Z41" s="33"/>
    </row>
    <row r="42" spans="1:26">
      <c r="A42" s="112"/>
      <c r="B42" s="83" t="s">
        <v>4</v>
      </c>
      <c r="C42" s="115"/>
      <c r="D42" s="116"/>
      <c r="E42" s="79">
        <v>0</v>
      </c>
      <c r="F42" s="80">
        <v>0</v>
      </c>
      <c r="G42" s="77">
        <v>0</v>
      </c>
      <c r="H42" s="78">
        <v>0</v>
      </c>
      <c r="I42" s="79">
        <v>0</v>
      </c>
      <c r="J42" s="81">
        <v>0</v>
      </c>
      <c r="K42" s="136" t="s">
        <v>1409</v>
      </c>
      <c r="L42" s="136" t="s">
        <v>1409</v>
      </c>
      <c r="M42" s="136" t="s">
        <v>1409</v>
      </c>
      <c r="N42" s="136" t="s">
        <v>1409</v>
      </c>
      <c r="O42" s="136" t="s">
        <v>1409</v>
      </c>
      <c r="P42" s="136" t="s">
        <v>1409</v>
      </c>
      <c r="Q42" s="136" t="s">
        <v>1409</v>
      </c>
      <c r="R42" s="136" t="s">
        <v>1409</v>
      </c>
      <c r="S42" s="136" t="s">
        <v>1409</v>
      </c>
      <c r="T42" s="136" t="s">
        <v>1409</v>
      </c>
      <c r="U42" s="136" t="s">
        <v>1409</v>
      </c>
      <c r="V42" s="136" t="s">
        <v>1409</v>
      </c>
      <c r="W42" s="136" t="s">
        <v>1409</v>
      </c>
      <c r="X42" s="136" t="s">
        <v>1409</v>
      </c>
      <c r="Y42" s="136" t="s">
        <v>1409</v>
      </c>
      <c r="Z42" s="33"/>
    </row>
    <row r="43" spans="1:26">
      <c r="A43" s="112"/>
      <c r="B43" s="83" t="s">
        <v>5</v>
      </c>
      <c r="C43" s="115"/>
      <c r="D43" s="116"/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36" t="s">
        <v>1409</v>
      </c>
      <c r="L43" s="136" t="s">
        <v>1409</v>
      </c>
      <c r="M43" s="136" t="s">
        <v>1409</v>
      </c>
      <c r="N43" s="136" t="s">
        <v>1409</v>
      </c>
      <c r="O43" s="136" t="s">
        <v>1409</v>
      </c>
      <c r="P43" s="136" t="s">
        <v>1409</v>
      </c>
      <c r="Q43" s="136" t="s">
        <v>1409</v>
      </c>
      <c r="R43" s="136" t="s">
        <v>1409</v>
      </c>
      <c r="S43" s="136" t="s">
        <v>1409</v>
      </c>
      <c r="T43" s="136" t="s">
        <v>1409</v>
      </c>
      <c r="U43" s="136" t="s">
        <v>1409</v>
      </c>
      <c r="V43" s="136" t="s">
        <v>1409</v>
      </c>
      <c r="W43" s="136" t="s">
        <v>1409</v>
      </c>
      <c r="X43" s="136" t="s">
        <v>1409</v>
      </c>
      <c r="Y43" s="136" t="s">
        <v>1409</v>
      </c>
      <c r="Z43" s="33"/>
    </row>
    <row r="44" spans="1:26">
      <c r="A44" s="112"/>
      <c r="B44" s="83" t="s">
        <v>6</v>
      </c>
      <c r="C44" s="115"/>
      <c r="D44" s="116"/>
      <c r="E44" s="79">
        <v>6.7723037419480512E-6</v>
      </c>
      <c r="F44" s="80">
        <v>0</v>
      </c>
      <c r="G44" s="77">
        <v>7.973502222079111E-6</v>
      </c>
      <c r="H44" s="78">
        <v>0</v>
      </c>
      <c r="I44" s="79">
        <v>-2.3002443005902694E-4</v>
      </c>
      <c r="J44" s="81">
        <v>0</v>
      </c>
      <c r="K44" s="136" t="s">
        <v>1409</v>
      </c>
      <c r="L44" s="136" t="s">
        <v>1409</v>
      </c>
      <c r="M44" s="136" t="s">
        <v>1409</v>
      </c>
      <c r="N44" s="136" t="s">
        <v>1409</v>
      </c>
      <c r="O44" s="136" t="s">
        <v>1409</v>
      </c>
      <c r="P44" s="136" t="s">
        <v>1409</v>
      </c>
      <c r="Q44" s="136" t="s">
        <v>1409</v>
      </c>
      <c r="R44" s="136" t="s">
        <v>1409</v>
      </c>
      <c r="S44" s="136" t="s">
        <v>1409</v>
      </c>
      <c r="T44" s="136" t="s">
        <v>1409</v>
      </c>
      <c r="U44" s="136" t="s">
        <v>1409</v>
      </c>
      <c r="V44" s="136" t="s">
        <v>1409</v>
      </c>
      <c r="W44" s="136" t="s">
        <v>1409</v>
      </c>
      <c r="X44" s="136" t="s">
        <v>1409</v>
      </c>
      <c r="Y44" s="136" t="s">
        <v>1409</v>
      </c>
      <c r="Z44" s="33"/>
    </row>
    <row r="45" spans="1:26">
      <c r="A45" s="112"/>
      <c r="B45" s="83" t="s">
        <v>62</v>
      </c>
      <c r="C45" s="115"/>
      <c r="D45" s="116"/>
      <c r="E45" s="79">
        <v>5.0706013040764733E-2</v>
      </c>
      <c r="F45" s="80">
        <v>0.56259224661768836</v>
      </c>
      <c r="G45" s="77">
        <v>6.1874022914462222E-2</v>
      </c>
      <c r="H45" s="78">
        <v>0.45651429123357101</v>
      </c>
      <c r="I45" s="79">
        <v>9.0488129191020644E-2</v>
      </c>
      <c r="J45" s="81">
        <v>0.45308937282351386</v>
      </c>
      <c r="K45" s="136" t="s">
        <v>1409</v>
      </c>
      <c r="L45" s="136" t="s">
        <v>1409</v>
      </c>
      <c r="M45" s="136" t="s">
        <v>1409</v>
      </c>
      <c r="N45" s="136" t="s">
        <v>1409</v>
      </c>
      <c r="O45" s="136" t="s">
        <v>1409</v>
      </c>
      <c r="P45" s="136" t="s">
        <v>1409</v>
      </c>
      <c r="Q45" s="136" t="s">
        <v>1409</v>
      </c>
      <c r="R45" s="136" t="s">
        <v>1409</v>
      </c>
      <c r="S45" s="136" t="s">
        <v>1409</v>
      </c>
      <c r="T45" s="136" t="s">
        <v>1409</v>
      </c>
      <c r="U45" s="136" t="s">
        <v>1409</v>
      </c>
      <c r="V45" s="136" t="s">
        <v>1409</v>
      </c>
      <c r="W45" s="136" t="s">
        <v>1409</v>
      </c>
      <c r="X45" s="136" t="s">
        <v>1409</v>
      </c>
      <c r="Y45" s="136" t="s">
        <v>1409</v>
      </c>
      <c r="Z45" s="33"/>
    </row>
    <row r="46" spans="1:26">
      <c r="A46" s="112"/>
      <c r="B46" s="83" t="s">
        <v>7</v>
      </c>
      <c r="C46" s="115"/>
      <c r="D46" s="116"/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36" t="s">
        <v>1409</v>
      </c>
      <c r="L46" s="136" t="s">
        <v>1409</v>
      </c>
      <c r="M46" s="136" t="s">
        <v>1409</v>
      </c>
      <c r="N46" s="136" t="s">
        <v>1409</v>
      </c>
      <c r="O46" s="136" t="s">
        <v>1409</v>
      </c>
      <c r="P46" s="136" t="s">
        <v>1409</v>
      </c>
      <c r="Q46" s="136" t="s">
        <v>1409</v>
      </c>
      <c r="R46" s="136" t="s">
        <v>1409</v>
      </c>
      <c r="S46" s="136" t="s">
        <v>1409</v>
      </c>
      <c r="T46" s="136" t="s">
        <v>1409</v>
      </c>
      <c r="U46" s="136" t="s">
        <v>1409</v>
      </c>
      <c r="V46" s="136" t="s">
        <v>1409</v>
      </c>
      <c r="W46" s="136" t="s">
        <v>1409</v>
      </c>
      <c r="X46" s="136" t="s">
        <v>1409</v>
      </c>
      <c r="Y46" s="136" t="s">
        <v>1409</v>
      </c>
      <c r="Z46" s="33"/>
    </row>
    <row r="47" spans="1:26">
      <c r="A47" s="112"/>
      <c r="B47" s="83" t="s">
        <v>8</v>
      </c>
      <c r="C47" s="115"/>
      <c r="D47" s="116"/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36" t="s">
        <v>1409</v>
      </c>
      <c r="L47" s="136" t="s">
        <v>1409</v>
      </c>
      <c r="M47" s="136" t="s">
        <v>1409</v>
      </c>
      <c r="N47" s="136" t="s">
        <v>1409</v>
      </c>
      <c r="O47" s="136" t="s">
        <v>1409</v>
      </c>
      <c r="P47" s="136" t="s">
        <v>1409</v>
      </c>
      <c r="Q47" s="136" t="s">
        <v>1409</v>
      </c>
      <c r="R47" s="136" t="s">
        <v>1409</v>
      </c>
      <c r="S47" s="136" t="s">
        <v>1409</v>
      </c>
      <c r="T47" s="136" t="s">
        <v>1409</v>
      </c>
      <c r="U47" s="136" t="s">
        <v>1409</v>
      </c>
      <c r="V47" s="136" t="s">
        <v>1409</v>
      </c>
      <c r="W47" s="136" t="s">
        <v>1409</v>
      </c>
      <c r="X47" s="136" t="s">
        <v>1409</v>
      </c>
      <c r="Y47" s="136" t="s">
        <v>1409</v>
      </c>
      <c r="Z47" s="33"/>
    </row>
    <row r="48" spans="1:26">
      <c r="A48" s="112"/>
      <c r="B48" s="83" t="s">
        <v>9</v>
      </c>
      <c r="C48" s="115"/>
      <c r="D48" s="116"/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36" t="s">
        <v>1409</v>
      </c>
      <c r="L48" s="136" t="s">
        <v>1409</v>
      </c>
      <c r="M48" s="136" t="s">
        <v>1409</v>
      </c>
      <c r="N48" s="136" t="s">
        <v>1409</v>
      </c>
      <c r="O48" s="136" t="s">
        <v>1409</v>
      </c>
      <c r="P48" s="136" t="s">
        <v>1409</v>
      </c>
      <c r="Q48" s="136" t="s">
        <v>1409</v>
      </c>
      <c r="R48" s="136" t="s">
        <v>1409</v>
      </c>
      <c r="S48" s="136" t="s">
        <v>1409</v>
      </c>
      <c r="T48" s="136" t="s">
        <v>1409</v>
      </c>
      <c r="U48" s="136" t="s">
        <v>1409</v>
      </c>
      <c r="V48" s="136" t="s">
        <v>1409</v>
      </c>
      <c r="W48" s="136" t="s">
        <v>1409</v>
      </c>
      <c r="X48" s="136" t="s">
        <v>1409</v>
      </c>
      <c r="Y48" s="136" t="s">
        <v>1409</v>
      </c>
      <c r="Z48" s="33"/>
    </row>
    <row r="49" spans="1:26">
      <c r="A49" s="112"/>
      <c r="B49" s="83" t="s">
        <v>10</v>
      </c>
      <c r="C49" s="115"/>
      <c r="D49" s="116"/>
      <c r="E49" s="79">
        <v>2.569492800118945E-2</v>
      </c>
      <c r="F49" s="80">
        <v>9.9705246616072912E-3</v>
      </c>
      <c r="G49" s="77">
        <v>4.2022928896120484E-2</v>
      </c>
      <c r="H49" s="78">
        <v>4.5693773447241359E-3</v>
      </c>
      <c r="I49" s="79">
        <v>4.8139713255407404E-2</v>
      </c>
      <c r="J49" s="81">
        <v>1.582170411106942E-2</v>
      </c>
      <c r="K49" s="136" t="s">
        <v>1409</v>
      </c>
      <c r="L49" s="136" t="s">
        <v>1409</v>
      </c>
      <c r="M49" s="136" t="s">
        <v>1409</v>
      </c>
      <c r="N49" s="136" t="s">
        <v>1409</v>
      </c>
      <c r="O49" s="136" t="s">
        <v>1409</v>
      </c>
      <c r="P49" s="136" t="s">
        <v>1409</v>
      </c>
      <c r="Q49" s="136" t="s">
        <v>1409</v>
      </c>
      <c r="R49" s="136" t="s">
        <v>1409</v>
      </c>
      <c r="S49" s="136" t="s">
        <v>1409</v>
      </c>
      <c r="T49" s="136" t="s">
        <v>1409</v>
      </c>
      <c r="U49" s="136" t="s">
        <v>1409</v>
      </c>
      <c r="V49" s="136" t="s">
        <v>1409</v>
      </c>
      <c r="W49" s="136" t="s">
        <v>1409</v>
      </c>
      <c r="X49" s="136" t="s">
        <v>1409</v>
      </c>
      <c r="Y49" s="136" t="s">
        <v>1409</v>
      </c>
      <c r="Z49" s="33"/>
    </row>
    <row r="50" spans="1:26">
      <c r="A50" s="112"/>
      <c r="B50" s="83" t="s">
        <v>11</v>
      </c>
      <c r="C50" s="115"/>
      <c r="D50" s="116"/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36" t="s">
        <v>1409</v>
      </c>
      <c r="L50" s="136" t="s">
        <v>1409</v>
      </c>
      <c r="M50" s="136" t="s">
        <v>1409</v>
      </c>
      <c r="N50" s="136" t="s">
        <v>1409</v>
      </c>
      <c r="O50" s="136" t="s">
        <v>1409</v>
      </c>
      <c r="P50" s="136" t="s">
        <v>1409</v>
      </c>
      <c r="Q50" s="136" t="s">
        <v>1409</v>
      </c>
      <c r="R50" s="136" t="s">
        <v>1409</v>
      </c>
      <c r="S50" s="136" t="s">
        <v>1409</v>
      </c>
      <c r="T50" s="136" t="s">
        <v>1409</v>
      </c>
      <c r="U50" s="136" t="s">
        <v>1409</v>
      </c>
      <c r="V50" s="136" t="s">
        <v>1409</v>
      </c>
      <c r="W50" s="136" t="s">
        <v>1409</v>
      </c>
      <c r="X50" s="136" t="s">
        <v>1409</v>
      </c>
      <c r="Y50" s="136" t="s">
        <v>1409</v>
      </c>
      <c r="Z50" s="33"/>
    </row>
    <row r="51" spans="1:26">
      <c r="A51" s="112"/>
      <c r="B51" s="83" t="s">
        <v>12</v>
      </c>
      <c r="C51" s="115"/>
      <c r="D51" s="116"/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36" t="s">
        <v>1409</v>
      </c>
      <c r="L51" s="136" t="s">
        <v>1409</v>
      </c>
      <c r="M51" s="136" t="s">
        <v>1409</v>
      </c>
      <c r="N51" s="136" t="s">
        <v>1409</v>
      </c>
      <c r="O51" s="136" t="s">
        <v>1409</v>
      </c>
      <c r="P51" s="136" t="s">
        <v>1409</v>
      </c>
      <c r="Q51" s="136" t="s">
        <v>1409</v>
      </c>
      <c r="R51" s="136" t="s">
        <v>1409</v>
      </c>
      <c r="S51" s="136" t="s">
        <v>1409</v>
      </c>
      <c r="T51" s="136" t="s">
        <v>1409</v>
      </c>
      <c r="U51" s="136" t="s">
        <v>1409</v>
      </c>
      <c r="V51" s="136" t="s">
        <v>1409</v>
      </c>
      <c r="W51" s="136" t="s">
        <v>1409</v>
      </c>
      <c r="X51" s="136" t="s">
        <v>1409</v>
      </c>
      <c r="Y51" s="136" t="s">
        <v>1409</v>
      </c>
      <c r="Z51" s="33"/>
    </row>
    <row r="52" spans="1:26">
      <c r="A52" s="112"/>
      <c r="B52" s="83" t="s">
        <v>13</v>
      </c>
      <c r="C52" s="115"/>
      <c r="D52" s="116"/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36" t="s">
        <v>1409</v>
      </c>
      <c r="L52" s="136" t="s">
        <v>1409</v>
      </c>
      <c r="M52" s="136" t="s">
        <v>1409</v>
      </c>
      <c r="N52" s="136" t="s">
        <v>1409</v>
      </c>
      <c r="O52" s="136" t="s">
        <v>1409</v>
      </c>
      <c r="P52" s="136" t="s">
        <v>1409</v>
      </c>
      <c r="Q52" s="136" t="s">
        <v>1409</v>
      </c>
      <c r="R52" s="136" t="s">
        <v>1409</v>
      </c>
      <c r="S52" s="136" t="s">
        <v>1409</v>
      </c>
      <c r="T52" s="136" t="s">
        <v>1409</v>
      </c>
      <c r="U52" s="136" t="s">
        <v>1409</v>
      </c>
      <c r="V52" s="136" t="s">
        <v>1409</v>
      </c>
      <c r="W52" s="136" t="s">
        <v>1409</v>
      </c>
      <c r="X52" s="136" t="s">
        <v>1409</v>
      </c>
      <c r="Y52" s="136" t="s">
        <v>1409</v>
      </c>
      <c r="Z52" s="33"/>
    </row>
    <row r="53" spans="1:26">
      <c r="A53" s="112"/>
      <c r="B53" s="83" t="s">
        <v>14</v>
      </c>
      <c r="C53" s="115"/>
      <c r="D53" s="116"/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36" t="s">
        <v>1409</v>
      </c>
      <c r="L53" s="136" t="s">
        <v>1409</v>
      </c>
      <c r="M53" s="136" t="s">
        <v>1409</v>
      </c>
      <c r="N53" s="136" t="s">
        <v>1409</v>
      </c>
      <c r="O53" s="136" t="s">
        <v>1409</v>
      </c>
      <c r="P53" s="136" t="s">
        <v>1409</v>
      </c>
      <c r="Q53" s="136" t="s">
        <v>1409</v>
      </c>
      <c r="R53" s="136" t="s">
        <v>1409</v>
      </c>
      <c r="S53" s="136" t="s">
        <v>1409</v>
      </c>
      <c r="T53" s="136" t="s">
        <v>1409</v>
      </c>
      <c r="U53" s="136" t="s">
        <v>1409</v>
      </c>
      <c r="V53" s="136" t="s">
        <v>1409</v>
      </c>
      <c r="W53" s="136" t="s">
        <v>1409</v>
      </c>
      <c r="X53" s="136" t="s">
        <v>1409</v>
      </c>
      <c r="Y53" s="136" t="s">
        <v>1409</v>
      </c>
      <c r="Z53" s="33"/>
    </row>
    <row r="54" spans="1:26">
      <c r="A54" s="112"/>
      <c r="B54" s="83" t="s">
        <v>15</v>
      </c>
      <c r="C54" s="115"/>
      <c r="D54" s="116"/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36" t="s">
        <v>1409</v>
      </c>
      <c r="L54" s="136" t="s">
        <v>1409</v>
      </c>
      <c r="M54" s="136" t="s">
        <v>1409</v>
      </c>
      <c r="N54" s="136" t="s">
        <v>1409</v>
      </c>
      <c r="O54" s="136" t="s">
        <v>1409</v>
      </c>
      <c r="P54" s="136" t="s">
        <v>1409</v>
      </c>
      <c r="Q54" s="136" t="s">
        <v>1409</v>
      </c>
      <c r="R54" s="136" t="s">
        <v>1409</v>
      </c>
      <c r="S54" s="136" t="s">
        <v>1409</v>
      </c>
      <c r="T54" s="136" t="s">
        <v>1409</v>
      </c>
      <c r="U54" s="136" t="s">
        <v>1409</v>
      </c>
      <c r="V54" s="136" t="s">
        <v>1409</v>
      </c>
      <c r="W54" s="136" t="s">
        <v>1409</v>
      </c>
      <c r="X54" s="136" t="s">
        <v>1409</v>
      </c>
      <c r="Y54" s="136" t="s">
        <v>1409</v>
      </c>
      <c r="Z54" s="33"/>
    </row>
    <row r="55" spans="1:26">
      <c r="A55" s="112"/>
      <c r="B55" s="83" t="s">
        <v>16</v>
      </c>
      <c r="C55" s="115"/>
      <c r="D55" s="116"/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36" t="s">
        <v>1409</v>
      </c>
      <c r="L55" s="136" t="s">
        <v>1409</v>
      </c>
      <c r="M55" s="136" t="s">
        <v>1409</v>
      </c>
      <c r="N55" s="136" t="s">
        <v>1409</v>
      </c>
      <c r="O55" s="136" t="s">
        <v>1409</v>
      </c>
      <c r="P55" s="136" t="s">
        <v>1409</v>
      </c>
      <c r="Q55" s="136" t="s">
        <v>1409</v>
      </c>
      <c r="R55" s="136" t="s">
        <v>1409</v>
      </c>
      <c r="S55" s="136" t="s">
        <v>1409</v>
      </c>
      <c r="T55" s="136" t="s">
        <v>1409</v>
      </c>
      <c r="U55" s="136" t="s">
        <v>1409</v>
      </c>
      <c r="V55" s="136" t="s">
        <v>1409</v>
      </c>
      <c r="W55" s="136" t="s">
        <v>1409</v>
      </c>
      <c r="X55" s="136" t="s">
        <v>1409</v>
      </c>
      <c r="Y55" s="136" t="s">
        <v>1409</v>
      </c>
      <c r="Z55" s="33"/>
    </row>
    <row r="56" spans="1:26">
      <c r="A56" s="112"/>
      <c r="B56" s="83" t="s">
        <v>17</v>
      </c>
      <c r="C56" s="115"/>
      <c r="D56" s="116"/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36" t="s">
        <v>1409</v>
      </c>
      <c r="L56" s="136" t="s">
        <v>1409</v>
      </c>
      <c r="M56" s="136" t="s">
        <v>1409</v>
      </c>
      <c r="N56" s="136" t="s">
        <v>1409</v>
      </c>
      <c r="O56" s="136" t="s">
        <v>1409</v>
      </c>
      <c r="P56" s="136" t="s">
        <v>1409</v>
      </c>
      <c r="Q56" s="136" t="s">
        <v>1409</v>
      </c>
      <c r="R56" s="136" t="s">
        <v>1409</v>
      </c>
      <c r="S56" s="136" t="s">
        <v>1409</v>
      </c>
      <c r="T56" s="136" t="s">
        <v>1409</v>
      </c>
      <c r="U56" s="136" t="s">
        <v>1409</v>
      </c>
      <c r="V56" s="136" t="s">
        <v>1409</v>
      </c>
      <c r="W56" s="136" t="s">
        <v>1409</v>
      </c>
      <c r="X56" s="136" t="s">
        <v>1409</v>
      </c>
      <c r="Y56" s="136" t="s">
        <v>1409</v>
      </c>
      <c r="Z56" s="33"/>
    </row>
    <row r="57" spans="1:26">
      <c r="A57" s="112"/>
      <c r="B57" s="84" t="s">
        <v>25</v>
      </c>
      <c r="C57" s="119"/>
      <c r="D57" s="120"/>
      <c r="E57" s="87">
        <v>8.181819373669974E-2</v>
      </c>
      <c r="F57" s="88">
        <v>1</v>
      </c>
      <c r="G57" s="85">
        <v>0.100158358645281</v>
      </c>
      <c r="H57" s="86">
        <v>1</v>
      </c>
      <c r="I57" s="87">
        <v>0.14754057000643428</v>
      </c>
      <c r="J57" s="89">
        <v>1</v>
      </c>
      <c r="K57" s="136" t="s">
        <v>1409</v>
      </c>
      <c r="L57" s="136" t="s">
        <v>1409</v>
      </c>
      <c r="M57" s="136" t="s">
        <v>1409</v>
      </c>
      <c r="N57" s="136" t="s">
        <v>1409</v>
      </c>
      <c r="O57" s="136" t="s">
        <v>1409</v>
      </c>
      <c r="P57" s="136" t="s">
        <v>1409</v>
      </c>
      <c r="Q57" s="136" t="s">
        <v>1409</v>
      </c>
      <c r="R57" s="136" t="s">
        <v>1409</v>
      </c>
      <c r="S57" s="136" t="s">
        <v>1409</v>
      </c>
      <c r="T57" s="136" t="s">
        <v>1409</v>
      </c>
      <c r="U57" s="136" t="s">
        <v>1409</v>
      </c>
      <c r="V57" s="136" t="s">
        <v>1409</v>
      </c>
      <c r="W57" s="136" t="s">
        <v>1409</v>
      </c>
      <c r="X57" s="136" t="s">
        <v>1409</v>
      </c>
      <c r="Y57" s="136" t="s">
        <v>1409</v>
      </c>
      <c r="Z57" s="33"/>
    </row>
    <row r="58" spans="1:26">
      <c r="A58" s="112"/>
      <c r="B58" s="90" t="s">
        <v>24</v>
      </c>
      <c r="C58" s="123"/>
      <c r="D58" s="124"/>
      <c r="E58" s="92">
        <v>1999.52</v>
      </c>
      <c r="F58" s="124"/>
      <c r="G58" s="91">
        <v>5453.2919999999995</v>
      </c>
      <c r="H58" s="124"/>
      <c r="I58" s="92">
        <v>9599.1319999999996</v>
      </c>
      <c r="J58" s="137"/>
      <c r="K58" s="136" t="s">
        <v>1409</v>
      </c>
      <c r="L58" s="136" t="s">
        <v>1409</v>
      </c>
      <c r="M58" s="136" t="s">
        <v>1409</v>
      </c>
      <c r="N58" s="136" t="s">
        <v>1409</v>
      </c>
      <c r="O58" s="136" t="s">
        <v>1409</v>
      </c>
      <c r="P58" s="136" t="s">
        <v>1409</v>
      </c>
      <c r="Q58" s="136" t="s">
        <v>1409</v>
      </c>
      <c r="R58" s="136" t="s">
        <v>1409</v>
      </c>
      <c r="S58" s="136" t="s">
        <v>1409</v>
      </c>
      <c r="T58" s="136" t="s">
        <v>1409</v>
      </c>
      <c r="U58" s="136" t="s">
        <v>1409</v>
      </c>
      <c r="V58" s="136" t="s">
        <v>1409</v>
      </c>
      <c r="W58" s="136" t="s">
        <v>1409</v>
      </c>
      <c r="X58" s="136" t="s">
        <v>1409</v>
      </c>
      <c r="Y58" s="136" t="s">
        <v>1409</v>
      </c>
      <c r="Z58" s="33"/>
    </row>
    <row r="59" spans="1:26">
      <c r="A59" s="112"/>
      <c r="B59" s="126"/>
      <c r="C59" s="127"/>
      <c r="D59" s="127"/>
      <c r="E59" s="127"/>
      <c r="F59" s="127"/>
      <c r="G59" s="127"/>
      <c r="H59" s="127"/>
      <c r="I59" s="127"/>
      <c r="J59" s="138"/>
      <c r="K59" s="136" t="s">
        <v>1409</v>
      </c>
      <c r="L59" s="136" t="s">
        <v>1409</v>
      </c>
      <c r="M59" s="136" t="s">
        <v>1409</v>
      </c>
      <c r="N59" s="136" t="s">
        <v>1409</v>
      </c>
      <c r="O59" s="136" t="s">
        <v>1409</v>
      </c>
      <c r="P59" s="136" t="s">
        <v>1409</v>
      </c>
      <c r="Q59" s="136" t="s">
        <v>1409</v>
      </c>
      <c r="R59" s="136" t="s">
        <v>1409</v>
      </c>
      <c r="S59" s="136" t="s">
        <v>1409</v>
      </c>
      <c r="T59" s="136" t="s">
        <v>1409</v>
      </c>
      <c r="U59" s="136" t="s">
        <v>1409</v>
      </c>
      <c r="V59" s="136" t="s">
        <v>1409</v>
      </c>
      <c r="W59" s="136" t="s">
        <v>1409</v>
      </c>
      <c r="X59" s="136" t="s">
        <v>1409</v>
      </c>
      <c r="Y59" s="136" t="s">
        <v>1409</v>
      </c>
      <c r="Z59" s="33"/>
    </row>
    <row r="60" spans="1:26">
      <c r="A60" s="112"/>
      <c r="B60" s="76" t="s">
        <v>19</v>
      </c>
      <c r="C60" s="128"/>
      <c r="D60" s="129"/>
      <c r="E60" s="97">
        <v>1.0176744728027863E-2</v>
      </c>
      <c r="F60" s="98">
        <v>0.43168502685511179</v>
      </c>
      <c r="G60" s="95">
        <v>2.6442742576287693E-3</v>
      </c>
      <c r="H60" s="96">
        <v>0.76429630948949878</v>
      </c>
      <c r="I60" s="97">
        <v>1.4728453991667787E-2</v>
      </c>
      <c r="J60" s="99">
        <v>0.7414653004610281</v>
      </c>
      <c r="K60" s="136" t="s">
        <v>1409</v>
      </c>
      <c r="L60" s="136" t="s">
        <v>1409</v>
      </c>
      <c r="M60" s="136" t="s">
        <v>1409</v>
      </c>
      <c r="N60" s="136" t="s">
        <v>1409</v>
      </c>
      <c r="O60" s="136" t="s">
        <v>1409</v>
      </c>
      <c r="P60" s="136" t="s">
        <v>1409</v>
      </c>
      <c r="Q60" s="136" t="s">
        <v>1409</v>
      </c>
      <c r="R60" s="136" t="s">
        <v>1409</v>
      </c>
      <c r="S60" s="136" t="s">
        <v>1409</v>
      </c>
      <c r="T60" s="136" t="s">
        <v>1409</v>
      </c>
      <c r="U60" s="136" t="s">
        <v>1409</v>
      </c>
      <c r="V60" s="136" t="s">
        <v>1409</v>
      </c>
      <c r="W60" s="136" t="s">
        <v>1409</v>
      </c>
      <c r="X60" s="136" t="s">
        <v>1409</v>
      </c>
      <c r="Y60" s="136" t="s">
        <v>1409</v>
      </c>
      <c r="Z60" s="33"/>
    </row>
    <row r="61" spans="1:26">
      <c r="A61" s="112"/>
      <c r="B61" s="83" t="s">
        <v>20</v>
      </c>
      <c r="C61" s="115"/>
      <c r="D61" s="116"/>
      <c r="E61" s="79">
        <v>7.1641449008671879E-2</v>
      </c>
      <c r="F61" s="80">
        <v>0.5683149731448881</v>
      </c>
      <c r="G61" s="77">
        <v>9.7514084387652231E-2</v>
      </c>
      <c r="H61" s="78">
        <v>0.23570369051050122</v>
      </c>
      <c r="I61" s="79">
        <v>0.1328121160147665</v>
      </c>
      <c r="J61" s="81">
        <v>0.25853469953897185</v>
      </c>
      <c r="K61" s="136" t="s">
        <v>1409</v>
      </c>
      <c r="L61" s="136" t="s">
        <v>1409</v>
      </c>
      <c r="M61" s="136" t="s">
        <v>1409</v>
      </c>
      <c r="N61" s="136" t="s">
        <v>1409</v>
      </c>
      <c r="O61" s="136" t="s">
        <v>1409</v>
      </c>
      <c r="P61" s="136" t="s">
        <v>1409</v>
      </c>
      <c r="Q61" s="136" t="s">
        <v>1409</v>
      </c>
      <c r="R61" s="136" t="s">
        <v>1409</v>
      </c>
      <c r="S61" s="136" t="s">
        <v>1409</v>
      </c>
      <c r="T61" s="136" t="s">
        <v>1409</v>
      </c>
      <c r="U61" s="136" t="s">
        <v>1409</v>
      </c>
      <c r="V61" s="136" t="s">
        <v>1409</v>
      </c>
      <c r="W61" s="136" t="s">
        <v>1409</v>
      </c>
      <c r="X61" s="136" t="s">
        <v>1409</v>
      </c>
      <c r="Y61" s="136" t="s">
        <v>1409</v>
      </c>
      <c r="Z61" s="33"/>
    </row>
    <row r="62" spans="1:26">
      <c r="A62" s="112"/>
      <c r="B62" s="84" t="s">
        <v>25</v>
      </c>
      <c r="C62" s="119"/>
      <c r="D62" s="120"/>
      <c r="E62" s="87">
        <v>8.181819373669974E-2</v>
      </c>
      <c r="F62" s="88">
        <v>0.99999999999999989</v>
      </c>
      <c r="G62" s="85">
        <v>0.100158358645281</v>
      </c>
      <c r="H62" s="86">
        <v>1</v>
      </c>
      <c r="I62" s="87">
        <v>0.14754057000643428</v>
      </c>
      <c r="J62" s="89">
        <v>1</v>
      </c>
      <c r="K62" s="136" t="s">
        <v>1409</v>
      </c>
      <c r="L62" s="136" t="s">
        <v>1409</v>
      </c>
      <c r="M62" s="136" t="s">
        <v>1409</v>
      </c>
      <c r="N62" s="136" t="s">
        <v>1409</v>
      </c>
      <c r="O62" s="136" t="s">
        <v>1409</v>
      </c>
      <c r="P62" s="136" t="s">
        <v>1409</v>
      </c>
      <c r="Q62" s="136" t="s">
        <v>1409</v>
      </c>
      <c r="R62" s="136" t="s">
        <v>1409</v>
      </c>
      <c r="S62" s="136" t="s">
        <v>1409</v>
      </c>
      <c r="T62" s="136" t="s">
        <v>1409</v>
      </c>
      <c r="U62" s="136" t="s">
        <v>1409</v>
      </c>
      <c r="V62" s="136" t="s">
        <v>1409</v>
      </c>
      <c r="W62" s="136" t="s">
        <v>1409</v>
      </c>
      <c r="X62" s="136" t="s">
        <v>1409</v>
      </c>
      <c r="Y62" s="136" t="s">
        <v>1409</v>
      </c>
      <c r="Z62" s="33"/>
    </row>
    <row r="63" spans="1:26">
      <c r="A63" s="112"/>
      <c r="B63" s="126"/>
      <c r="C63" s="127"/>
      <c r="D63" s="127"/>
      <c r="E63" s="127"/>
      <c r="F63" s="127"/>
      <c r="G63" s="127"/>
      <c r="H63" s="127"/>
      <c r="I63" s="127"/>
      <c r="J63" s="138"/>
      <c r="K63" s="136" t="s">
        <v>1409</v>
      </c>
      <c r="L63" s="136" t="s">
        <v>1409</v>
      </c>
      <c r="M63" s="136" t="s">
        <v>1409</v>
      </c>
      <c r="N63" s="136" t="s">
        <v>1409</v>
      </c>
      <c r="O63" s="136" t="s">
        <v>1409</v>
      </c>
      <c r="P63" s="136" t="s">
        <v>1409</v>
      </c>
      <c r="Q63" s="136" t="s">
        <v>1409</v>
      </c>
      <c r="R63" s="136" t="s">
        <v>1409</v>
      </c>
      <c r="S63" s="136" t="s">
        <v>1409</v>
      </c>
      <c r="T63" s="136" t="s">
        <v>1409</v>
      </c>
      <c r="U63" s="136" t="s">
        <v>1409</v>
      </c>
      <c r="V63" s="136" t="s">
        <v>1409</v>
      </c>
      <c r="W63" s="136" t="s">
        <v>1409</v>
      </c>
      <c r="X63" s="136" t="s">
        <v>1409</v>
      </c>
      <c r="Y63" s="136" t="s">
        <v>1409</v>
      </c>
      <c r="Z63" s="33"/>
    </row>
    <row r="64" spans="1:26">
      <c r="A64" s="112"/>
      <c r="B64" s="76" t="s">
        <v>21</v>
      </c>
      <c r="C64" s="128"/>
      <c r="D64" s="129"/>
      <c r="E64" s="97">
        <v>7.7351670317461846E-2</v>
      </c>
      <c r="F64" s="98">
        <v>0.99575220186559277</v>
      </c>
      <c r="G64" s="95">
        <v>8.8318412916064515E-2</v>
      </c>
      <c r="H64" s="96">
        <v>0.76461885952361197</v>
      </c>
      <c r="I64" s="97">
        <v>0.14218669420402177</v>
      </c>
      <c r="J64" s="99">
        <v>1.0027841311078103</v>
      </c>
      <c r="K64" s="136" t="s">
        <v>1409</v>
      </c>
      <c r="L64" s="136" t="s">
        <v>1409</v>
      </c>
      <c r="M64" s="136" t="s">
        <v>1409</v>
      </c>
      <c r="N64" s="136" t="s">
        <v>1409</v>
      </c>
      <c r="O64" s="136" t="s">
        <v>1409</v>
      </c>
      <c r="P64" s="136" t="s">
        <v>1409</v>
      </c>
      <c r="Q64" s="136" t="s">
        <v>1409</v>
      </c>
      <c r="R64" s="136" t="s">
        <v>1409</v>
      </c>
      <c r="S64" s="136" t="s">
        <v>1409</v>
      </c>
      <c r="T64" s="136" t="s">
        <v>1409</v>
      </c>
      <c r="U64" s="136" t="s">
        <v>1409</v>
      </c>
      <c r="V64" s="136" t="s">
        <v>1409</v>
      </c>
      <c r="W64" s="136" t="s">
        <v>1409</v>
      </c>
      <c r="X64" s="136" t="s">
        <v>1409</v>
      </c>
      <c r="Y64" s="136" t="s">
        <v>1409</v>
      </c>
      <c r="Z64" s="33"/>
    </row>
    <row r="65" spans="1:26">
      <c r="A65" s="112"/>
      <c r="B65" s="83" t="s">
        <v>22</v>
      </c>
      <c r="C65" s="115"/>
      <c r="D65" s="116"/>
      <c r="E65" s="79">
        <v>4.466523419237884E-3</v>
      </c>
      <c r="F65" s="80">
        <v>4.247798134407268E-3</v>
      </c>
      <c r="G65" s="77">
        <v>1.1839945729216483E-2</v>
      </c>
      <c r="H65" s="78">
        <v>0.235381140476388</v>
      </c>
      <c r="I65" s="79">
        <v>5.3538758024125064E-3</v>
      </c>
      <c r="J65" s="81">
        <v>-2.7841311078102729E-3</v>
      </c>
      <c r="K65" s="136" t="s">
        <v>1409</v>
      </c>
      <c r="L65" s="136" t="s">
        <v>1409</v>
      </c>
      <c r="M65" s="136" t="s">
        <v>1409</v>
      </c>
      <c r="N65" s="136" t="s">
        <v>1409</v>
      </c>
      <c r="O65" s="136" t="s">
        <v>1409</v>
      </c>
      <c r="P65" s="136" t="s">
        <v>1409</v>
      </c>
      <c r="Q65" s="136" t="s">
        <v>1409</v>
      </c>
      <c r="R65" s="136" t="s">
        <v>1409</v>
      </c>
      <c r="S65" s="136" t="s">
        <v>1409</v>
      </c>
      <c r="T65" s="136" t="s">
        <v>1409</v>
      </c>
      <c r="U65" s="136" t="s">
        <v>1409</v>
      </c>
      <c r="V65" s="136" t="s">
        <v>1409</v>
      </c>
      <c r="W65" s="136" t="s">
        <v>1409</v>
      </c>
      <c r="X65" s="136" t="s">
        <v>1409</v>
      </c>
      <c r="Y65" s="136" t="s">
        <v>1409</v>
      </c>
      <c r="Z65" s="33"/>
    </row>
    <row r="66" spans="1:26">
      <c r="A66" s="112"/>
      <c r="B66" s="100" t="s">
        <v>25</v>
      </c>
      <c r="C66" s="132"/>
      <c r="D66" s="133"/>
      <c r="E66" s="103">
        <v>8.181819373669974E-2</v>
      </c>
      <c r="F66" s="104">
        <v>1</v>
      </c>
      <c r="G66" s="101">
        <v>0.100158358645281</v>
      </c>
      <c r="H66" s="102">
        <v>1</v>
      </c>
      <c r="I66" s="103">
        <v>0.14754057000643428</v>
      </c>
      <c r="J66" s="105">
        <v>1</v>
      </c>
      <c r="K66" s="136" t="s">
        <v>1409</v>
      </c>
      <c r="L66" s="136" t="s">
        <v>1409</v>
      </c>
      <c r="M66" s="136" t="s">
        <v>1409</v>
      </c>
      <c r="N66" s="136" t="s">
        <v>1409</v>
      </c>
      <c r="O66" s="136" t="s">
        <v>1409</v>
      </c>
      <c r="P66" s="136" t="s">
        <v>1409</v>
      </c>
      <c r="Q66" s="136" t="s">
        <v>1409</v>
      </c>
      <c r="R66" s="136" t="s">
        <v>1409</v>
      </c>
      <c r="S66" s="136" t="s">
        <v>1409</v>
      </c>
      <c r="T66" s="136" t="s">
        <v>1409</v>
      </c>
      <c r="U66" s="136" t="s">
        <v>1409</v>
      </c>
      <c r="V66" s="136" t="s">
        <v>1409</v>
      </c>
      <c r="W66" s="136" t="s">
        <v>1409</v>
      </c>
      <c r="X66" s="136" t="s">
        <v>1409</v>
      </c>
      <c r="Y66" s="136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15055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a46656d4-8850-49b3-aebd-68bd05f7f43d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