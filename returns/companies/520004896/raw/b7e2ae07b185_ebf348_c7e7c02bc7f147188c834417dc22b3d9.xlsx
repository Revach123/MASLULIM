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EAC2A867-861A-41D9-92A5-6404F0C97966}" xr6:coauthVersionLast="47" xr6:coauthVersionMax="47" xr10:uidLastSave="{00000000-0000-0000-0000-000000000000}"/>
  <workbookProtection workbookPassword="8F07" lockStructure="1"/>
  <bookViews>
    <workbookView xWindow="4110" yWindow="411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<sst xmlns="http://schemas.openxmlformats.org/spreadsheetml/2006/main" count="6179" uniqueCount="1431">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</sst>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13563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מחקה מדד s&amp;p500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512237744_g13563_Yield126.xlsx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13563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מחקה מדד s&amp;p500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-1.6638072773663103E-3</v>
      </c>
      <c r="D7" s="89">
        <v>0.47717818887284552</v>
      </c>
      <c r="E7" s="90">
        <v>1.6744710727514879E-3</v>
      </c>
      <c r="F7" s="91">
        <v>0.49511821414792967</v>
      </c>
      <c r="G7" s="88">
        <v>4.9744707438001863E-3</v>
      </c>
      <c r="H7" s="89">
        <v>0.51191174753876867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-3.0385717541921014E-6</v>
      </c>
      <c r="D13" s="89">
        <v>0</v>
      </c>
      <c r="E13" s="90">
        <v>6.1928655523490974E-7</v>
      </c>
      <c r="F13" s="91">
        <v>0</v>
      </c>
      <c r="G13" s="88">
        <v>4.723317273369203E-8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-1.5456305580905497E-2</v>
      </c>
      <c r="D14" s="89">
        <v>0.52848905348608122</v>
      </c>
      <c r="E14" s="90">
        <v>3.8280360375516883E-3</v>
      </c>
      <c r="F14" s="91">
        <v>0.51838493989312495</v>
      </c>
      <c r="G14" s="88">
        <v>-2.5636937755321672E-2</v>
      </c>
      <c r="H14" s="89">
        <v>0.50746653230889083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-4.0471164134660079E-5</v>
      </c>
      <c r="D15" s="89">
        <v>4.1831646498109521E-3</v>
      </c>
      <c r="E15" s="90">
        <v>-2.2731604390019131E-5</v>
      </c>
      <c r="F15" s="91">
        <v>4.2085361451929693E-3</v>
      </c>
      <c r="G15" s="88">
        <v>-2.6115244305702218E-4</v>
      </c>
      <c r="H15" s="89">
        <v>4.286149147202347E-3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-5.9145168558393411E-3</v>
      </c>
      <c r="D18" s="89">
        <v>-9.8504070087377677E-3</v>
      </c>
      <c r="E18" s="90">
        <v>-1.9006134824683921E-3</v>
      </c>
      <c r="F18" s="91">
        <v>-1.7711690186247592E-2</v>
      </c>
      <c r="G18" s="88">
        <v>-2.2693135938594226E-2</v>
      </c>
      <c r="H18" s="89">
        <v>-2.3664428994861739E-2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-2.307813945E-2</v>
      </c>
      <c r="D26" s="97">
        <v>1</v>
      </c>
      <c r="E26" s="98">
        <v>3.5797813099999998E-3</v>
      </c>
      <c r="F26" s="99">
        <v>0.99999999999999989</v>
      </c>
      <c r="G26" s="96">
        <v>-4.3616708160000003E-2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-21115.345600000001</v>
      </c>
      <c r="D27" s="126"/>
      <c r="E27" s="103">
        <v>3129.8727100000037</v>
      </c>
      <c r="F27" s="126"/>
      <c r="G27" s="102">
        <v>-37779.856639999998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-1.4634927011217005E-2</v>
      </c>
      <c r="D29" s="107">
        <v>0.49066695180717135</v>
      </c>
      <c r="E29" s="108">
        <v>4.8420148071823647E-3</v>
      </c>
      <c r="F29" s="109">
        <v>0.50395922143458449</v>
      </c>
      <c r="G29" s="106">
        <v>1.003112359953947E-2</v>
      </c>
      <c r="H29" s="107">
        <v>0.52683350205471435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-8.4432124387829894E-3</v>
      </c>
      <c r="D30" s="89">
        <v>0.50933304819282865</v>
      </c>
      <c r="E30" s="90">
        <v>-1.2622334971823638E-3</v>
      </c>
      <c r="F30" s="91">
        <v>0.49604077856541551</v>
      </c>
      <c r="G30" s="88">
        <v>-5.3647831682454655E-2</v>
      </c>
      <c r="H30" s="89">
        <v>0.4731664979452857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-2.307813945E-2</v>
      </c>
      <c r="D31" s="97">
        <v>1</v>
      </c>
      <c r="E31" s="98">
        <v>3.5797813099999998E-3</v>
      </c>
      <c r="F31" s="99">
        <v>0.99999999999999989</v>
      </c>
      <c r="G31" s="96">
        <v>-4.3616708160000003E-2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-1.0597027324866939E-2</v>
      </c>
      <c r="D33" s="107">
        <v>1.0145410288870713</v>
      </c>
      <c r="E33" s="108">
        <v>5.1373634754780292E-4</v>
      </c>
      <c r="F33" s="109">
        <v>1.0193960724358559</v>
      </c>
      <c r="G33" s="106">
        <v>-5.0315767343962627E-2</v>
      </c>
      <c r="H33" s="107">
        <v>1.0136936317256786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-1.2481112125133052E-2</v>
      </c>
      <c r="D34" s="89">
        <v>-1.454102888707132E-2</v>
      </c>
      <c r="E34" s="90">
        <v>3.0660449624521986E-3</v>
      </c>
      <c r="F34" s="91">
        <v>-1.9396072435856001E-2</v>
      </c>
      <c r="G34" s="88">
        <v>6.6990591839626527E-3</v>
      </c>
      <c r="H34" s="89">
        <v>-1.3693631725678569E-2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-2.307813945E-2</v>
      </c>
      <c r="D35" s="113">
        <v>1</v>
      </c>
      <c r="E35" s="114">
        <v>3.5797813099999998E-3</v>
      </c>
      <c r="F35" s="115">
        <v>0.99999999999999989</v>
      </c>
      <c r="G35" s="112">
        <v>-4.3616708160000003E-2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5.1532564748584244E-3</v>
      </c>
      <c r="D38" s="89">
        <v>0.49473605018651462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-2.3720540223148845E-6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-3.6845801802013849E-2</v>
      </c>
      <c r="D45" s="89">
        <v>0.518113508562699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-3.2287825495172501E-4</v>
      </c>
      <c r="D46" s="89">
        <v>4.2259499807354231E-3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-3.0325827778629057E-2</v>
      </c>
      <c r="D49" s="89">
        <v>-1.7075508729949035E-2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-6.234362341475852E-2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-55765.329529999995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2.765846299212925E-4</v>
      </c>
      <c r="D60" s="107">
        <v>0.50715322509882343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-6.2620208044679812E-2</v>
      </c>
      <c r="D61" s="89">
        <v>0.49284677490117662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-6.234362341475852E-2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-5.9520131214651585E-2</v>
      </c>
      <c r="D64" s="107">
        <v>1.0158769110162018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-2.8234922001069349E-3</v>
      </c>
      <c r="D65" s="89">
        <v>-1.5876911016201964E-2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-6.234362341475852E-2</v>
      </c>
      <c r="D66" s="113">
        <v>0.99999999999999989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