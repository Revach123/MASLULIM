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1404\2020\"/>
    </mc:Choice>
  </mc:AlternateContent>
  <xr:revisionPtr revIDLastSave="0" documentId="8_{E1A3BDB2-EC0D-4D5E-8FD2-B2D2B08EB13E}" xr6:coauthVersionLast="47" xr6:coauthVersionMax="47" xr10:uidLastSave="{00000000-0000-0000-0000-000000000000}"/>
  <bookViews>
    <workbookView xWindow="-120" yWindow="-120" windowWidth="29040" windowHeight="15840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 iterateCount="5" iterateDelta="0.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3" i="5" l="1"/>
  <c r="E43" i="5"/>
  <c r="F36" i="5"/>
  <c r="E36" i="5"/>
  <c r="F27" i="5"/>
  <c r="E27" i="5"/>
  <c r="C27" i="5"/>
  <c r="D27" i="5"/>
  <c r="D43" i="5"/>
  <c r="C43" i="5"/>
  <c r="D36" i="5"/>
  <c r="C36" i="5"/>
  <c r="E4" i="5"/>
  <c r="C6" i="5"/>
  <c r="C32" i="5"/>
  <c r="C39" i="5"/>
  <c r="E6" i="5"/>
  <c r="E39" i="5"/>
  <c r="G4" i="5" l="1"/>
  <c r="E32" i="5"/>
  <c r="I4" i="5" l="1"/>
  <c r="G32" i="5"/>
  <c r="G6" i="5"/>
  <c r="C46" i="5"/>
  <c r="C78" i="5"/>
  <c r="C71" i="5"/>
  <c r="G39" i="5"/>
  <c r="K4" i="5" l="1"/>
  <c r="I6" i="5"/>
  <c r="I39" i="5"/>
  <c r="I32" i="5"/>
  <c r="M4" i="5" l="1"/>
  <c r="K39" i="5"/>
  <c r="K32" i="5"/>
  <c r="K6" i="5"/>
  <c r="O4" i="5" l="1"/>
  <c r="M6" i="5"/>
  <c r="M32" i="5"/>
  <c r="M39" i="5"/>
  <c r="E71" i="5"/>
  <c r="E78" i="5"/>
  <c r="E46" i="5"/>
  <c r="Q4" i="5" l="1"/>
  <c r="O6" i="5"/>
  <c r="O39" i="5"/>
  <c r="O32" i="5"/>
  <c r="S4" i="5" l="1"/>
  <c r="Q32" i="5"/>
  <c r="Q6" i="5"/>
  <c r="Q39" i="5"/>
  <c r="U4" i="5" l="1"/>
  <c r="G78" i="5"/>
  <c r="S32" i="5"/>
  <c r="S6" i="5"/>
  <c r="G71" i="5"/>
  <c r="G46" i="5"/>
  <c r="S39" i="5"/>
  <c r="W4" i="5" l="1"/>
  <c r="U32" i="5"/>
  <c r="U39" i="5"/>
  <c r="U6" i="5"/>
  <c r="Y4" i="5" l="1"/>
  <c r="W32" i="5"/>
  <c r="W6" i="5"/>
  <c r="W39" i="5"/>
  <c r="Y6" i="5"/>
  <c r="I78" i="5"/>
  <c r="Y39" i="5"/>
  <c r="Y32" i="5"/>
  <c r="I71" i="5"/>
  <c r="I46" i="5"/>
</calcChain>
</file>

<file path=xl/sharedStrings.xml><?xml version="1.0" encoding="utf-8"?>
<sst xmlns="http://schemas.openxmlformats.org/spreadsheetml/2006/main" count="178" uniqueCount="46">
  <si>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</si>
  <si>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</si>
  <si>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</si>
  <si>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</si>
  <si>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</si>
  <si>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</si>
  <si>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</si>
  <si>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</si>
  <si>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</si>
  <si>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</si>
  <si>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</si>
  <si>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</si>
  <si>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</si>
  <si>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</si>
  <si>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</si>
  <si>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</si>
  <si>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</si>
  <si>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</si>
  <si>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</si>
  <si>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</si>
  <si>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</si>
  <si>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</si>
  <si>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</si>
  <si>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</si>
  <si>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</si>
  <si>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</si>
  <si>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</si>
  <si>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</si>
  <si>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</si>
  <si>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</si>
  <si>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</si>
  <si>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</si>
  <si>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</si>
  <si>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</si>
  <si>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</si>
  <si>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</si>
  <si>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</si>
  <si>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</si>
  <si>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</si>
  <si>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</si>
  <si>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</si>
  <si>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</si>
  <si>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</si>
  <si>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</si>
  <si>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795השתלמות עובדי מדינה ללא מניות</t>
  </si>
  <si>
    <t>קרנות סל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</si>
</sst>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1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20" fillId="0" borderId="0">
      <alignment horizontal="right" wrapText="1"/>
    </xf>
  </cellStyleXfs>
  <cellXfs count="48">
    <xf numFmtId="0" fontId="0" fillId="0" borderId="0" xfId="0"/>
    <xf numFmtId="0" fontId="20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2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10" fontId="2" fillId="2" borderId="3" xfId="421" applyNumberFormat="1" applyFont="1" applyFill="1" applyBorder="1"/>
    <xf numFmtId="10" fontId="2" fillId="2" borderId="4" xfId="421" applyNumberFormat="1" applyFont="1" applyFill="1" applyBorder="1"/>
    <xf numFmtId="0" fontId="2" fillId="3" borderId="6" xfId="0" applyFont="1" applyFill="1" applyBorder="1"/>
    <xf numFmtId="0" fontId="3" fillId="3" borderId="7" xfId="0" applyFont="1" applyFill="1" applyBorder="1"/>
    <xf numFmtId="10" fontId="3" fillId="2" borderId="8" xfId="421" applyNumberFormat="1" applyFont="1" applyFill="1" applyBorder="1"/>
    <xf numFmtId="10" fontId="3" fillId="2" borderId="9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10" xfId="421" applyNumberFormat="1" applyFont="1" applyFill="1" applyBorder="1"/>
    <xf numFmtId="10" fontId="2" fillId="2" borderId="11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1" fillId="0" borderId="0" xfId="0" applyFont="1"/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0" fontId="2" fillId="4" borderId="3" xfId="421" applyNumberFormat="1" applyFont="1" applyFill="1" applyBorder="1"/>
    <xf numFmtId="10" fontId="2" fillId="4" borderId="4" xfId="421" applyNumberFormat="1" applyFont="1" applyFill="1" applyBorder="1"/>
    <xf numFmtId="10" fontId="3" fillId="4" borderId="8" xfId="421" applyNumberFormat="1" applyFont="1" applyFill="1" applyBorder="1"/>
    <xf numFmtId="10" fontId="3" fillId="4" borderId="9" xfId="421" applyNumberFormat="1" applyFont="1" applyFill="1" applyBorder="1"/>
    <xf numFmtId="10" fontId="2" fillId="4" borderId="10" xfId="421" applyNumberFormat="1" applyFont="1" applyFill="1" applyBorder="1"/>
    <xf numFmtId="10" fontId="2" fillId="4" borderId="11" xfId="421" applyNumberFormat="1" applyFont="1" applyFill="1" applyBorder="1"/>
    <xf numFmtId="0" fontId="3" fillId="5" borderId="12" xfId="0" applyFont="1" applyFill="1" applyBorder="1"/>
    <xf numFmtId="0" fontId="13" fillId="0" borderId="0" xfId="0" applyFont="1"/>
    <xf numFmtId="17" fontId="3" fillId="2" borderId="10" xfId="0" applyNumberFormat="1" applyFont="1" applyFill="1" applyBorder="1" applyAlignment="1">
      <alignment horizontal="center"/>
    </xf>
    <xf numFmtId="17" fontId="2" fillId="2" borderId="11" xfId="0" applyNumberFormat="1" applyFont="1" applyFill="1" applyBorder="1" applyAlignment="1">
      <alignment horizontal="center"/>
    </xf>
    <xf numFmtId="17" fontId="3" fillId="4" borderId="10" xfId="0" applyNumberFormat="1" applyFont="1" applyFill="1" applyBorder="1" applyAlignment="1">
      <alignment horizontal="center"/>
    </xf>
    <xf numFmtId="17" fontId="2" fillId="4" borderId="11" xfId="0" applyNumberFormat="1" applyFont="1" applyFill="1" applyBorder="1" applyAlignment="1">
      <alignment horizontal="center"/>
    </xf>
    <xf numFmtId="3" fontId="3" fillId="2" borderId="13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4" borderId="13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17" fontId="3" fillId="4" borderId="16" xfId="0" applyNumberFormat="1" applyFont="1" applyFill="1" applyBorder="1" applyAlignment="1">
      <alignment horizontal="center"/>
    </xf>
    <xf numFmtId="17" fontId="3" fillId="4" borderId="17" xfId="0" applyNumberFormat="1" applyFont="1" applyFill="1" applyBorder="1" applyAlignment="1">
      <alignment horizontal="center"/>
    </xf>
    <xf numFmtId="17" fontId="3" fillId="2" borderId="16" xfId="0" applyNumberFormat="1" applyFont="1" applyFill="1" applyBorder="1" applyAlignment="1">
      <alignment horizontal="center"/>
    </xf>
    <xf numFmtId="17" fontId="3" fillId="2" borderId="17" xfId="0" applyNumberFormat="1" applyFont="1" applyFill="1" applyBorder="1" applyAlignment="1">
      <alignment horizontal="center"/>
    </xf>
    <xf numFmtId="17" fontId="6" fillId="2" borderId="13" xfId="0" applyNumberFormat="1" applyFont="1" applyFill="1" applyBorder="1" applyAlignment="1">
      <alignment horizontal="center"/>
    </xf>
    <xf numFmtId="17" fontId="6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workbookViewId="0"/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44</v>
      </c>
      <c r="C3" s="22" t="s">
        <v>40</v>
      </c>
    </row>
    <row r="4" spans="2:31" x14ac:dyDescent="0.25">
      <c r="B4" s="2">
        <v>2020</v>
      </c>
      <c r="C4" s="22">
        <v>5</v>
      </c>
      <c r="D4" s="22"/>
      <c r="E4" s="22">
        <f>C4+1</f>
        <v>6</v>
      </c>
      <c r="F4" s="22"/>
      <c r="G4" s="22">
        <f>E4+1</f>
        <v>7</v>
      </c>
      <c r="H4" s="22"/>
      <c r="I4" s="22">
        <f>G4+1</f>
        <v>8</v>
      </c>
      <c r="J4" s="22"/>
      <c r="K4" s="22">
        <f>I4+1</f>
        <v>9</v>
      </c>
      <c r="L4" s="22"/>
      <c r="M4" s="22">
        <f>K4+1</f>
        <v>10</v>
      </c>
      <c r="N4" s="22"/>
      <c r="O4" s="22">
        <f>M4+1</f>
        <v>11</v>
      </c>
      <c r="P4" s="22"/>
      <c r="Q4" s="22">
        <f>O4+1</f>
        <v>12</v>
      </c>
      <c r="R4" s="22"/>
      <c r="S4" s="22">
        <f>Q4+1</f>
        <v>13</v>
      </c>
      <c r="T4" s="22"/>
      <c r="U4" s="22">
        <f>S4+1</f>
        <v>14</v>
      </c>
      <c r="V4" s="22"/>
      <c r="W4" s="22">
        <f>U4+1</f>
        <v>15</v>
      </c>
      <c r="X4" s="22"/>
      <c r="Y4" s="22">
        <f>W4+1</f>
        <v>16</v>
      </c>
      <c r="Z4" s="22"/>
      <c r="AE4" s="1">
        <v>2016</v>
      </c>
    </row>
    <row r="5" spans="2:31" ht="15.75" x14ac:dyDescent="0.25">
      <c r="B5" s="2"/>
      <c r="C5" s="45" t="s">
        <v>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7"/>
      <c r="AE5" s="3" t="s">
        <v>1</v>
      </c>
    </row>
    <row r="6" spans="2:31" ht="15.75" x14ac:dyDescent="0.25">
      <c r="B6" s="21" t="s">
        <v>41</v>
      </c>
      <c r="C6" s="33" t="str">
        <f ca="1">CONCATENATE(INDIRECT(CONCATENATE($C$3,C4))," ",$B$4)</f>
        <v>ינואר 2020</v>
      </c>
      <c r="D6" s="34"/>
      <c r="E6" s="35" t="str">
        <f ca="1">CONCATENATE(INDIRECT(CONCATENATE($C$3,E4))," ",$B$4)</f>
        <v>פברואר 2020</v>
      </c>
      <c r="F6" s="36"/>
      <c r="G6" s="33" t="str">
        <f ca="1">CONCATENATE(INDIRECT(CONCATENATE($C$3,G4))," ",$B$4)</f>
        <v>מרץ 2020</v>
      </c>
      <c r="H6" s="34"/>
      <c r="I6" s="35" t="str">
        <f ca="1">CONCATENATE(INDIRECT(CONCATENATE($C$3,I4))," ",$B$4)</f>
        <v>אפריל 2020</v>
      </c>
      <c r="J6" s="36"/>
      <c r="K6" s="33" t="str">
        <f ca="1">CONCATENATE(INDIRECT(CONCATENATE($C$3,K4))," ",$B$4)</f>
        <v>מאי 2020</v>
      </c>
      <c r="L6" s="34"/>
      <c r="M6" s="35" t="str">
        <f ca="1">CONCATENATE(INDIRECT(CONCATENATE($C$3,M4))," ",$B$4)</f>
        <v>יוני 2020</v>
      </c>
      <c r="N6" s="36"/>
      <c r="O6" s="33" t="str">
        <f ca="1">CONCATENATE(INDIRECT(CONCATENATE($C$3,O4))," ",$B$4)</f>
        <v>יולי 2020</v>
      </c>
      <c r="P6" s="34"/>
      <c r="Q6" s="35" t="str">
        <f ca="1">CONCATENATE(INDIRECT(CONCATENATE($C$3,Q4))," ",$B$4)</f>
        <v>אוגוסט 2020</v>
      </c>
      <c r="R6" s="36"/>
      <c r="S6" s="33" t="str">
        <f ca="1">CONCATENATE(INDIRECT(CONCATENATE($C$3,S4))," ",$B$4)</f>
        <v>ספטמבר 2020</v>
      </c>
      <c r="T6" s="34"/>
      <c r="U6" s="35" t="str">
        <f ca="1">CONCATENATE(INDIRECT(CONCATENATE($C$3,U4))," ",$B$4)</f>
        <v>אוקטובר 2020</v>
      </c>
      <c r="V6" s="36"/>
      <c r="W6" s="33" t="str">
        <f ca="1">CONCATENATE(INDIRECT(CONCATENATE($C$3,W4))," ",$B$4)</f>
        <v>נובמבר 2020</v>
      </c>
      <c r="X6" s="34"/>
      <c r="Y6" s="35" t="str">
        <f ca="1">CONCATENATE(INDIRECT(CONCATENATE($C$3,Y4))," ",$B$4)</f>
        <v>דצמבר 2020</v>
      </c>
      <c r="Z6" s="36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4.5151136682557699E-2</v>
      </c>
      <c r="E8" s="25">
        <v>0</v>
      </c>
      <c r="F8" s="26">
        <v>0.19144551655231901</v>
      </c>
      <c r="G8" s="8">
        <v>1E-4</v>
      </c>
      <c r="H8" s="9">
        <v>0.19964026261728399</v>
      </c>
      <c r="I8" s="25"/>
      <c r="J8" s="26"/>
      <c r="K8" s="8"/>
      <c r="L8" s="9"/>
      <c r="M8" s="25"/>
      <c r="N8" s="26"/>
      <c r="O8" s="8"/>
      <c r="P8" s="9"/>
      <c r="Q8" s="25"/>
      <c r="R8" s="26"/>
      <c r="S8" s="8"/>
      <c r="T8" s="9"/>
      <c r="U8" s="25"/>
      <c r="V8" s="26"/>
      <c r="W8" s="8"/>
      <c r="X8" s="9"/>
      <c r="Y8" s="25"/>
      <c r="Z8" s="26"/>
      <c r="AE8" s="3" t="s">
        <v>8</v>
      </c>
    </row>
    <row r="9" spans="2:31" x14ac:dyDescent="0.25">
      <c r="B9" s="10" t="s">
        <v>7</v>
      </c>
      <c r="C9" s="8">
        <v>-4.0000000000000002E-4</v>
      </c>
      <c r="D9" s="9">
        <v>0.88289703435414701</v>
      </c>
      <c r="E9" s="25">
        <v>-1.1999999999999999E-3</v>
      </c>
      <c r="F9" s="26">
        <v>0.72878542652229905</v>
      </c>
      <c r="G9" s="8">
        <v>-3.5999999999999999E-3</v>
      </c>
      <c r="H9" s="9">
        <v>0.74373891589415397</v>
      </c>
      <c r="I9" s="25"/>
      <c r="J9" s="26"/>
      <c r="K9" s="8"/>
      <c r="L9" s="9"/>
      <c r="M9" s="25"/>
      <c r="N9" s="26"/>
      <c r="O9" s="8"/>
      <c r="P9" s="9"/>
      <c r="Q9" s="25"/>
      <c r="R9" s="26"/>
      <c r="S9" s="8"/>
      <c r="T9" s="9"/>
      <c r="U9" s="25"/>
      <c r="V9" s="26"/>
      <c r="W9" s="8"/>
      <c r="X9" s="9"/>
      <c r="Y9" s="25"/>
      <c r="Z9" s="26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/>
      <c r="J10" s="26"/>
      <c r="K10" s="8"/>
      <c r="L10" s="9"/>
      <c r="M10" s="25"/>
      <c r="N10" s="26"/>
      <c r="O10" s="8"/>
      <c r="P10" s="9"/>
      <c r="Q10" s="25"/>
      <c r="R10" s="26"/>
      <c r="S10" s="8"/>
      <c r="T10" s="9"/>
      <c r="U10" s="25"/>
      <c r="V10" s="26"/>
      <c r="W10" s="8"/>
      <c r="X10" s="9"/>
      <c r="Y10" s="25"/>
      <c r="Z10" s="26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/>
      <c r="J11" s="26"/>
      <c r="K11" s="8"/>
      <c r="L11" s="9"/>
      <c r="M11" s="25"/>
      <c r="N11" s="26"/>
      <c r="O11" s="8"/>
      <c r="P11" s="9"/>
      <c r="Q11" s="25"/>
      <c r="R11" s="26"/>
      <c r="S11" s="8"/>
      <c r="T11" s="9"/>
      <c r="U11" s="25"/>
      <c r="V11" s="26"/>
      <c r="W11" s="8"/>
      <c r="X11" s="9"/>
      <c r="Y11" s="25"/>
      <c r="Z11" s="26"/>
      <c r="AE11" s="3" t="s">
        <v>14</v>
      </c>
    </row>
    <row r="12" spans="2:31" x14ac:dyDescent="0.25">
      <c r="B12" s="10" t="s">
        <v>13</v>
      </c>
      <c r="C12" s="8">
        <v>-3.46944695195361E-20</v>
      </c>
      <c r="D12" s="9">
        <v>7.1952226149580106E-2</v>
      </c>
      <c r="E12" s="25">
        <v>-1E-4</v>
      </c>
      <c r="F12" s="26">
        <v>7.9769810201205604E-2</v>
      </c>
      <c r="G12" s="8">
        <v>-2.5999999999999999E-3</v>
      </c>
      <c r="H12" s="9">
        <v>5.66599287982213E-2</v>
      </c>
      <c r="I12" s="25"/>
      <c r="J12" s="26"/>
      <c r="K12" s="8"/>
      <c r="L12" s="9"/>
      <c r="M12" s="25"/>
      <c r="N12" s="26"/>
      <c r="O12" s="8"/>
      <c r="P12" s="9"/>
      <c r="Q12" s="25"/>
      <c r="R12" s="26"/>
      <c r="S12" s="8"/>
      <c r="T12" s="9"/>
      <c r="U12" s="25"/>
      <c r="V12" s="26"/>
      <c r="W12" s="8"/>
      <c r="X12" s="9"/>
      <c r="Y12" s="25"/>
      <c r="Z12" s="26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/>
      <c r="J13" s="26"/>
      <c r="K13" s="8"/>
      <c r="L13" s="9"/>
      <c r="M13" s="25"/>
      <c r="N13" s="26"/>
      <c r="O13" s="8"/>
      <c r="P13" s="9"/>
      <c r="Q13" s="25"/>
      <c r="R13" s="26"/>
      <c r="S13" s="8"/>
      <c r="T13" s="9"/>
      <c r="U13" s="25"/>
      <c r="V13" s="26"/>
      <c r="W13" s="8"/>
      <c r="X13" s="9"/>
      <c r="Y13" s="25"/>
      <c r="Z13" s="26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/>
      <c r="J14" s="26"/>
      <c r="K14" s="8"/>
      <c r="L14" s="9"/>
      <c r="M14" s="25"/>
      <c r="N14" s="26"/>
      <c r="O14" s="8"/>
      <c r="P14" s="9"/>
      <c r="Q14" s="25"/>
      <c r="R14" s="26"/>
      <c r="S14" s="8"/>
      <c r="T14" s="9"/>
      <c r="U14" s="25"/>
      <c r="V14" s="26"/>
      <c r="W14" s="8"/>
      <c r="X14" s="9"/>
      <c r="Y14" s="25"/>
      <c r="Z14" s="26"/>
      <c r="AE14" s="3" t="s">
        <v>19</v>
      </c>
    </row>
    <row r="15" spans="2:31" x14ac:dyDescent="0.25">
      <c r="B15" s="10" t="s">
        <v>45</v>
      </c>
      <c r="C15" s="8">
        <v>0</v>
      </c>
      <c r="D15" s="9">
        <v>0</v>
      </c>
      <c r="E15" s="25">
        <v>0</v>
      </c>
      <c r="F15" s="26">
        <v>0</v>
      </c>
      <c r="G15" s="8">
        <v>0</v>
      </c>
      <c r="H15" s="9">
        <v>0</v>
      </c>
      <c r="I15" s="25"/>
      <c r="J15" s="26"/>
      <c r="K15" s="8"/>
      <c r="L15" s="9"/>
      <c r="M15" s="25"/>
      <c r="N15" s="26"/>
      <c r="O15" s="8"/>
      <c r="P15" s="9"/>
      <c r="Q15" s="25"/>
      <c r="R15" s="26"/>
      <c r="S15" s="8"/>
      <c r="T15" s="9"/>
      <c r="U15" s="25"/>
      <c r="V15" s="26"/>
      <c r="W15" s="8"/>
      <c r="X15" s="9"/>
      <c r="Y15" s="25"/>
      <c r="Z15" s="26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/>
      <c r="J16" s="26"/>
      <c r="K16" s="8"/>
      <c r="L16" s="9"/>
      <c r="M16" s="25"/>
      <c r="N16" s="26"/>
      <c r="O16" s="8"/>
      <c r="P16" s="9"/>
      <c r="Q16" s="25"/>
      <c r="R16" s="26"/>
      <c r="S16" s="8"/>
      <c r="T16" s="9"/>
      <c r="U16" s="25"/>
      <c r="V16" s="26"/>
      <c r="W16" s="8"/>
      <c r="X16" s="9"/>
      <c r="Y16" s="25"/>
      <c r="Z16" s="26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/>
      <c r="J17" s="26"/>
      <c r="K17" s="8"/>
      <c r="L17" s="9"/>
      <c r="M17" s="25"/>
      <c r="N17" s="26"/>
      <c r="O17" s="8"/>
      <c r="P17" s="9"/>
      <c r="Q17" s="25"/>
      <c r="R17" s="26"/>
      <c r="S17" s="8"/>
      <c r="T17" s="9"/>
      <c r="U17" s="25"/>
      <c r="V17" s="26"/>
      <c r="W17" s="8"/>
      <c r="X17" s="9"/>
      <c r="Y17" s="25"/>
      <c r="Z17" s="26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/>
      <c r="J18" s="26"/>
      <c r="K18" s="8"/>
      <c r="L18" s="9"/>
      <c r="M18" s="25"/>
      <c r="N18" s="26"/>
      <c r="O18" s="8"/>
      <c r="P18" s="9"/>
      <c r="Q18" s="25"/>
      <c r="R18" s="26"/>
      <c r="S18" s="8"/>
      <c r="T18" s="9"/>
      <c r="U18" s="25"/>
      <c r="V18" s="26"/>
      <c r="W18" s="8"/>
      <c r="X18" s="9"/>
      <c r="Y18" s="25"/>
      <c r="Z18" s="26"/>
      <c r="AE18" s="3"/>
    </row>
    <row r="19" spans="2:31" x14ac:dyDescent="0.25">
      <c r="B19" s="10" t="s">
        <v>25</v>
      </c>
      <c r="C19" s="8">
        <v>0</v>
      </c>
      <c r="D19" s="9">
        <v>0</v>
      </c>
      <c r="E19" s="25">
        <v>0</v>
      </c>
      <c r="F19" s="26">
        <v>0</v>
      </c>
      <c r="G19" s="8">
        <v>0</v>
      </c>
      <c r="H19" s="9">
        <v>0</v>
      </c>
      <c r="I19" s="25"/>
      <c r="J19" s="26"/>
      <c r="K19" s="8"/>
      <c r="L19" s="9"/>
      <c r="M19" s="25"/>
      <c r="N19" s="26"/>
      <c r="O19" s="8"/>
      <c r="P19" s="9"/>
      <c r="Q19" s="25"/>
      <c r="R19" s="26"/>
      <c r="S19" s="8"/>
      <c r="T19" s="9"/>
      <c r="U19" s="25"/>
      <c r="V19" s="26"/>
      <c r="W19" s="8"/>
      <c r="X19" s="9"/>
      <c r="Y19" s="25"/>
      <c r="Z19" s="26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/>
      <c r="J20" s="26"/>
      <c r="K20" s="8"/>
      <c r="L20" s="9"/>
      <c r="M20" s="25"/>
      <c r="N20" s="26"/>
      <c r="O20" s="8"/>
      <c r="P20" s="9"/>
      <c r="Q20" s="25"/>
      <c r="R20" s="26"/>
      <c r="S20" s="8"/>
      <c r="T20" s="9"/>
      <c r="U20" s="25"/>
      <c r="V20" s="26"/>
      <c r="W20" s="8"/>
      <c r="X20" s="9"/>
      <c r="Y20" s="25"/>
      <c r="Z20" s="26"/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/>
      <c r="J21" s="26"/>
      <c r="K21" s="8"/>
      <c r="L21" s="9"/>
      <c r="M21" s="25"/>
      <c r="N21" s="26"/>
      <c r="O21" s="8"/>
      <c r="P21" s="9"/>
      <c r="Q21" s="25"/>
      <c r="R21" s="26"/>
      <c r="S21" s="8"/>
      <c r="T21" s="9"/>
      <c r="U21" s="25"/>
      <c r="V21" s="26"/>
      <c r="W21" s="8"/>
      <c r="X21" s="9"/>
      <c r="Y21" s="25"/>
      <c r="Z21" s="26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/>
      <c r="J22" s="26"/>
      <c r="K22" s="8"/>
      <c r="L22" s="9"/>
      <c r="M22" s="25"/>
      <c r="N22" s="26"/>
      <c r="O22" s="8"/>
      <c r="P22" s="9"/>
      <c r="Q22" s="25"/>
      <c r="R22" s="26"/>
      <c r="S22" s="8"/>
      <c r="T22" s="9"/>
      <c r="U22" s="25"/>
      <c r="V22" s="26"/>
      <c r="W22" s="8"/>
      <c r="X22" s="9"/>
      <c r="Y22" s="25"/>
      <c r="Z22" s="26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/>
      <c r="J23" s="26"/>
      <c r="K23" s="8"/>
      <c r="L23" s="9"/>
      <c r="M23" s="25"/>
      <c r="N23" s="26"/>
      <c r="O23" s="8"/>
      <c r="P23" s="9"/>
      <c r="Q23" s="25"/>
      <c r="R23" s="26"/>
      <c r="S23" s="8"/>
      <c r="T23" s="9"/>
      <c r="U23" s="25"/>
      <c r="V23" s="26"/>
      <c r="W23" s="8"/>
      <c r="X23" s="9"/>
      <c r="Y23" s="25"/>
      <c r="Z23" s="26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/>
      <c r="J24" s="26"/>
      <c r="K24" s="8"/>
      <c r="L24" s="9"/>
      <c r="M24" s="25"/>
      <c r="N24" s="26"/>
      <c r="O24" s="8"/>
      <c r="P24" s="9"/>
      <c r="Q24" s="25"/>
      <c r="R24" s="26"/>
      <c r="S24" s="8"/>
      <c r="T24" s="9"/>
      <c r="U24" s="25"/>
      <c r="V24" s="26"/>
      <c r="W24" s="8"/>
      <c r="X24" s="9"/>
      <c r="Y24" s="25"/>
      <c r="Z24" s="26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/>
      <c r="J25" s="26"/>
      <c r="K25" s="8"/>
      <c r="L25" s="9"/>
      <c r="M25" s="25"/>
      <c r="N25" s="26"/>
      <c r="O25" s="8"/>
      <c r="P25" s="9"/>
      <c r="Q25" s="25"/>
      <c r="R25" s="26"/>
      <c r="S25" s="8"/>
      <c r="T25" s="9"/>
      <c r="U25" s="25"/>
      <c r="V25" s="26"/>
      <c r="W25" s="8"/>
      <c r="X25" s="9"/>
      <c r="Y25" s="25"/>
      <c r="Z25" s="26"/>
    </row>
    <row r="26" spans="2:31" x14ac:dyDescent="0.25">
      <c r="B26" s="10" t="s">
        <v>32</v>
      </c>
      <c r="C26" s="8">
        <v>0</v>
      </c>
      <c r="D26" s="9">
        <v>-3.9718628497143E-7</v>
      </c>
      <c r="E26" s="25">
        <v>0</v>
      </c>
      <c r="F26" s="26">
        <v>-7.5327582364599499E-7</v>
      </c>
      <c r="G26" s="8">
        <v>0</v>
      </c>
      <c r="H26" s="9">
        <v>-3.9107309659442202E-5</v>
      </c>
      <c r="I26" s="25"/>
      <c r="J26" s="26"/>
      <c r="K26" s="8"/>
      <c r="L26" s="9"/>
      <c r="M26" s="25"/>
      <c r="N26" s="26"/>
      <c r="O26" s="8"/>
      <c r="P26" s="9"/>
      <c r="Q26" s="25"/>
      <c r="R26" s="26"/>
      <c r="S26" s="8"/>
      <c r="T26" s="9"/>
      <c r="U26" s="25"/>
      <c r="V26" s="26"/>
      <c r="W26" s="8"/>
      <c r="X26" s="9"/>
      <c r="Y26" s="25"/>
      <c r="Z26" s="26"/>
    </row>
    <row r="27" spans="2:31" x14ac:dyDescent="0.25">
      <c r="B27" s="11" t="s">
        <v>33</v>
      </c>
      <c r="C27" s="12">
        <f>SUM(C8:C26)</f>
        <v>-4.0000000000000007E-4</v>
      </c>
      <c r="D27" s="12">
        <f>SUM(D8:D26)</f>
        <v>0.99999999999999978</v>
      </c>
      <c r="E27" s="27">
        <f>SUM(E8:E26)</f>
        <v>-1.2999999999999999E-3</v>
      </c>
      <c r="F27" s="28">
        <f>SUM(F8:F26)</f>
        <v>1</v>
      </c>
      <c r="G27" s="12">
        <v>-6.1000000000000004E-3</v>
      </c>
      <c r="H27" s="12">
        <v>1</v>
      </c>
      <c r="I27" s="27"/>
      <c r="J27" s="28"/>
      <c r="K27" s="12"/>
      <c r="L27" s="13"/>
      <c r="M27" s="27"/>
      <c r="N27" s="28"/>
      <c r="O27" s="12"/>
      <c r="P27" s="13"/>
      <c r="Q27" s="27"/>
      <c r="R27" s="28"/>
      <c r="S27" s="12"/>
      <c r="T27" s="13"/>
      <c r="U27" s="27"/>
      <c r="V27" s="28"/>
      <c r="W27" s="12"/>
      <c r="X27" s="13"/>
      <c r="Y27" s="27"/>
      <c r="Z27" s="28"/>
    </row>
    <row r="28" spans="2:31" x14ac:dyDescent="0.25">
      <c r="B28" s="31" t="s">
        <v>39</v>
      </c>
      <c r="C28" s="37">
        <v>-13.4179499999986</v>
      </c>
      <c r="D28" s="38"/>
      <c r="E28" s="39">
        <v>-41.865510000000597</v>
      </c>
      <c r="F28" s="40"/>
      <c r="G28" s="37">
        <v>-84.57235</v>
      </c>
      <c r="H28" s="38"/>
      <c r="I28" s="39"/>
      <c r="J28" s="40"/>
      <c r="K28" s="37"/>
      <c r="L28" s="38"/>
      <c r="M28" s="39"/>
      <c r="N28" s="40"/>
      <c r="O28" s="37"/>
      <c r="P28" s="38"/>
      <c r="Q28" s="39"/>
      <c r="R28" s="40"/>
      <c r="S28" s="37"/>
      <c r="T28" s="38"/>
      <c r="U28" s="39"/>
      <c r="V28" s="40"/>
      <c r="W28" s="37"/>
      <c r="X28" s="38"/>
      <c r="Y28" s="39"/>
      <c r="Z28" s="40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5" t="s">
        <v>0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7"/>
    </row>
    <row r="32" spans="2:31" ht="15.75" x14ac:dyDescent="0.25">
      <c r="B32" s="21" t="s">
        <v>41</v>
      </c>
      <c r="C32" s="33" t="str">
        <f ca="1">CONCATENATE(INDIRECT(CONCATENATE($C$3,$C$4))," ",$B$4)</f>
        <v>ינואר 2020</v>
      </c>
      <c r="D32" s="34"/>
      <c r="E32" s="35" t="str">
        <f ca="1">CONCATENATE(INDIRECT(CONCATENATE($C$3,$E$4))," ",$B$4)</f>
        <v>פברואר 2020</v>
      </c>
      <c r="F32" s="36"/>
      <c r="G32" s="33" t="str">
        <f ca="1">CONCATENATE(INDIRECT(CONCATENATE($C$3,$G$4))," ",$B$4)</f>
        <v>מרץ 2020</v>
      </c>
      <c r="H32" s="34"/>
      <c r="I32" s="35" t="str">
        <f ca="1">CONCATENATE(INDIRECT(CONCATENATE($C$3,$I$4))," ",$B$4)</f>
        <v>אפריל 2020</v>
      </c>
      <c r="J32" s="36"/>
      <c r="K32" s="33" t="str">
        <f ca="1">CONCATENATE(INDIRECT(CONCATENATE($C$3,$K$4))," ",$B$4)</f>
        <v>מאי 2020</v>
      </c>
      <c r="L32" s="34"/>
      <c r="M32" s="35" t="str">
        <f ca="1">CONCATENATE(INDIRECT(CONCATENATE($C$3,$M$4))," ",$B$4)</f>
        <v>יוני 2020</v>
      </c>
      <c r="N32" s="36"/>
      <c r="O32" s="33" t="str">
        <f ca="1">CONCATENATE(INDIRECT(CONCATENATE($C$3,$O$4))," ",$B$4)</f>
        <v>יולי 2020</v>
      </c>
      <c r="P32" s="34"/>
      <c r="Q32" s="35" t="str">
        <f ca="1">CONCATENATE(INDIRECT(CONCATENATE($C$3,$Q$4))," ",$B$4)</f>
        <v>אוגוסט 2020</v>
      </c>
      <c r="R32" s="36"/>
      <c r="S32" s="33" t="str">
        <f ca="1">CONCATENATE(INDIRECT(CONCATENATE($C$3,$S$4))," ",$B$4)</f>
        <v>ספטמבר 2020</v>
      </c>
      <c r="T32" s="34"/>
      <c r="U32" s="35" t="str">
        <f ca="1">CONCATENATE(INDIRECT(CONCATENATE($C$3,$U$4))," ",$B$4)</f>
        <v>אוקטובר 2020</v>
      </c>
      <c r="V32" s="36"/>
      <c r="W32" s="33" t="str">
        <f ca="1">CONCATENATE(INDIRECT(CONCATENATE($C$3,$W$4))," ",$B$4)</f>
        <v>נובמבר 2020</v>
      </c>
      <c r="X32" s="34"/>
      <c r="Y32" s="35" t="str">
        <f ca="1">CONCATENATE(INDIRECT(CONCATENATE($C$3,$Y$4))," ",$B$4)</f>
        <v>דצמבר 2020</v>
      </c>
      <c r="Z32" s="36"/>
    </row>
    <row r="33" spans="2:26" ht="30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-4.0000000000000002E-4</v>
      </c>
      <c r="D34" s="17">
        <v>1</v>
      </c>
      <c r="E34" s="29">
        <v>-1.2999999999999999E-3</v>
      </c>
      <c r="F34" s="30">
        <v>1</v>
      </c>
      <c r="G34" s="16">
        <v>-6.1000000000000004E-3</v>
      </c>
      <c r="H34" s="17">
        <v>1</v>
      </c>
      <c r="I34" s="29"/>
      <c r="J34" s="30"/>
      <c r="K34" s="16"/>
      <c r="L34" s="17"/>
      <c r="M34" s="29"/>
      <c r="N34" s="30"/>
      <c r="O34" s="16"/>
      <c r="P34" s="17"/>
      <c r="Q34" s="29"/>
      <c r="R34" s="30"/>
      <c r="S34" s="16"/>
      <c r="T34" s="17"/>
      <c r="U34" s="29"/>
      <c r="V34" s="30"/>
      <c r="W34" s="16"/>
      <c r="X34" s="17"/>
      <c r="Y34" s="29"/>
      <c r="Z34" s="30"/>
    </row>
    <row r="35" spans="2:26" x14ac:dyDescent="0.25">
      <c r="B35" s="10" t="s">
        <v>35</v>
      </c>
      <c r="C35" s="8">
        <v>0</v>
      </c>
      <c r="D35" s="9">
        <v>0</v>
      </c>
      <c r="E35" s="25">
        <v>0</v>
      </c>
      <c r="F35" s="26">
        <v>0</v>
      </c>
      <c r="G35" s="8">
        <v>0</v>
      </c>
      <c r="H35" s="9">
        <v>0</v>
      </c>
      <c r="I35" s="25"/>
      <c r="J35" s="26"/>
      <c r="K35" s="8"/>
      <c r="L35" s="9"/>
      <c r="M35" s="25"/>
      <c r="N35" s="26"/>
      <c r="O35" s="8"/>
      <c r="P35" s="9"/>
      <c r="Q35" s="25"/>
      <c r="R35" s="26"/>
      <c r="S35" s="8"/>
      <c r="T35" s="9"/>
      <c r="U35" s="25"/>
      <c r="V35" s="26"/>
      <c r="W35" s="8"/>
      <c r="X35" s="9"/>
      <c r="Y35" s="25"/>
      <c r="Z35" s="26"/>
    </row>
    <row r="36" spans="2:26" x14ac:dyDescent="0.25">
      <c r="B36" s="11" t="s">
        <v>33</v>
      </c>
      <c r="C36" s="12">
        <f>C34+C35</f>
        <v>-4.0000000000000002E-4</v>
      </c>
      <c r="D36" s="13">
        <f>D34+D35</f>
        <v>1</v>
      </c>
      <c r="E36" s="27">
        <f>E34+E35</f>
        <v>-1.2999999999999999E-3</v>
      </c>
      <c r="F36" s="28">
        <f>F34+F35</f>
        <v>1</v>
      </c>
      <c r="G36" s="12">
        <v>-6.1000000000000004E-3</v>
      </c>
      <c r="H36" s="13">
        <v>1</v>
      </c>
      <c r="I36" s="27"/>
      <c r="J36" s="28"/>
      <c r="K36" s="12"/>
      <c r="L36" s="13"/>
      <c r="M36" s="27"/>
      <c r="N36" s="28"/>
      <c r="O36" s="12"/>
      <c r="P36" s="13"/>
      <c r="Q36" s="27"/>
      <c r="R36" s="28"/>
      <c r="S36" s="12"/>
      <c r="T36" s="13"/>
      <c r="U36" s="27"/>
      <c r="V36" s="28"/>
      <c r="W36" s="12"/>
      <c r="X36" s="13"/>
      <c r="Y36" s="27"/>
      <c r="Z36" s="28"/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5" t="s">
        <v>0</v>
      </c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7"/>
    </row>
    <row r="39" spans="2:26" ht="15.75" x14ac:dyDescent="0.25">
      <c r="B39" s="21" t="s">
        <v>41</v>
      </c>
      <c r="C39" s="33" t="str">
        <f ca="1">CONCATENATE(INDIRECT(CONCATENATE($C$3,$C$4))," ",$B$4)</f>
        <v>ינואר 2020</v>
      </c>
      <c r="D39" s="34"/>
      <c r="E39" s="35" t="str">
        <f ca="1">CONCATENATE(INDIRECT(CONCATENATE($C$3,$E$4))," ",$B$4)</f>
        <v>פברואר 2020</v>
      </c>
      <c r="F39" s="36"/>
      <c r="G39" s="33" t="str">
        <f ca="1">CONCATENATE(INDIRECT(CONCATENATE($C$3,$G$4))," ",$B$4)</f>
        <v>מרץ 2020</v>
      </c>
      <c r="H39" s="34"/>
      <c r="I39" s="35" t="str">
        <f ca="1">CONCATENATE(INDIRECT(CONCATENATE($C$3,$I$4))," ",$B$4)</f>
        <v>אפריל 2020</v>
      </c>
      <c r="J39" s="36"/>
      <c r="K39" s="33" t="str">
        <f ca="1">CONCATENATE(INDIRECT(CONCATENATE($C$3,$K$4))," ",$B$4)</f>
        <v>מאי 2020</v>
      </c>
      <c r="L39" s="34"/>
      <c r="M39" s="35" t="str">
        <f ca="1">CONCATENATE(INDIRECT(CONCATENATE($C$3,$M$4))," ",$B$4)</f>
        <v>יוני 2020</v>
      </c>
      <c r="N39" s="36"/>
      <c r="O39" s="33" t="str">
        <f ca="1">CONCATENATE(INDIRECT(CONCATENATE($C$3,$O$4))," ",$B$4)</f>
        <v>יולי 2020</v>
      </c>
      <c r="P39" s="34"/>
      <c r="Q39" s="35" t="str">
        <f ca="1">CONCATENATE(INDIRECT(CONCATENATE($C$3,$Q$4))," ",$B$4)</f>
        <v>אוגוסט 2020</v>
      </c>
      <c r="R39" s="36"/>
      <c r="S39" s="33" t="str">
        <f ca="1">CONCATENATE(INDIRECT(CONCATENATE($C$3,$S$4))," ",$B$4)</f>
        <v>ספטמבר 2020</v>
      </c>
      <c r="T39" s="34"/>
      <c r="U39" s="35" t="str">
        <f ca="1">CONCATENATE(INDIRECT(CONCATENATE($C$3,$U$4))," ",$B$4)</f>
        <v>אוקטובר 2020</v>
      </c>
      <c r="V39" s="36"/>
      <c r="W39" s="33" t="str">
        <f ca="1">CONCATENATE(INDIRECT(CONCATENATE($C$3,$W$4))," ",$B$4)</f>
        <v>נובמבר 2020</v>
      </c>
      <c r="X39" s="34"/>
      <c r="Y39" s="35" t="str">
        <f ca="1">CONCATENATE(INDIRECT(CONCATENATE($C$3,$Y$4))," ",$B$4)</f>
        <v>דצמבר 2020</v>
      </c>
      <c r="Z39" s="36"/>
    </row>
    <row r="40" spans="2:26" ht="30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-4.0000000000000002E-4</v>
      </c>
      <c r="D41" s="17">
        <v>1</v>
      </c>
      <c r="E41" s="29">
        <v>-1.2999999999999999E-3</v>
      </c>
      <c r="F41" s="30">
        <v>1</v>
      </c>
      <c r="G41" s="16">
        <v>-6.1000000000000004E-3</v>
      </c>
      <c r="H41" s="17">
        <v>1</v>
      </c>
      <c r="I41" s="29"/>
      <c r="J41" s="30"/>
      <c r="K41" s="16"/>
      <c r="L41" s="17"/>
      <c r="M41" s="29"/>
      <c r="N41" s="30"/>
      <c r="O41" s="16"/>
      <c r="P41" s="17"/>
      <c r="Q41" s="29"/>
      <c r="R41" s="30"/>
      <c r="S41" s="16"/>
      <c r="T41" s="17"/>
      <c r="U41" s="29"/>
      <c r="V41" s="30"/>
      <c r="W41" s="16"/>
      <c r="X41" s="17"/>
      <c r="Y41" s="29"/>
      <c r="Z41" s="30"/>
    </row>
    <row r="42" spans="2:26" x14ac:dyDescent="0.25">
      <c r="B42" s="10" t="s">
        <v>37</v>
      </c>
      <c r="C42" s="8">
        <v>0</v>
      </c>
      <c r="D42" s="9">
        <v>0</v>
      </c>
      <c r="E42" s="25">
        <v>0</v>
      </c>
      <c r="F42" s="26">
        <v>0</v>
      </c>
      <c r="G42" s="8">
        <v>0</v>
      </c>
      <c r="H42" s="9">
        <v>0</v>
      </c>
      <c r="I42" s="25"/>
      <c r="J42" s="26"/>
      <c r="K42" s="8"/>
      <c r="L42" s="9"/>
      <c r="M42" s="25"/>
      <c r="N42" s="26"/>
      <c r="O42" s="8"/>
      <c r="P42" s="9"/>
      <c r="Q42" s="25"/>
      <c r="R42" s="26"/>
      <c r="S42" s="8"/>
      <c r="T42" s="9"/>
      <c r="U42" s="25"/>
      <c r="V42" s="26"/>
      <c r="W42" s="8"/>
      <c r="X42" s="9"/>
      <c r="Y42" s="25"/>
      <c r="Z42" s="26"/>
    </row>
    <row r="43" spans="2:26" x14ac:dyDescent="0.25">
      <c r="B43" s="11" t="s">
        <v>33</v>
      </c>
      <c r="C43" s="12">
        <f>C41+C42</f>
        <v>-4.0000000000000002E-4</v>
      </c>
      <c r="D43" s="13">
        <f>D41+D42</f>
        <v>1</v>
      </c>
      <c r="E43" s="27">
        <f>E41+E42</f>
        <v>-1.2999999999999999E-3</v>
      </c>
      <c r="F43" s="28">
        <f>F41+F42</f>
        <v>1</v>
      </c>
      <c r="G43" s="12">
        <v>-6.1000000000000004E-3</v>
      </c>
      <c r="H43" s="13">
        <v>1</v>
      </c>
      <c r="I43" s="27"/>
      <c r="J43" s="28"/>
      <c r="K43" s="12"/>
      <c r="L43" s="13"/>
      <c r="M43" s="27"/>
      <c r="N43" s="28"/>
      <c r="O43" s="12"/>
      <c r="P43" s="13"/>
      <c r="Q43" s="27"/>
      <c r="R43" s="28"/>
      <c r="S43" s="12"/>
      <c r="T43" s="13"/>
      <c r="U43" s="27"/>
      <c r="V43" s="28"/>
      <c r="W43" s="12"/>
      <c r="X43" s="13"/>
      <c r="Y43" s="27"/>
      <c r="Z43" s="28"/>
    </row>
    <row r="45" spans="2:26" ht="15.75" x14ac:dyDescent="0.25">
      <c r="C45" s="45" t="s">
        <v>0</v>
      </c>
      <c r="D45" s="46"/>
      <c r="E45" s="46"/>
      <c r="F45" s="46"/>
      <c r="G45" s="46"/>
      <c r="H45" s="46"/>
      <c r="I45" s="46"/>
      <c r="J45" s="47"/>
    </row>
    <row r="46" spans="2:26" ht="15.75" x14ac:dyDescent="0.25">
      <c r="B46" s="21" t="s">
        <v>38</v>
      </c>
      <c r="C46" s="43" t="str">
        <f ca="1">CONCATENATE(INDIRECT(CONCATENATE($C$3,C4))," - ",INDIRECT(CONCATENATE($C$3,G4))," ",$B$4)</f>
        <v>ינואר - מרץ 2020</v>
      </c>
      <c r="D46" s="44"/>
      <c r="E46" s="41" t="str">
        <f ca="1">CONCATENATE(INDIRECT(CONCATENATE($C$3,C4))," - ",INDIRECT(CONCATENATE($C$3,M4))," ",$B$4)</f>
        <v>ינואר - יוני 2020</v>
      </c>
      <c r="F46" s="42"/>
      <c r="G46" s="43" t="str">
        <f ca="1">CONCATENATE(INDIRECT(CONCATENATE($C$3,C4))," - ",INDIRECT(CONCATENATE($C$3,S4))," ",$B$4)</f>
        <v>ינואר - ספטמבר 2020</v>
      </c>
      <c r="H46" s="44"/>
      <c r="I46" s="41" t="str">
        <f ca="1">CONCATENATE(INDIRECT(CONCATENATE($C$3,C4))," - ",INDIRECT(CONCATENATE($C$3,Y4))," ",$B$4)</f>
        <v>ינואר - דצמבר 2020</v>
      </c>
      <c r="J46" s="42"/>
    </row>
    <row r="47" spans="2:26" ht="30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9.9999999999988987E-5</v>
      </c>
      <c r="D48" s="9">
        <v>0.19144551655231901</v>
      </c>
      <c r="E48" s="25"/>
      <c r="F48" s="26"/>
      <c r="G48" s="8"/>
      <c r="H48" s="9"/>
      <c r="I48" s="25"/>
      <c r="J48" s="26"/>
    </row>
    <row r="49" spans="2:10" x14ac:dyDescent="0.25">
      <c r="B49" s="10" t="s">
        <v>7</v>
      </c>
      <c r="C49" s="8">
        <v>-5.1937617280000126E-3</v>
      </c>
      <c r="D49" s="9">
        <v>0.72878542652229905</v>
      </c>
      <c r="E49" s="25"/>
      <c r="F49" s="26"/>
      <c r="G49" s="8"/>
      <c r="H49" s="9"/>
      <c r="I49" s="25"/>
      <c r="J49" s="26"/>
    </row>
    <row r="50" spans="2:10" x14ac:dyDescent="0.25">
      <c r="B50" s="10" t="s">
        <v>9</v>
      </c>
      <c r="C50" s="8">
        <v>0</v>
      </c>
      <c r="D50" s="9">
        <v>0</v>
      </c>
      <c r="E50" s="25"/>
      <c r="F50" s="26"/>
      <c r="G50" s="8"/>
      <c r="H50" s="9"/>
      <c r="I50" s="25"/>
      <c r="J50" s="26"/>
    </row>
    <row r="51" spans="2:10" x14ac:dyDescent="0.25">
      <c r="B51" s="10" t="s">
        <v>11</v>
      </c>
      <c r="C51" s="8">
        <v>0</v>
      </c>
      <c r="D51" s="9">
        <v>0</v>
      </c>
      <c r="E51" s="25"/>
      <c r="F51" s="26"/>
      <c r="G51" s="8"/>
      <c r="H51" s="9"/>
      <c r="I51" s="25"/>
      <c r="J51" s="26"/>
    </row>
    <row r="52" spans="2:10" x14ac:dyDescent="0.25">
      <c r="B52" s="10" t="s">
        <v>13</v>
      </c>
      <c r="C52" s="8">
        <v>-2.6997400000000615E-3</v>
      </c>
      <c r="D52" s="9">
        <v>7.9769810201205604E-2</v>
      </c>
      <c r="E52" s="25"/>
      <c r="F52" s="26"/>
      <c r="G52" s="8"/>
      <c r="H52" s="9"/>
      <c r="I52" s="25"/>
      <c r="J52" s="26"/>
    </row>
    <row r="53" spans="2:10" x14ac:dyDescent="0.25">
      <c r="B53" s="10" t="s">
        <v>15</v>
      </c>
      <c r="C53" s="8">
        <v>0</v>
      </c>
      <c r="D53" s="9">
        <v>0</v>
      </c>
      <c r="E53" s="25"/>
      <c r="F53" s="26"/>
      <c r="G53" s="8"/>
      <c r="H53" s="9"/>
      <c r="I53" s="25"/>
      <c r="J53" s="26"/>
    </row>
    <row r="54" spans="2:10" x14ac:dyDescent="0.25">
      <c r="B54" s="10" t="s">
        <v>17</v>
      </c>
      <c r="C54" s="8">
        <v>0</v>
      </c>
      <c r="D54" s="9">
        <v>0</v>
      </c>
      <c r="E54" s="25"/>
      <c r="F54" s="26"/>
      <c r="G54" s="8"/>
      <c r="H54" s="9"/>
      <c r="I54" s="25"/>
      <c r="J54" s="26"/>
    </row>
    <row r="55" spans="2:10" x14ac:dyDescent="0.25">
      <c r="B55" s="10" t="s">
        <v>45</v>
      </c>
      <c r="C55" s="8">
        <v>0</v>
      </c>
      <c r="D55" s="9">
        <v>0</v>
      </c>
      <c r="E55" s="25"/>
      <c r="F55" s="26"/>
      <c r="G55" s="8"/>
      <c r="H55" s="9"/>
      <c r="I55" s="25"/>
      <c r="J55" s="26"/>
    </row>
    <row r="56" spans="2:10" x14ac:dyDescent="0.25">
      <c r="B56" s="10" t="s">
        <v>20</v>
      </c>
      <c r="C56" s="8">
        <v>0</v>
      </c>
      <c r="D56" s="9">
        <v>0</v>
      </c>
      <c r="E56" s="25"/>
      <c r="F56" s="26"/>
      <c r="G56" s="8"/>
      <c r="H56" s="9"/>
      <c r="I56" s="25"/>
      <c r="J56" s="26"/>
    </row>
    <row r="57" spans="2:10" x14ac:dyDescent="0.25">
      <c r="B57" s="10" t="s">
        <v>22</v>
      </c>
      <c r="C57" s="8">
        <v>0</v>
      </c>
      <c r="D57" s="9">
        <v>0</v>
      </c>
      <c r="E57" s="25"/>
      <c r="F57" s="26"/>
      <c r="G57" s="8"/>
      <c r="H57" s="9"/>
      <c r="I57" s="25"/>
      <c r="J57" s="26"/>
    </row>
    <row r="58" spans="2:10" x14ac:dyDescent="0.25">
      <c r="B58" s="10" t="s">
        <v>24</v>
      </c>
      <c r="C58" s="8">
        <v>0</v>
      </c>
      <c r="D58" s="9">
        <v>0</v>
      </c>
      <c r="E58" s="25"/>
      <c r="F58" s="26"/>
      <c r="G58" s="8"/>
      <c r="H58" s="9"/>
      <c r="I58" s="25"/>
      <c r="J58" s="26"/>
    </row>
    <row r="59" spans="2:10" x14ac:dyDescent="0.25">
      <c r="B59" s="10" t="s">
        <v>25</v>
      </c>
      <c r="C59" s="8">
        <v>0</v>
      </c>
      <c r="D59" s="9">
        <v>0</v>
      </c>
      <c r="E59" s="25"/>
      <c r="F59" s="26"/>
      <c r="G59" s="8"/>
      <c r="H59" s="9"/>
      <c r="I59" s="25"/>
      <c r="J59" s="26"/>
    </row>
    <row r="60" spans="2:10" x14ac:dyDescent="0.25">
      <c r="B60" s="10" t="s">
        <v>26</v>
      </c>
      <c r="C60" s="8">
        <v>0</v>
      </c>
      <c r="D60" s="9">
        <v>0</v>
      </c>
      <c r="E60" s="25"/>
      <c r="F60" s="26"/>
      <c r="G60" s="8"/>
      <c r="H60" s="9"/>
      <c r="I60" s="25"/>
      <c r="J60" s="26"/>
    </row>
    <row r="61" spans="2:10" x14ac:dyDescent="0.25">
      <c r="B61" s="10" t="s">
        <v>27</v>
      </c>
      <c r="C61" s="8">
        <v>0</v>
      </c>
      <c r="D61" s="9">
        <v>0</v>
      </c>
      <c r="E61" s="25"/>
      <c r="F61" s="26"/>
      <c r="G61" s="8"/>
      <c r="H61" s="9"/>
      <c r="I61" s="25"/>
      <c r="J61" s="26"/>
    </row>
    <row r="62" spans="2:10" x14ac:dyDescent="0.25">
      <c r="B62" s="10" t="s">
        <v>28</v>
      </c>
      <c r="C62" s="8">
        <v>0</v>
      </c>
      <c r="D62" s="9">
        <v>0</v>
      </c>
      <c r="E62" s="25"/>
      <c r="F62" s="26"/>
      <c r="G62" s="8"/>
      <c r="H62" s="9"/>
      <c r="I62" s="25"/>
      <c r="J62" s="26"/>
    </row>
    <row r="63" spans="2:10" x14ac:dyDescent="0.25">
      <c r="B63" s="10" t="s">
        <v>29</v>
      </c>
      <c r="C63" s="8">
        <v>0</v>
      </c>
      <c r="D63" s="9">
        <v>0</v>
      </c>
      <c r="E63" s="25"/>
      <c r="F63" s="26"/>
      <c r="G63" s="8"/>
      <c r="H63" s="9"/>
      <c r="I63" s="25"/>
      <c r="J63" s="26"/>
    </row>
    <row r="64" spans="2:10" x14ac:dyDescent="0.25">
      <c r="B64" s="10" t="s">
        <v>30</v>
      </c>
      <c r="C64" s="8">
        <v>0</v>
      </c>
      <c r="D64" s="9">
        <v>0</v>
      </c>
      <c r="E64" s="25"/>
      <c r="F64" s="26"/>
      <c r="G64" s="8"/>
      <c r="H64" s="9"/>
      <c r="I64" s="25"/>
      <c r="J64" s="26"/>
    </row>
    <row r="65" spans="2:10" x14ac:dyDescent="0.25">
      <c r="B65" s="10" t="s">
        <v>31</v>
      </c>
      <c r="C65" s="8">
        <v>0</v>
      </c>
      <c r="D65" s="9">
        <v>0</v>
      </c>
      <c r="E65" s="25"/>
      <c r="F65" s="26"/>
      <c r="G65" s="8"/>
      <c r="H65" s="9"/>
      <c r="I65" s="25"/>
      <c r="J65" s="26"/>
    </row>
    <row r="66" spans="2:10" x14ac:dyDescent="0.25">
      <c r="B66" s="10" t="s">
        <v>32</v>
      </c>
      <c r="C66" s="8">
        <v>0</v>
      </c>
      <c r="D66" s="9">
        <v>-7.5327582364599499E-7</v>
      </c>
      <c r="E66" s="25"/>
      <c r="F66" s="26"/>
      <c r="G66" s="8"/>
      <c r="H66" s="9"/>
      <c r="I66" s="25"/>
      <c r="J66" s="26"/>
    </row>
    <row r="67" spans="2:10" x14ac:dyDescent="0.25">
      <c r="B67" s="11" t="s">
        <v>42</v>
      </c>
      <c r="C67" s="12">
        <v>-7.7935017280000851E-3</v>
      </c>
      <c r="D67" s="12">
        <v>1</v>
      </c>
      <c r="E67" s="27"/>
      <c r="F67" s="28"/>
      <c r="G67" s="12"/>
      <c r="H67" s="13"/>
      <c r="I67" s="27"/>
      <c r="J67" s="28"/>
    </row>
    <row r="68" spans="2:10" x14ac:dyDescent="0.25">
      <c r="B68" s="31" t="s">
        <v>39</v>
      </c>
      <c r="C68" s="37">
        <v>-139.8558099999992</v>
      </c>
      <c r="D68" s="38"/>
      <c r="E68" s="39"/>
      <c r="F68" s="40"/>
      <c r="G68" s="37"/>
      <c r="H68" s="38"/>
      <c r="I68" s="39"/>
      <c r="J68" s="40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5" t="s">
        <v>0</v>
      </c>
      <c r="D70" s="46"/>
      <c r="E70" s="46"/>
      <c r="F70" s="46"/>
      <c r="G70" s="46"/>
      <c r="H70" s="46"/>
      <c r="I70" s="46"/>
      <c r="J70" s="47"/>
    </row>
    <row r="71" spans="2:10" ht="15.75" x14ac:dyDescent="0.25">
      <c r="B71" s="21" t="s">
        <v>38</v>
      </c>
      <c r="C71" s="43" t="str">
        <f ca="1">CONCATENATE(INDIRECT(CONCATENATE($C$3,$C$4))," - ",INDIRECT(CONCATENATE($C$3,$G$4))," ",$B$4)</f>
        <v>ינואר - מרץ 2020</v>
      </c>
      <c r="D71" s="44"/>
      <c r="E71" s="41" t="str">
        <f ca="1">CONCATENATE(INDIRECT(CONCATENATE($C$3,$C$4))," - ",INDIRECT(CONCATENATE($C$3,$M4))," ",$B$4)</f>
        <v>ינואר - יוני 2020</v>
      </c>
      <c r="F71" s="42"/>
      <c r="G71" s="43" t="str">
        <f ca="1">CONCATENATE(INDIRECT(CONCATENATE($C$3,$C$4))," - ",INDIRECT(CONCATENATE($C$3,$S$4))," ",$B$4)</f>
        <v>ינואר - ספטמבר 2020</v>
      </c>
      <c r="H71" s="44"/>
      <c r="I71" s="41" t="str">
        <f ca="1">CONCATENATE(INDIRECT(CONCATENATE($C$3,$C$4))," - ",INDIRECT(CONCATENATE($C$3,$Y4))," ",$B$4)</f>
        <v>ינואר - דצמבר 2020</v>
      </c>
      <c r="J71" s="42"/>
    </row>
    <row r="72" spans="2:10" ht="30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23" t="s">
        <v>2</v>
      </c>
      <c r="J72" s="24" t="s">
        <v>3</v>
      </c>
    </row>
    <row r="73" spans="2:10" x14ac:dyDescent="0.25">
      <c r="B73" s="7" t="s">
        <v>34</v>
      </c>
      <c r="C73" s="17">
        <v>-7.7891131719999285E-3</v>
      </c>
      <c r="D73" s="17">
        <v>1</v>
      </c>
      <c r="E73" s="29"/>
      <c r="F73" s="30"/>
      <c r="G73" s="16"/>
      <c r="H73" s="17"/>
      <c r="I73" s="30"/>
      <c r="J73" s="30"/>
    </row>
    <row r="74" spans="2:10" x14ac:dyDescent="0.25">
      <c r="B74" s="10" t="s">
        <v>35</v>
      </c>
      <c r="C74" s="9">
        <v>0</v>
      </c>
      <c r="D74" s="9">
        <v>0</v>
      </c>
      <c r="E74" s="25"/>
      <c r="F74" s="26"/>
      <c r="G74" s="8"/>
      <c r="H74" s="9"/>
      <c r="I74" s="26"/>
      <c r="J74" s="26"/>
    </row>
    <row r="75" spans="2:10" x14ac:dyDescent="0.25">
      <c r="B75" s="11" t="s">
        <v>42</v>
      </c>
      <c r="C75" s="12">
        <v>-7.7891131719999285E-3</v>
      </c>
      <c r="D75" s="13">
        <v>1</v>
      </c>
      <c r="E75" s="27"/>
      <c r="F75" s="28"/>
      <c r="G75" s="12"/>
      <c r="H75" s="13"/>
      <c r="I75" s="28"/>
      <c r="J75" s="28"/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5" t="s">
        <v>0</v>
      </c>
      <c r="D77" s="46"/>
      <c r="E77" s="46"/>
      <c r="F77" s="46"/>
      <c r="G77" s="46"/>
      <c r="H77" s="46"/>
      <c r="I77" s="46"/>
      <c r="J77" s="47"/>
    </row>
    <row r="78" spans="2:10" ht="15.75" x14ac:dyDescent="0.25">
      <c r="B78" s="21" t="s">
        <v>38</v>
      </c>
      <c r="C78" s="43" t="str">
        <f ca="1">CONCATENATE(INDIRECT(CONCATENATE($C$3,$C$4))," - ",INDIRECT(CONCATENATE($C$3,$G$4))," ",$B$4)</f>
        <v>ינואר - מרץ 2020</v>
      </c>
      <c r="D78" s="44"/>
      <c r="E78" s="41" t="str">
        <f ca="1">CONCATENATE(INDIRECT(CONCATENATE($C$3,$C$4))," - ",INDIRECT(CONCATENATE($C$3,$M$4))," ",$B$4)</f>
        <v>ינואר - יוני 2020</v>
      </c>
      <c r="F78" s="42"/>
      <c r="G78" s="43" t="str">
        <f ca="1">CONCATENATE(INDIRECT(CONCATENATE($C$3,$C$4))," - ",INDIRECT(CONCATENATE($C$3,$S$4))," ",$B$4)</f>
        <v>ינואר - ספטמבר 2020</v>
      </c>
      <c r="H78" s="44"/>
      <c r="I78" s="41" t="str">
        <f ca="1">CONCATENATE(INDIRECT(CONCATENATE($C$3,$C$4))," - ",INDIRECT(CONCATENATE($C$3,$Y$4))," ",$B$4)</f>
        <v>ינואר - דצמבר 2020</v>
      </c>
      <c r="J78" s="42"/>
    </row>
    <row r="79" spans="2:10" ht="30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23" t="s">
        <v>2</v>
      </c>
      <c r="J79" s="24" t="s">
        <v>3</v>
      </c>
    </row>
    <row r="80" spans="2:10" x14ac:dyDescent="0.25">
      <c r="B80" s="7" t="s">
        <v>36</v>
      </c>
      <c r="C80" s="17">
        <v>-7.7891131719999285E-3</v>
      </c>
      <c r="D80" s="17">
        <v>1</v>
      </c>
      <c r="E80" s="29"/>
      <c r="F80" s="30"/>
      <c r="G80" s="16"/>
      <c r="H80" s="17"/>
      <c r="I80" s="30"/>
      <c r="J80" s="30"/>
    </row>
    <row r="81" spans="2:10" x14ac:dyDescent="0.25">
      <c r="B81" s="10" t="s">
        <v>37</v>
      </c>
      <c r="C81" s="9">
        <v>0</v>
      </c>
      <c r="D81" s="9">
        <v>0</v>
      </c>
      <c r="E81" s="25"/>
      <c r="F81" s="26"/>
      <c r="G81" s="8"/>
      <c r="H81" s="9"/>
      <c r="I81" s="26"/>
      <c r="J81" s="26"/>
    </row>
    <row r="82" spans="2:10" x14ac:dyDescent="0.25">
      <c r="B82" s="11" t="s">
        <v>42</v>
      </c>
      <c r="C82" s="12">
        <v>-7.7891131719999285E-3</v>
      </c>
      <c r="D82" s="13">
        <v>1</v>
      </c>
      <c r="E82" s="27"/>
      <c r="F82" s="28"/>
      <c r="G82" s="12"/>
      <c r="H82" s="13"/>
      <c r="I82" s="28"/>
      <c r="J82" s="28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34"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77:J77"/>
    <mergeCell ref="Y28:Z28"/>
    <mergeCell ref="C28:D28"/>
    <mergeCell ref="E28:F28"/>
    <mergeCell ref="I28:J28"/>
    <mergeCell ref="K28:L28"/>
    <mergeCell ref="G28:H28"/>
    <mergeCell ref="C45:J45"/>
    <mergeCell ref="C5:Z5"/>
    <mergeCell ref="C31:Z31"/>
    <mergeCell ref="C38:Z38"/>
    <mergeCell ref="M28:N28"/>
    <mergeCell ref="O28:P28"/>
    <mergeCell ref="Q28:R28"/>
    <mergeCell ref="S28:T28"/>
    <mergeCell ref="U28:V28"/>
    <mergeCell ref="W28:X28"/>
    <mergeCell ref="C68:D68"/>
    <mergeCell ref="E68:F68"/>
    <mergeCell ref="G68:H68"/>
    <mergeCell ref="I68:J68"/>
    <mergeCell ref="I46:J46"/>
    <mergeCell ref="E46:F46"/>
    <mergeCell ref="G46:H46"/>
    <mergeCell ref="C46:D4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73AF1D6-3EF3-4146-BBA2-7F8B2590E3E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2022-02-28T13:15:06Z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