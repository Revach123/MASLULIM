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120" yWindow="75" windowWidth="15000" windowHeight="1003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  <c r="E68" i="1"/>
  <c r="E64" i="1"/>
</calcChain>
</file>

<file path=xl/sharedStrings.xml><?xml version="1.0" encoding="utf-8"?>
<sst xmlns="http://schemas.openxmlformats.org/spreadsheetml/2006/main" count="132" uniqueCount="67">
  <si>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</si>
  <si>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</si>
  <si>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</si>
  <si>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</si>
  <si>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</si>
  <si>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</si>
  <si>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</si>
  <si>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</si>
  <si>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</si>
  <si>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</si>
  <si>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</si>
  <si>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</si>
  <si>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</si>
  <si>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</si>
  <si>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</si>
  <si>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</si>
  <si>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</si>
  <si>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</si>
  <si>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</si>
  <si>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</si>
  <si>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</si>
  <si>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</si>
  <si>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</si>
  <si>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</si>
  <si>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</si>
  <si>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</si>
  <si>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</si>
  <si>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</si>
  <si>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</si>
  <si>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</si>
  <si>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</si>
  <si>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</si>
  <si>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</si>
  <si>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</si>
  <si>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</si>
  <si>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</si>
  <si>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</si>
  <si>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</si>
  <si>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</si>
  <si>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</si>
  <si>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</si>
  <si>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</si>
  <si>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</si>
  <si>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</si>
  <si>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</si>
  <si>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</si>
  <si>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</si>
  <si>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</si>
  <si>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</si>
  <si>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</si>
  <si>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</si>
  <si>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</si>
  <si>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</si>
  <si>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</si>
  <si>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</si>
  <si>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</si>
  <si>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</si>
  <si>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</si>
  <si>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</si>
  <si>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</si>
  <si>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</si>
  <si>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</si>
  <si>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קופת גמל הנדסאים - מסלול 50-60 -- 9954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</si>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</sst>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65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6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3" xfId="549"/>
    <cellStyle name="Normal 33 2" xfId="550"/>
    <cellStyle name="Normal 33 3" xfId="551"/>
    <cellStyle name="Normal 33 4" xfId="552"/>
    <cellStyle name="Normal 33 5" xfId="553"/>
    <cellStyle name="Normal 33 6" xfId="554"/>
    <cellStyle name="Normal 33 7" xfId="555"/>
    <cellStyle name="Normal 34" xfId="556"/>
    <cellStyle name="Normal 34 2" xfId="557"/>
    <cellStyle name="Normal 34 3" xfId="558"/>
    <cellStyle name="Normal 35" xfId="559"/>
    <cellStyle name="Normal 35 2" xfId="560"/>
    <cellStyle name="Normal 36" xfId="561"/>
    <cellStyle name="Normal 36 2" xfId="562"/>
    <cellStyle name="Normal 36 3" xfId="563"/>
    <cellStyle name="Normal 36 4" xfId="564"/>
    <cellStyle name="Normal 36 5" xfId="565"/>
    <cellStyle name="Normal 36 6" xfId="566"/>
    <cellStyle name="Normal 36 7" xfId="567"/>
    <cellStyle name="Normal 37" xfId="568"/>
    <cellStyle name="Normal 37 2" xfId="569"/>
    <cellStyle name="Normal 38" xfId="570"/>
    <cellStyle name="Normal 38 2" xfId="571"/>
    <cellStyle name="Normal 39" xfId="572"/>
    <cellStyle name="Normal 39 2" xfId="573"/>
    <cellStyle name="Normal 4" xfId="574"/>
    <cellStyle name="Normal 4 10" xfId="575"/>
    <cellStyle name="Normal 4 11" xfId="576"/>
    <cellStyle name="Normal 4 12" xfId="577"/>
    <cellStyle name="Normal 4 13" xfId="578"/>
    <cellStyle name="Normal 4 14" xfId="579"/>
    <cellStyle name="Normal 4 15" xfId="580"/>
    <cellStyle name="Normal 4 16" xfId="581"/>
    <cellStyle name="Normal 4 17" xfId="582"/>
    <cellStyle name="Normal 4 18" xfId="583"/>
    <cellStyle name="Normal 4 19" xfId="584"/>
    <cellStyle name="Normal 4 2" xfId="585"/>
    <cellStyle name="Normal 4 2 10" xfId="586"/>
    <cellStyle name="Normal 4 2 11" xfId="587"/>
    <cellStyle name="Normal 4 2 12" xfId="588"/>
    <cellStyle name="Normal 4 2 13" xfId="589"/>
    <cellStyle name="Normal 4 2 14" xfId="590"/>
    <cellStyle name="Normal 4 2 15" xfId="591"/>
    <cellStyle name="Normal 4 2 16" xfId="592"/>
    <cellStyle name="Normal 4 2 17" xfId="593"/>
    <cellStyle name="Normal 4 2 18" xfId="594"/>
    <cellStyle name="Normal 4 2 19" xfId="595"/>
    <cellStyle name="Normal 4 2 2" xfId="596"/>
    <cellStyle name="Normal 4 2 20" xfId="597"/>
    <cellStyle name="Normal 4 2 21" xfId="598"/>
    <cellStyle name="Normal 4 2 22" xfId="599"/>
    <cellStyle name="Normal 4 2 3" xfId="600"/>
    <cellStyle name="Normal 4 2 4" xfId="601"/>
    <cellStyle name="Normal 4 2 5" xfId="602"/>
    <cellStyle name="Normal 4 2 6" xfId="603"/>
    <cellStyle name="Normal 4 2 7" xfId="604"/>
    <cellStyle name="Normal 4 2 8" xfId="605"/>
    <cellStyle name="Normal 4 2 9" xfId="606"/>
    <cellStyle name="Normal 4 20" xfId="607"/>
    <cellStyle name="Normal 4 21" xfId="608"/>
    <cellStyle name="Normal 4 22" xfId="609"/>
    <cellStyle name="Normal 4 23" xfId="610"/>
    <cellStyle name="Normal 4 24" xfId="611"/>
    <cellStyle name="Normal 4 25" xfId="612"/>
    <cellStyle name="Normal 4 26" xfId="613"/>
    <cellStyle name="Normal 4 27" xfId="614"/>
    <cellStyle name="Normal 4 28" xfId="615"/>
    <cellStyle name="Normal 4 29" xfId="616"/>
    <cellStyle name="Normal 4 3" xfId="617"/>
    <cellStyle name="Normal 4 3 2" xfId="618"/>
    <cellStyle name="Normal 4 30" xfId="619"/>
    <cellStyle name="Normal 4 31" xfId="620"/>
    <cellStyle name="Normal 4 32" xfId="621"/>
    <cellStyle name="Normal 4 33" xfId="622"/>
    <cellStyle name="Normal 4 34" xfId="623"/>
    <cellStyle name="Normal 4 35" xfId="624"/>
    <cellStyle name="Normal 4 36" xfId="625"/>
    <cellStyle name="Normal 4 37" xfId="626"/>
    <cellStyle name="Normal 4 38" xfId="627"/>
    <cellStyle name="Normal 4 39" xfId="628"/>
    <cellStyle name="Normal 4 4" xfId="629"/>
    <cellStyle name="Normal 4 4 2" xfId="630"/>
    <cellStyle name="Normal 4 40" xfId="631"/>
    <cellStyle name="Normal 4 41" xfId="632"/>
    <cellStyle name="Normal 4 42" xfId="633"/>
    <cellStyle name="Normal 4 43" xfId="634"/>
    <cellStyle name="Normal 4 44" xfId="635"/>
    <cellStyle name="Normal 4 45" xfId="636"/>
    <cellStyle name="Normal 4 46" xfId="637"/>
    <cellStyle name="Normal 4 47" xfId="638"/>
    <cellStyle name="Normal 4 48" xfId="639"/>
    <cellStyle name="Normal 4 49" xfId="640"/>
    <cellStyle name="Normal 4 5" xfId="641"/>
    <cellStyle name="Normal 4 5 2" xfId="642"/>
    <cellStyle name="Normal 4 50" xfId="643"/>
    <cellStyle name="Normal 4 51" xfId="644"/>
    <cellStyle name="Normal 4 52" xfId="645"/>
    <cellStyle name="Normal 4 6" xfId="646"/>
    <cellStyle name="Normal 4 6 2" xfId="647"/>
    <cellStyle name="Normal 4 7" xfId="648"/>
    <cellStyle name="Normal 4 7 2" xfId="649"/>
    <cellStyle name="Normal 4 8" xfId="650"/>
    <cellStyle name="Normal 4 8 2" xfId="651"/>
    <cellStyle name="Normal 4 9" xfId="652"/>
    <cellStyle name="Normal 4_ירידות ערך שנזקפו" xfId="653"/>
    <cellStyle name="Normal 40" xfId="654"/>
    <cellStyle name="Normal 40 2" xfId="655"/>
    <cellStyle name="Normal 41" xfId="656"/>
    <cellStyle name="Normal 41 2" xfId="657"/>
    <cellStyle name="Normal 41 3" xfId="658"/>
    <cellStyle name="Normal 41 4" xfId="659"/>
    <cellStyle name="Normal 41 5" xfId="660"/>
    <cellStyle name="Normal 41 6" xfId="661"/>
    <cellStyle name="Normal 41 7" xfId="662"/>
    <cellStyle name="Normal 42" xfId="663"/>
    <cellStyle name="Normal 42 2" xfId="664"/>
    <cellStyle name="Normal 42 2 2" xfId="665"/>
    <cellStyle name="Normal 42 3" xfId="666"/>
    <cellStyle name="Normal 42 3 2" xfId="667"/>
    <cellStyle name="Normal 42 4" xfId="668"/>
    <cellStyle name="Normal 42 4 2" xfId="669"/>
    <cellStyle name="Normal 42 5" xfId="670"/>
    <cellStyle name="Normal 42 6" xfId="671"/>
    <cellStyle name="Normal 43" xfId="672"/>
    <cellStyle name="Normal 43 2" xfId="673"/>
    <cellStyle name="Normal 44" xfId="674"/>
    <cellStyle name="Normal 45" xfId="675"/>
    <cellStyle name="Normal 45 2" xfId="676"/>
    <cellStyle name="Normal 45 2 2" xfId="677"/>
    <cellStyle name="Normal 45 3" xfId="678"/>
    <cellStyle name="Normal 45 3 2" xfId="679"/>
    <cellStyle name="Normal 45 4" xfId="680"/>
    <cellStyle name="Normal 45 4 2" xfId="681"/>
    <cellStyle name="Normal 45 5" xfId="682"/>
    <cellStyle name="Normal 45 6" xfId="683"/>
    <cellStyle name="Normal 46" xfId="684"/>
    <cellStyle name="Normal 46 2" xfId="685"/>
    <cellStyle name="Normal 46 2 2" xfId="686"/>
    <cellStyle name="Normal 46 3" xfId="687"/>
    <cellStyle name="Normal 46 3 2" xfId="688"/>
    <cellStyle name="Normal 46 4" xfId="689"/>
    <cellStyle name="Normal 46 4 2" xfId="690"/>
    <cellStyle name="Normal 46 5" xfId="691"/>
    <cellStyle name="Normal 46 6" xfId="692"/>
    <cellStyle name="Normal 47" xfId="693"/>
    <cellStyle name="Normal 47 2" xfId="694"/>
    <cellStyle name="Normal 47 2 2" xfId="695"/>
    <cellStyle name="Normal 47 3" xfId="696"/>
    <cellStyle name="Normal 47 3 2" xfId="697"/>
    <cellStyle name="Normal 47 4" xfId="698"/>
    <cellStyle name="Normal 47 4 2" xfId="699"/>
    <cellStyle name="Normal 47 5" xfId="700"/>
    <cellStyle name="Normal 47 6" xfId="701"/>
    <cellStyle name="Normal 48" xfId="702"/>
    <cellStyle name="Normal 48 2" xfId="703"/>
    <cellStyle name="Normal 49" xfId="704"/>
    <cellStyle name="Normal 49 2" xfId="705"/>
    <cellStyle name="Normal 5" xfId="706"/>
    <cellStyle name="Normal 5 10" xfId="707"/>
    <cellStyle name="Normal 5 100" xfId="708"/>
    <cellStyle name="Normal 5 101" xfId="709"/>
    <cellStyle name="Normal 5 102" xfId="710"/>
    <cellStyle name="Normal 5 103" xfId="711"/>
    <cellStyle name="Normal 5 104" xfId="712"/>
    <cellStyle name="Normal 5 105" xfId="713"/>
    <cellStyle name="Normal 5 106" xfId="714"/>
    <cellStyle name="Normal 5 11" xfId="715"/>
    <cellStyle name="Normal 5 12" xfId="716"/>
    <cellStyle name="Normal 5 13" xfId="717"/>
    <cellStyle name="Normal 5 14" xfId="718"/>
    <cellStyle name="Normal 5 15" xfId="719"/>
    <cellStyle name="Normal 5 16" xfId="720"/>
    <cellStyle name="Normal 5 17" xfId="721"/>
    <cellStyle name="Normal 5 18" xfId="722"/>
    <cellStyle name="Normal 5 19" xfId="723"/>
    <cellStyle name="Normal 5 2" xfId="724"/>
    <cellStyle name="Normal 5 20" xfId="725"/>
    <cellStyle name="Normal 5 21" xfId="726"/>
    <cellStyle name="Normal 5 22" xfId="727"/>
    <cellStyle name="Normal 5 23" xfId="728"/>
    <cellStyle name="Normal 5 24" xfId="729"/>
    <cellStyle name="Normal 5 25" xfId="730"/>
    <cellStyle name="Normal 5 26" xfId="731"/>
    <cellStyle name="Normal 5 27" xfId="732"/>
    <cellStyle name="Normal 5 28" xfId="733"/>
    <cellStyle name="Normal 5 29" xfId="734"/>
    <cellStyle name="Normal 5 3" xfId="735"/>
    <cellStyle name="Normal 5 30" xfId="736"/>
    <cellStyle name="Normal 5 31" xfId="737"/>
    <cellStyle name="Normal 5 32" xfId="738"/>
    <cellStyle name="Normal 5 33" xfId="739"/>
    <cellStyle name="Normal 5 34" xfId="740"/>
    <cellStyle name="Normal 5 35" xfId="741"/>
    <cellStyle name="Normal 5 36" xfId="742"/>
    <cellStyle name="Normal 5 37" xfId="743"/>
    <cellStyle name="Normal 5 38" xfId="744"/>
    <cellStyle name="Normal 5 39" xfId="745"/>
    <cellStyle name="Normal 5 4" xfId="746"/>
    <cellStyle name="Normal 5 40" xfId="747"/>
    <cellStyle name="Normal 5 41" xfId="748"/>
    <cellStyle name="Normal 5 42" xfId="749"/>
    <cellStyle name="Normal 5 43" xfId="750"/>
    <cellStyle name="Normal 5 44" xfId="751"/>
    <cellStyle name="Normal 5 45" xfId="752"/>
    <cellStyle name="Normal 5 46" xfId="753"/>
    <cellStyle name="Normal 5 47" xfId="754"/>
    <cellStyle name="Normal 5 48" xfId="755"/>
    <cellStyle name="Normal 5 49" xfId="756"/>
    <cellStyle name="Normal 5 5" xfId="757"/>
    <cellStyle name="Normal 5 50" xfId="758"/>
    <cellStyle name="Normal 5 51" xfId="759"/>
    <cellStyle name="Normal 5 52" xfId="760"/>
    <cellStyle name="Normal 5 53" xfId="761"/>
    <cellStyle name="Normal 5 54" xfId="762"/>
    <cellStyle name="Normal 5 55" xfId="763"/>
    <cellStyle name="Normal 5 56" xfId="764"/>
    <cellStyle name="Normal 5 57" xfId="765"/>
    <cellStyle name="Normal 5 58" xfId="766"/>
    <cellStyle name="Normal 5 59" xfId="767"/>
    <cellStyle name="Normal 5 6" xfId="768"/>
    <cellStyle name="Normal 5 60" xfId="769"/>
    <cellStyle name="Normal 5 61" xfId="770"/>
    <cellStyle name="Normal 5 62" xfId="771"/>
    <cellStyle name="Normal 5 63" xfId="772"/>
    <cellStyle name="Normal 5 64" xfId="773"/>
    <cellStyle name="Normal 5 65" xfId="774"/>
    <cellStyle name="Normal 5 66" xfId="775"/>
    <cellStyle name="Normal 5 67" xfId="776"/>
    <cellStyle name="Normal 5 68" xfId="777"/>
    <cellStyle name="Normal 5 69" xfId="778"/>
    <cellStyle name="Normal 5 7" xfId="779"/>
    <cellStyle name="Normal 5 70" xfId="780"/>
    <cellStyle name="Normal 5 71" xfId="781"/>
    <cellStyle name="Normal 5 72" xfId="782"/>
    <cellStyle name="Normal 5 73" xfId="783"/>
    <cellStyle name="Normal 5 74" xfId="784"/>
    <cellStyle name="Normal 5 75" xfId="785"/>
    <cellStyle name="Normal 5 76" xfId="786"/>
    <cellStyle name="Normal 5 77" xfId="787"/>
    <cellStyle name="Normal 5 78" xfId="788"/>
    <cellStyle name="Normal 5 79" xfId="789"/>
    <cellStyle name="Normal 5 8" xfId="790"/>
    <cellStyle name="Normal 5 80" xfId="791"/>
    <cellStyle name="Normal 5 81" xfId="792"/>
    <cellStyle name="Normal 5 82" xfId="793"/>
    <cellStyle name="Normal 5 83" xfId="794"/>
    <cellStyle name="Normal 5 84" xfId="795"/>
    <cellStyle name="Normal 5 85" xfId="796"/>
    <cellStyle name="Normal 5 86" xfId="797"/>
    <cellStyle name="Normal 5 87" xfId="798"/>
    <cellStyle name="Normal 5 88" xfId="799"/>
    <cellStyle name="Normal 5 89" xfId="800"/>
    <cellStyle name="Normal 5 9" xfId="801"/>
    <cellStyle name="Normal 5 90" xfId="802"/>
    <cellStyle name="Normal 5 91" xfId="803"/>
    <cellStyle name="Normal 5 92" xfId="804"/>
    <cellStyle name="Normal 5 93" xfId="805"/>
    <cellStyle name="Normal 5 94" xfId="806"/>
    <cellStyle name="Normal 5 95" xfId="807"/>
    <cellStyle name="Normal 5 96" xfId="808"/>
    <cellStyle name="Normal 5 97" xfId="809"/>
    <cellStyle name="Normal 5 98" xfId="810"/>
    <cellStyle name="Normal 5 99" xfId="811"/>
    <cellStyle name="Normal 50" xfId="812"/>
    <cellStyle name="Normal 50 2" xfId="813"/>
    <cellStyle name="Normal 51" xfId="814"/>
    <cellStyle name="Normal 51 2" xfId="815"/>
    <cellStyle name="Normal 52" xfId="816"/>
    <cellStyle name="Normal 52 2" xfId="817"/>
    <cellStyle name="Normal 52 3" xfId="818"/>
    <cellStyle name="Normal 53" xfId="819"/>
    <cellStyle name="Normal 53 2" xfId="820"/>
    <cellStyle name="Normal 53 3" xfId="821"/>
    <cellStyle name="Normal 54" xfId="822"/>
    <cellStyle name="Normal 54 2" xfId="823"/>
    <cellStyle name="Normal 54 3" xfId="824"/>
    <cellStyle name="Normal 55" xfId="825"/>
    <cellStyle name="Normal 55 2" xfId="826"/>
    <cellStyle name="Normal 55 3" xfId="827"/>
    <cellStyle name="Normal 56" xfId="828"/>
    <cellStyle name="Normal 56 2" xfId="829"/>
    <cellStyle name="Normal 56 3" xfId="830"/>
    <cellStyle name="Normal 57" xfId="831"/>
    <cellStyle name="Normal 57 2" xfId="832"/>
    <cellStyle name="Normal 57 3" xfId="833"/>
    <cellStyle name="Normal 58" xfId="834"/>
    <cellStyle name="Normal 58 2" xfId="835"/>
    <cellStyle name="Normal 58 3" xfId="836"/>
    <cellStyle name="Normal 59" xfId="837"/>
    <cellStyle name="Normal 59 2" xfId="838"/>
    <cellStyle name="Normal 59 3" xfId="839"/>
    <cellStyle name="Normal 6" xfId="840"/>
    <cellStyle name="Normal 6 10" xfId="841"/>
    <cellStyle name="Normal 6 11" xfId="842"/>
    <cellStyle name="Normal 6 12" xfId="843"/>
    <cellStyle name="Normal 6 13" xfId="844"/>
    <cellStyle name="Normal 6 14" xfId="845"/>
    <cellStyle name="Normal 6 2" xfId="846"/>
    <cellStyle name="Normal 6 2 2" xfId="847"/>
    <cellStyle name="Normal 6 2 3" xfId="848"/>
    <cellStyle name="Normal 6 2 4" xfId="849"/>
    <cellStyle name="Normal 6 2 5" xfId="850"/>
    <cellStyle name="Normal 6 2 6" xfId="851"/>
    <cellStyle name="Normal 6 2 7" xfId="852"/>
    <cellStyle name="Normal 6 3" xfId="853"/>
    <cellStyle name="Normal 6 3 2" xfId="854"/>
    <cellStyle name="Normal 6 4" xfId="855"/>
    <cellStyle name="Normal 6 5" xfId="856"/>
    <cellStyle name="Normal 6 6" xfId="857"/>
    <cellStyle name="Normal 6 7" xfId="858"/>
    <cellStyle name="Normal 6 8" xfId="859"/>
    <cellStyle name="Normal 6 9" xfId="860"/>
    <cellStyle name="Normal 6_Data" xfId="861"/>
    <cellStyle name="Normal 60" xfId="862"/>
    <cellStyle name="Normal 61" xfId="863"/>
    <cellStyle name="Normal 61 2" xfId="864"/>
    <cellStyle name="Normal 61 3" xfId="865"/>
    <cellStyle name="Normal 62" xfId="866"/>
    <cellStyle name="Normal 62 2" xfId="867"/>
    <cellStyle name="Normal 62 3" xfId="868"/>
    <cellStyle name="Normal 63" xfId="869"/>
    <cellStyle name="Normal 63 2" xfId="870"/>
    <cellStyle name="Normal 63 3" xfId="871"/>
    <cellStyle name="Normal 64" xfId="872"/>
    <cellStyle name="Normal 64 2" xfId="873"/>
    <cellStyle name="Normal 64 2 2" xfId="874"/>
    <cellStyle name="Normal 64 3" xfId="875"/>
    <cellStyle name="Normal 64 3 2" xfId="876"/>
    <cellStyle name="Normal 64 4" xfId="877"/>
    <cellStyle name="Normal 64 4 2" xfId="878"/>
    <cellStyle name="Normal 64 5" xfId="879"/>
    <cellStyle name="Normal 64 6" xfId="880"/>
    <cellStyle name="Normal 65" xfId="881"/>
    <cellStyle name="Normal 65 2" xfId="882"/>
    <cellStyle name="Normal 65 2 2" xfId="883"/>
    <cellStyle name="Normal 65 3" xfId="884"/>
    <cellStyle name="Normal 65 3 2" xfId="885"/>
    <cellStyle name="Normal 65 4" xfId="886"/>
    <cellStyle name="Normal 65 4 2" xfId="887"/>
    <cellStyle name="Normal 65 5" xfId="888"/>
    <cellStyle name="Normal 65 6" xfId="889"/>
    <cellStyle name="Normal 66" xfId="890"/>
    <cellStyle name="Normal 66 2" xfId="891"/>
    <cellStyle name="Normal 66 3" xfId="892"/>
    <cellStyle name="Normal 67" xfId="893"/>
    <cellStyle name="Normal 67 2" xfId="894"/>
    <cellStyle name="Normal 67 3" xfId="895"/>
    <cellStyle name="Normal 68" xfId="896"/>
    <cellStyle name="Normal 68 2" xfId="897"/>
    <cellStyle name="Normal 68 3" xfId="898"/>
    <cellStyle name="Normal 69" xfId="899"/>
    <cellStyle name="Normal 69 2" xfId="900"/>
    <cellStyle name="Normal 69 3" xfId="901"/>
    <cellStyle name="Normal 7" xfId="902"/>
    <cellStyle name="Normal 7 10" xfId="903"/>
    <cellStyle name="Normal 7 11" xfId="904"/>
    <cellStyle name="Normal 7 12" xfId="905"/>
    <cellStyle name="Normal 7 13" xfId="906"/>
    <cellStyle name="Normal 7 14" xfId="907"/>
    <cellStyle name="Normal 7 2" xfId="908"/>
    <cellStyle name="Normal 7 2 2" xfId="909"/>
    <cellStyle name="Normal 7 2 3" xfId="910"/>
    <cellStyle name="Normal 7 2 4" xfId="911"/>
    <cellStyle name="Normal 7 2 5" xfId="912"/>
    <cellStyle name="Normal 7 2 6" xfId="913"/>
    <cellStyle name="Normal 7 2 7" xfId="914"/>
    <cellStyle name="Normal 7 3" xfId="915"/>
    <cellStyle name="Normal 7 3 2" xfId="916"/>
    <cellStyle name="Normal 7 4" xfId="917"/>
    <cellStyle name="Normal 7 5" xfId="918"/>
    <cellStyle name="Normal 7 6" xfId="919"/>
    <cellStyle name="Normal 7 7" xfId="920"/>
    <cellStyle name="Normal 7 8" xfId="921"/>
    <cellStyle name="Normal 7 9" xfId="922"/>
    <cellStyle name="Normal 7_Data" xfId="923"/>
    <cellStyle name="Normal 70" xfId="924"/>
    <cellStyle name="Normal 70 2" xfId="925"/>
    <cellStyle name="Normal 70 3" xfId="926"/>
    <cellStyle name="Normal 71" xfId="927"/>
    <cellStyle name="Normal 71 2" xfId="928"/>
    <cellStyle name="Normal 71 2 2" xfId="929"/>
    <cellStyle name="Normal 71 3" xfId="930"/>
    <cellStyle name="Normal 71 3 2" xfId="931"/>
    <cellStyle name="Normal 71 4" xfId="932"/>
    <cellStyle name="Normal 71 4 2" xfId="933"/>
    <cellStyle name="Normal 71 5" xfId="934"/>
    <cellStyle name="Normal 71 6" xfId="935"/>
    <cellStyle name="Normal 72" xfId="936"/>
    <cellStyle name="Normal 72 2" xfId="937"/>
    <cellStyle name="Normal 72 2 2" xfId="938"/>
    <cellStyle name="Normal 72 3" xfId="939"/>
    <cellStyle name="Normal 72 3 2" xfId="940"/>
    <cellStyle name="Normal 72 4" xfId="941"/>
    <cellStyle name="Normal 72 4 2" xfId="942"/>
    <cellStyle name="Normal 72 5" xfId="943"/>
    <cellStyle name="Normal 72 6" xfId="944"/>
    <cellStyle name="Normal 73" xfId="945"/>
    <cellStyle name="Normal 74" xfId="946"/>
    <cellStyle name="Normal 75" xfId="947"/>
    <cellStyle name="Normal 75 2" xfId="948"/>
    <cellStyle name="Normal 75 3" xfId="949"/>
    <cellStyle name="Normal 76" xfId="950"/>
    <cellStyle name="Normal 77" xfId="951"/>
    <cellStyle name="Normal 78" xfId="952"/>
    <cellStyle name="Normal 78 2" xfId="953"/>
    <cellStyle name="Normal 78 3" xfId="954"/>
    <cellStyle name="Normal 79" xfId="955"/>
    <cellStyle name="Normal 79 2" xfId="956"/>
    <cellStyle name="Normal 8" xfId="957"/>
    <cellStyle name="Normal 8 2" xfId="958"/>
    <cellStyle name="Normal 8 2 2" xfId="959"/>
    <cellStyle name="Normal 8 3" xfId="960"/>
    <cellStyle name="Normal 8 3 2" xfId="961"/>
    <cellStyle name="Normal 8 4" xfId="962"/>
    <cellStyle name="Normal 8 5" xfId="963"/>
    <cellStyle name="Normal 8 6" xfId="964"/>
    <cellStyle name="Normal 8 7" xfId="965"/>
    <cellStyle name="Normal 8 8" xfId="966"/>
    <cellStyle name="Normal 8 9" xfId="967"/>
    <cellStyle name="Normal 8_ירידות ערך שנזקפו" xfId="968"/>
    <cellStyle name="Normal 80" xfId="969"/>
    <cellStyle name="Normal 80 2" xfId="970"/>
    <cellStyle name="Normal 80 2 2" xfId="971"/>
    <cellStyle name="Normal 80 3" xfId="972"/>
    <cellStyle name="Normal 80 3 2" xfId="973"/>
    <cellStyle name="Normal 80 4" xfId="974"/>
    <cellStyle name="Normal 80 4 2" xfId="975"/>
    <cellStyle name="Normal 80 5" xfId="976"/>
    <cellStyle name="Normal 80 6" xfId="977"/>
    <cellStyle name="Normal 81" xfId="978"/>
    <cellStyle name="Normal 81 2" xfId="979"/>
    <cellStyle name="Normal 81 2 2" xfId="980"/>
    <cellStyle name="Normal 81 3" xfId="981"/>
    <cellStyle name="Normal 81 3 2" xfId="982"/>
    <cellStyle name="Normal 81 4" xfId="983"/>
    <cellStyle name="Normal 81 4 2" xfId="984"/>
    <cellStyle name="Normal 81 5" xfId="985"/>
    <cellStyle name="Normal 81 6" xfId="986"/>
    <cellStyle name="Normal 82" xfId="987"/>
    <cellStyle name="Normal 82 2" xfId="988"/>
    <cellStyle name="Normal 82 2 2" xfId="989"/>
    <cellStyle name="Normal 82 3" xfId="990"/>
    <cellStyle name="Normal 82 3 2" xfId="991"/>
    <cellStyle name="Normal 82 4" xfId="992"/>
    <cellStyle name="Normal 82 4 2" xfId="993"/>
    <cellStyle name="Normal 82 5" xfId="994"/>
    <cellStyle name="Normal 82 6" xfId="995"/>
    <cellStyle name="Normal 83" xfId="996"/>
    <cellStyle name="Normal 83 2" xfId="997"/>
    <cellStyle name="Normal 83 3" xfId="998"/>
    <cellStyle name="Normal 84" xfId="999"/>
    <cellStyle name="Normal 84 2" xfId="1000"/>
    <cellStyle name="Normal 84 3" xfId="1001"/>
    <cellStyle name="Normal 85" xfId="1002"/>
    <cellStyle name="Normal 85 2" xfId="1003"/>
    <cellStyle name="Normal 85 3" xfId="1004"/>
    <cellStyle name="Normal 86" xfId="1005"/>
    <cellStyle name="Normal 86 2" xfId="1006"/>
    <cellStyle name="Normal 86 3" xfId="1007"/>
    <cellStyle name="Normal 87" xfId="1008"/>
    <cellStyle name="Normal 87 2" xfId="1009"/>
    <cellStyle name="Normal 87 3" xfId="1010"/>
    <cellStyle name="Normal 88" xfId="1011"/>
    <cellStyle name="Normal 89" xfId="1012"/>
    <cellStyle name="Normal 89 2" xfId="1013"/>
    <cellStyle name="Normal 89 3" xfId="1014"/>
    <cellStyle name="Normal 9" xfId="1015"/>
    <cellStyle name="Normal 9 2" xfId="1016"/>
    <cellStyle name="Normal 9 2 2" xfId="1017"/>
    <cellStyle name="Normal 9 3" xfId="1018"/>
    <cellStyle name="Normal 9 3 2" xfId="1019"/>
    <cellStyle name="Normal 9 4" xfId="1020"/>
    <cellStyle name="Normal 9 4 2" xfId="1021"/>
    <cellStyle name="Normal 9 5" xfId="1022"/>
    <cellStyle name="Normal 9 6" xfId="1023"/>
    <cellStyle name="Normal 9 7" xfId="1024"/>
    <cellStyle name="Normal 9 8" xfId="1025"/>
    <cellStyle name="Normal 9 9" xfId="1026"/>
    <cellStyle name="Normal 9_ירידות ערך שנזקפו" xfId="1027"/>
    <cellStyle name="Normal 90" xfId="1028"/>
    <cellStyle name="Normal 90 2" xfId="1029"/>
    <cellStyle name="Normal 90 3" xfId="1030"/>
    <cellStyle name="Normal 91" xfId="1031"/>
    <cellStyle name="Normal 91 2" xfId="1032"/>
    <cellStyle name="Normal 91 3" xfId="1033"/>
    <cellStyle name="Normal 92" xfId="1034"/>
    <cellStyle name="Normal 92 2" xfId="1035"/>
    <cellStyle name="Normal 92 3" xfId="1036"/>
    <cellStyle name="Normal 93" xfId="1037"/>
    <cellStyle name="Normal 93 2" xfId="1038"/>
    <cellStyle name="Normal 93 3" xfId="1039"/>
    <cellStyle name="Normal 94" xfId="1040"/>
    <cellStyle name="Normal 94 2" xfId="1041"/>
    <cellStyle name="Normal 94 3" xfId="1042"/>
    <cellStyle name="Normal 95" xfId="1043"/>
    <cellStyle name="Normal 95 2" xfId="1044"/>
    <cellStyle name="Normal 95 3" xfId="1045"/>
    <cellStyle name="Normal 96" xfId="1046"/>
    <cellStyle name="Normal 96 2" xfId="1047"/>
    <cellStyle name="Normal 96 3" xfId="1048"/>
    <cellStyle name="Normal 97" xfId="1049"/>
    <cellStyle name="Normal 97 2" xfId="1050"/>
    <cellStyle name="Normal 97 3" xfId="1051"/>
    <cellStyle name="Normal 98" xfId="1052"/>
    <cellStyle name="Normal 99" xfId="1053"/>
    <cellStyle name="Normal 99 2" xfId="1054"/>
    <cellStyle name="Percent" xfId="1" builtinId="5"/>
    <cellStyle name="Percent 2" xfId="1055"/>
    <cellStyle name="Percent 2 2" xfId="1056"/>
    <cellStyle name="Percent 2 2 10" xfId="1057"/>
    <cellStyle name="Percent 2 2 11" xfId="1058"/>
    <cellStyle name="Percent 2 2 11 2" xfId="1059"/>
    <cellStyle name="Percent 2 2 11 3" xfId="1060"/>
    <cellStyle name="Percent 2 2 12" xfId="1061"/>
    <cellStyle name="Percent 2 2 2" xfId="1062"/>
    <cellStyle name="Percent 2 2 2 2" xfId="1063"/>
    <cellStyle name="Percent 2 2 2 2 2" xfId="1064"/>
    <cellStyle name="Percent 2 2 2 2 2 2" xfId="1065"/>
    <cellStyle name="Percent 2 2 2 2 2 2 2" xfId="1066"/>
    <cellStyle name="Percent 2 2 2 2 3" xfId="1067"/>
    <cellStyle name="Percent 2 2 2 2 4" xfId="1068"/>
    <cellStyle name="Percent 2 2 2 2 5" xfId="1069"/>
    <cellStyle name="Percent 2 2 2 2 6" xfId="1070"/>
    <cellStyle name="Percent 2 2 2 2 7" xfId="1071"/>
    <cellStyle name="Percent 2 2 2 2 8" xfId="1072"/>
    <cellStyle name="Percent 2 2 2 3" xfId="1073"/>
    <cellStyle name="Percent 2 2 2 3 2" xfId="1074"/>
    <cellStyle name="Percent 2 2 2 3 2 2" xfId="1075"/>
    <cellStyle name="Percent 2 2 2 4" xfId="1076"/>
    <cellStyle name="Percent 2 2 2 5" xfId="1077"/>
    <cellStyle name="Percent 2 2 2 6" xfId="1078"/>
    <cellStyle name="Percent 2 2 2 7" xfId="1079"/>
    <cellStyle name="Percent 2 2 2 8" xfId="1080"/>
    <cellStyle name="Percent 2 2 3" xfId="1081"/>
    <cellStyle name="Percent 2 2 4" xfId="1082"/>
    <cellStyle name="Percent 2 2 4 2" xfId="1083"/>
    <cellStyle name="Percent 2 2 4 2 2" xfId="1084"/>
    <cellStyle name="Percent 2 2 5" xfId="1085"/>
    <cellStyle name="Percent 2 2 6" xfId="1086"/>
    <cellStyle name="Percent 2 2 7" xfId="1087"/>
    <cellStyle name="Percent 2 2 8" xfId="1088"/>
    <cellStyle name="Percent 2 2 9" xfId="1089"/>
    <cellStyle name="Percent 2 3" xfId="1090"/>
    <cellStyle name="Percent 2 4" xfId="1091"/>
    <cellStyle name="Percent 2 5" xfId="1092"/>
    <cellStyle name="Percent 2 6" xfId="1093"/>
    <cellStyle name="Percent 3" xfId="1094"/>
    <cellStyle name="Percent 3 10" xfId="1095"/>
    <cellStyle name="Percent 3 11" xfId="1096"/>
    <cellStyle name="Percent 3 12" xfId="1097"/>
    <cellStyle name="Percent 3 2" xfId="1098"/>
    <cellStyle name="Percent 3 3" xfId="1099"/>
    <cellStyle name="Percent 3 4" xfId="1100"/>
    <cellStyle name="Percent 3 5" xfId="1101"/>
    <cellStyle name="Percent 3 6" xfId="1102"/>
    <cellStyle name="Percent 3 7" xfId="1103"/>
    <cellStyle name="Percent 3 8" xfId="1104"/>
    <cellStyle name="Percent 3 9" xfId="1105"/>
    <cellStyle name="Percent 4" xfId="1106"/>
    <cellStyle name="Percent 4 2" xfId="1107"/>
    <cellStyle name="Percent 4 3" xfId="1108"/>
    <cellStyle name="Percent 5" xfId="1109"/>
    <cellStyle name="Percent 5 2" xfId="1110"/>
    <cellStyle name="Percent 5 3" xfId="1111"/>
    <cellStyle name="Percent 5 4" xfId="1112"/>
    <cellStyle name="Percent 5 5" xfId="1113"/>
    <cellStyle name="Percent 5 6" xfId="1114"/>
    <cellStyle name="Percent 5 7" xfId="1115"/>
    <cellStyle name="Percent 5 8" xfId="1116"/>
    <cellStyle name="Percent 6" xfId="1117"/>
    <cellStyle name="Percent 6 2" xfId="1118"/>
    <cellStyle name="Percent 6 3" xfId="1119"/>
    <cellStyle name="Percent 6 4" xfId="1120"/>
    <cellStyle name="Percent 6 5" xfId="1121"/>
    <cellStyle name="Percent 6 6" xfId="1122"/>
    <cellStyle name="Percent 6 7" xfId="1123"/>
    <cellStyle name="Percent 6 8" xfId="1124"/>
    <cellStyle name="Percent 6 9" xfId="1125"/>
    <cellStyle name="Percent 7" xfId="1126"/>
    <cellStyle name="Percent 8" xfId="1127"/>
    <cellStyle name="Spelling 1033,0_DORN0897 (2)_3" xfId="1128"/>
    <cellStyle name="Yellow" xfId="1129"/>
    <cellStyle name="בולט" xfId="1130"/>
    <cellStyle name="הדגשה" xfId="1131"/>
    <cellStyle name="הדגשה 1" xfId="1132"/>
    <cellStyle name="הדגשה1 2" xfId="1133"/>
    <cellStyle name="הדגשה2 2" xfId="1134"/>
    <cellStyle name="הדגשה3 2" xfId="1135"/>
    <cellStyle name="הדגשה4 2" xfId="1136"/>
    <cellStyle name="הדגשה5 2" xfId="1137"/>
    <cellStyle name="הדגשה6 2" xfId="1138"/>
    <cellStyle name="הערה 2" xfId="1139"/>
    <cellStyle name="חישוב 2" xfId="1140"/>
    <cellStyle name="טוב 2" xfId="1141"/>
    <cellStyle name="טקסט" xfId="1142"/>
    <cellStyle name="טקסט אזהרה 2" xfId="1143"/>
    <cellStyle name="טקסט הסברי 2" xfId="1144"/>
    <cellStyle name="ינואר 2000" xfId="1145"/>
    <cellStyle name="כותרת 1 2" xfId="1146"/>
    <cellStyle name="כותרת 2 2" xfId="1147"/>
    <cellStyle name="כותרת 3 2" xfId="1148"/>
    <cellStyle name="כותרת 4 2" xfId="1149"/>
    <cellStyle name="כותרת 5" xfId="1150"/>
    <cellStyle name="כותרת סעיף" xfId="1151"/>
    <cellStyle name="כותרת ראשית" xfId="1152"/>
    <cellStyle name="לינק" xfId="1153"/>
    <cellStyle name="ניטראלי 2" xfId="1154"/>
    <cellStyle name="סה&quot;כ 2" xfId="1155"/>
    <cellStyle name="סיכום" xfId="1156"/>
    <cellStyle name="פלט 2" xfId="1157"/>
    <cellStyle name="קלט 2" xfId="1158"/>
    <cellStyle name="רע 2" xfId="1159"/>
    <cellStyle name="שקוע" xfId="1160"/>
    <cellStyle name="תא מסומן 2" xfId="1161"/>
    <cellStyle name="תא מקושר 2" xfId="1162"/>
    <cellStyle name="תאריך מלא" xfId="1163"/>
    <cellStyle name="תוכן - מיכון דוחות" xfId="1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A39" workbookViewId="0">
      <selection activeCell="E52" sqref="E52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501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0</v>
      </c>
      <c r="D7" s="16">
        <v>4.3300000000000116E-2</v>
      </c>
      <c r="E7" s="15">
        <v>-1E-4</v>
      </c>
      <c r="F7" s="14">
        <v>5.4699999999999971E-2</v>
      </c>
      <c r="G7" s="17">
        <v>-2.9999999999999997E-4</v>
      </c>
      <c r="H7" s="16">
        <v>6.800000000000006E-2</v>
      </c>
      <c r="I7" s="15">
        <v>2.9999999999999997E-4</v>
      </c>
      <c r="J7" s="14">
        <v>7.7000000000000068E-2</v>
      </c>
      <c r="K7" s="17">
        <v>-1E-4</v>
      </c>
      <c r="L7" s="16">
        <v>7.5600000000000112E-2</v>
      </c>
      <c r="M7" s="15">
        <v>-5.0000000000000001E-4</v>
      </c>
      <c r="N7" s="14">
        <v>6.7399999999999904E-2</v>
      </c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8.0000000000000004E-4</v>
      </c>
      <c r="D8" s="16">
        <v>0.29310000000000003</v>
      </c>
      <c r="E8" s="15">
        <v>2.3E-3</v>
      </c>
      <c r="F8" s="14">
        <v>0.28860000000000002</v>
      </c>
      <c r="G8" s="17">
        <v>-7.6E-3</v>
      </c>
      <c r="H8" s="16">
        <v>0.24540000000000001</v>
      </c>
      <c r="I8" s="15">
        <v>4.1999999999999997E-3</v>
      </c>
      <c r="J8" s="14">
        <v>0.2399</v>
      </c>
      <c r="K8" s="17">
        <v>1.5E-3</v>
      </c>
      <c r="L8" s="16">
        <v>0.24110000000000001</v>
      </c>
      <c r="M8" s="15">
        <v>5.9999999999999995E-4</v>
      </c>
      <c r="N8" s="14">
        <v>0.24399999999999999</v>
      </c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1E-4</v>
      </c>
      <c r="D11" s="16">
        <v>0.17649999999999999</v>
      </c>
      <c r="E11" s="15">
        <v>-5.9999999999999995E-4</v>
      </c>
      <c r="F11" s="14">
        <v>0.19350000000000001</v>
      </c>
      <c r="G11" s="17">
        <v>-1.32E-2</v>
      </c>
      <c r="H11" s="16">
        <v>0.20569999999999999</v>
      </c>
      <c r="I11" s="15">
        <v>7.7000000000000002E-3</v>
      </c>
      <c r="J11" s="14">
        <v>0.2036</v>
      </c>
      <c r="K11" s="17">
        <v>6.9999999999999999E-4</v>
      </c>
      <c r="L11" s="16">
        <v>0.20250000000000001</v>
      </c>
      <c r="M11" s="15">
        <v>-4.4000000000000003E-3</v>
      </c>
      <c r="N11" s="14">
        <v>0.2014</v>
      </c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1.6E-2</v>
      </c>
      <c r="E12" s="15">
        <v>0</v>
      </c>
      <c r="F12" s="14">
        <v>1.6500000000000001E-2</v>
      </c>
      <c r="G12" s="17">
        <v>-6.9999999999999999E-4</v>
      </c>
      <c r="H12" s="16">
        <v>1.6899999999999998E-2</v>
      </c>
      <c r="I12" s="15">
        <v>6.9999999999999999E-4</v>
      </c>
      <c r="J12" s="14">
        <v>1.6400000000000001E-2</v>
      </c>
      <c r="K12" s="17">
        <v>-2.0000000000000001E-4</v>
      </c>
      <c r="L12" s="16">
        <v>1.6E-2</v>
      </c>
      <c r="M12" s="15">
        <v>-4.0000000000000002E-4</v>
      </c>
      <c r="N12" s="14">
        <v>1.5599999999999999E-2</v>
      </c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1.8E-3</v>
      </c>
      <c r="D13" s="16">
        <v>0.16739999999999999</v>
      </c>
      <c r="E13" s="15">
        <v>-1.03E-2</v>
      </c>
      <c r="F13" s="14">
        <v>0.16</v>
      </c>
      <c r="G13" s="17">
        <v>-2.7300000000000001E-2</v>
      </c>
      <c r="H13" s="16">
        <v>0.1313</v>
      </c>
      <c r="I13" s="15">
        <v>1.0999999999999999E-2</v>
      </c>
      <c r="J13" s="14">
        <v>0.1391</v>
      </c>
      <c r="K13" s="17">
        <v>8.0000000000000004E-4</v>
      </c>
      <c r="L13" s="16">
        <v>0.13930000000000001</v>
      </c>
      <c r="M13" s="15">
        <v>-3.0000000000000001E-3</v>
      </c>
      <c r="N13" s="14">
        <v>0.1384</v>
      </c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4.0000000000000002E-4</v>
      </c>
      <c r="D14" s="16">
        <v>0.18609999999999999</v>
      </c>
      <c r="E14" s="15">
        <v>-1.01E-2</v>
      </c>
      <c r="F14" s="14">
        <v>0.1673</v>
      </c>
      <c r="G14" s="17">
        <v>-1.67E-2</v>
      </c>
      <c r="H14" s="16">
        <v>0.19159999999999999</v>
      </c>
      <c r="I14" s="15">
        <v>1.67E-2</v>
      </c>
      <c r="J14" s="14">
        <v>0.18240000000000001</v>
      </c>
      <c r="K14" s="17">
        <v>8.0999999999999996E-3</v>
      </c>
      <c r="L14" s="16">
        <v>0.1845</v>
      </c>
      <c r="M14" s="15">
        <v>2.7000000000000001E-3</v>
      </c>
      <c r="N14" s="14">
        <v>0.189</v>
      </c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2.0000000000000001E-4</v>
      </c>
      <c r="D15" s="16">
        <v>2.06E-2</v>
      </c>
      <c r="E15" s="15">
        <v>-2.9999999999999997E-4</v>
      </c>
      <c r="F15" s="14">
        <v>2.18E-2</v>
      </c>
      <c r="G15" s="17">
        <v>-2.2000000000000001E-3</v>
      </c>
      <c r="H15" s="16">
        <v>2.75E-2</v>
      </c>
      <c r="I15" s="15">
        <v>1.5E-3</v>
      </c>
      <c r="J15" s="14">
        <v>2.7799999999999998E-2</v>
      </c>
      <c r="K15" s="17">
        <v>5.9999999999999995E-4</v>
      </c>
      <c r="L15" s="16">
        <v>2.81E-2</v>
      </c>
      <c r="M15" s="15">
        <v>5.0000000000000001E-4</v>
      </c>
      <c r="N15" s="14">
        <v>3.1E-2</v>
      </c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5.9999999999999995E-4</v>
      </c>
      <c r="D16" s="16">
        <v>7.17E-2</v>
      </c>
      <c r="E16" s="15">
        <v>-1E-4</v>
      </c>
      <c r="F16" s="14">
        <v>7.6300000000000007E-2</v>
      </c>
      <c r="G16" s="17">
        <v>1.8E-3</v>
      </c>
      <c r="H16" s="16">
        <v>8.8599999999999998E-2</v>
      </c>
      <c r="I16" s="15">
        <v>-1.1000000000000001E-3</v>
      </c>
      <c r="J16" s="14">
        <v>8.4199999999999997E-2</v>
      </c>
      <c r="K16" s="17">
        <v>5.9999999999999995E-4</v>
      </c>
      <c r="L16" s="16">
        <v>8.4699999999999998E-2</v>
      </c>
      <c r="M16" s="15">
        <v>-2.9999999999999997E-4</v>
      </c>
      <c r="N16" s="14">
        <v>8.72E-2</v>
      </c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2.0000000000000001E-4</v>
      </c>
      <c r="J17" s="14">
        <v>2.0000000000000001E-4</v>
      </c>
      <c r="K17" s="17">
        <v>0</v>
      </c>
      <c r="L17" s="16">
        <v>2.0000000000000001E-4</v>
      </c>
      <c r="M17" s="15">
        <v>0</v>
      </c>
      <c r="N17" s="14">
        <v>2.0000000000000001E-4</v>
      </c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1.2999999999999999E-3</v>
      </c>
      <c r="D18" s="16">
        <v>1.9E-3</v>
      </c>
      <c r="E18" s="15">
        <v>-3.3999999999999998E-3</v>
      </c>
      <c r="F18" s="14">
        <v>-1.6999999999999999E-3</v>
      </c>
      <c r="G18" s="17">
        <v>-1.41E-2</v>
      </c>
      <c r="H18" s="16">
        <v>-3.8999999999999998E-3</v>
      </c>
      <c r="I18" s="15">
        <v>4.3E-3</v>
      </c>
      <c r="J18" s="14">
        <v>2.0999999999999999E-3</v>
      </c>
      <c r="K18" s="17">
        <v>1.5E-3</v>
      </c>
      <c r="L18" s="16">
        <v>2.3E-3</v>
      </c>
      <c r="M18" s="15">
        <v>1.6000000000000001E-3</v>
      </c>
      <c r="N18" s="14">
        <v>0</v>
      </c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2.9999999999999997E-4</v>
      </c>
      <c r="E19" s="15">
        <v>-2.9999999999999997E-4</v>
      </c>
      <c r="F19" s="14">
        <v>-6.9999999999999999E-4</v>
      </c>
      <c r="G19" s="17">
        <v>-2.2000000000000001E-3</v>
      </c>
      <c r="H19" s="16">
        <v>1.8E-3</v>
      </c>
      <c r="I19" s="15">
        <v>5.0000000000000001E-4</v>
      </c>
      <c r="J19" s="14">
        <v>6.9999999999999999E-4</v>
      </c>
      <c r="K19" s="17">
        <v>-5.9999999999999995E-4</v>
      </c>
      <c r="L19" s="16">
        <v>-4.0000000000000002E-4</v>
      </c>
      <c r="M19" s="15">
        <v>5.0000000000000001E-4</v>
      </c>
      <c r="N19" s="14">
        <v>-2.0000000000000001E-4</v>
      </c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1.1299999999999999E-2</v>
      </c>
      <c r="E20" s="15">
        <v>0</v>
      </c>
      <c r="F20" s="14">
        <v>1.1599999999999999E-2</v>
      </c>
      <c r="G20" s="17">
        <v>-2.9999999999999997E-4</v>
      </c>
      <c r="H20" s="16">
        <v>1.47E-2</v>
      </c>
      <c r="I20" s="15">
        <v>4.0000000000000002E-4</v>
      </c>
      <c r="J20" s="14">
        <v>1.4500000000000001E-2</v>
      </c>
      <c r="K20" s="17">
        <v>2.0000000000000001E-4</v>
      </c>
      <c r="L20" s="16">
        <v>1.4500000000000001E-2</v>
      </c>
      <c r="M20" s="15">
        <v>-2.9999999999999997E-4</v>
      </c>
      <c r="N20" s="14">
        <v>1.44E-2</v>
      </c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1.0999999999999999E-2</v>
      </c>
      <c r="E21" s="15">
        <v>0</v>
      </c>
      <c r="F21" s="14">
        <v>1.14E-2</v>
      </c>
      <c r="G21" s="17">
        <v>-8.0000000000000004E-4</v>
      </c>
      <c r="H21" s="16">
        <v>1.12E-2</v>
      </c>
      <c r="I21" s="15">
        <v>5.0000000000000001E-4</v>
      </c>
      <c r="J21" s="14">
        <v>1.0999999999999999E-2</v>
      </c>
      <c r="K21" s="17">
        <v>2.0000000000000001E-4</v>
      </c>
      <c r="L21" s="16">
        <v>1.0500000000000001E-2</v>
      </c>
      <c r="M21" s="15">
        <v>-1E-4</v>
      </c>
      <c r="N21" s="14">
        <v>1.0800000000000001E-2</v>
      </c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8.0000000000000004E-4</v>
      </c>
      <c r="E25" s="15">
        <v>0</v>
      </c>
      <c r="F25" s="14">
        <v>6.9999999999999999E-4</v>
      </c>
      <c r="G25" s="17">
        <v>0</v>
      </c>
      <c r="H25" s="16">
        <v>1.1999999999999999E-3</v>
      </c>
      <c r="I25" s="15">
        <v>0</v>
      </c>
      <c r="J25" s="14">
        <v>1.1000000000000001E-3</v>
      </c>
      <c r="K25" s="17">
        <v>0</v>
      </c>
      <c r="L25" s="16">
        <v>1.1000000000000001E-3</v>
      </c>
      <c r="M25" s="15">
        <v>0</v>
      </c>
      <c r="N25" s="14">
        <v>8.0000000000000004E-4</v>
      </c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5.1999999999999998E-3</v>
      </c>
      <c r="D26" s="8">
        <v>1</v>
      </c>
      <c r="E26" s="45">
        <v>-2.29E-2</v>
      </c>
      <c r="F26" s="44">
        <v>1</v>
      </c>
      <c r="G26" s="8">
        <v>-8.359999999999998E-2</v>
      </c>
      <c r="H26" s="8">
        <v>1.0000000000000002</v>
      </c>
      <c r="I26" s="45">
        <v>4.6899999999999997E-2</v>
      </c>
      <c r="J26" s="44">
        <v>1.0000000000000002</v>
      </c>
      <c r="K26" s="8">
        <v>1.3299999999999999E-2</v>
      </c>
      <c r="L26" s="8">
        <v>1</v>
      </c>
      <c r="M26" s="45">
        <v>-3.1000000000000003E-3</v>
      </c>
      <c r="N26" s="44">
        <v>1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4210.2470000000003</v>
      </c>
      <c r="D27" s="61"/>
      <c r="E27" s="62">
        <v>-18224.521000000001</v>
      </c>
      <c r="F27" s="63"/>
      <c r="G27" s="60">
        <v>-65176.533439999897</v>
      </c>
      <c r="H27" s="61"/>
      <c r="I27" s="62">
        <v>33157.485999999997</v>
      </c>
      <c r="J27" s="63"/>
      <c r="K27" s="60">
        <v>9826.134</v>
      </c>
      <c r="L27" s="61"/>
      <c r="M27" s="62">
        <v>-2291.3772699999304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2.8999999999999998E-3</v>
      </c>
      <c r="D29" s="38">
        <v>0.76819999999999999</v>
      </c>
      <c r="E29" s="37">
        <v>-6.7999999999999996E-3</v>
      </c>
      <c r="F29" s="36">
        <v>0.78390000000000004</v>
      </c>
      <c r="G29" s="39">
        <v>-5.6599999999999998E-2</v>
      </c>
      <c r="H29" s="38">
        <v>0.77159999999999995</v>
      </c>
      <c r="I29" s="37">
        <v>2.8500000000000001E-2</v>
      </c>
      <c r="J29" s="36">
        <v>0.7621</v>
      </c>
      <c r="K29" s="39">
        <v>2.2000000000000001E-3</v>
      </c>
      <c r="L29" s="38">
        <v>0.74929999999999997</v>
      </c>
      <c r="M29" s="37">
        <v>-8.3000000000000001E-3</v>
      </c>
      <c r="N29" s="36">
        <v>0.74080000000000001</v>
      </c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2.3E-3</v>
      </c>
      <c r="D30" s="35">
        <v>0.23180000000000001</v>
      </c>
      <c r="E30" s="12">
        <v>-1.61E-2</v>
      </c>
      <c r="F30" s="11">
        <v>0.21609999999999999</v>
      </c>
      <c r="G30" s="13">
        <v>-2.7E-2</v>
      </c>
      <c r="H30" s="35">
        <v>0.22839999999999999</v>
      </c>
      <c r="I30" s="12">
        <v>1.84E-2</v>
      </c>
      <c r="J30" s="11">
        <v>0.2379</v>
      </c>
      <c r="K30" s="13">
        <v>1.11E-2</v>
      </c>
      <c r="L30" s="35">
        <v>0.25069999999999998</v>
      </c>
      <c r="M30" s="12">
        <v>5.1999999999999998E-3</v>
      </c>
      <c r="N30" s="11">
        <v>0.25919999999999999</v>
      </c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5.1999999999999998E-3</v>
      </c>
      <c r="D31" s="7">
        <v>1</v>
      </c>
      <c r="E31" s="6">
        <v>-2.29E-2</v>
      </c>
      <c r="F31" s="5">
        <v>1</v>
      </c>
      <c r="G31" s="8">
        <v>-8.3599999999999994E-2</v>
      </c>
      <c r="H31" s="7">
        <v>1</v>
      </c>
      <c r="I31" s="6">
        <v>4.6899999999999997E-2</v>
      </c>
      <c r="J31" s="5">
        <v>1</v>
      </c>
      <c r="K31" s="8">
        <v>1.3300000000000001E-2</v>
      </c>
      <c r="L31" s="7">
        <v>1</v>
      </c>
      <c r="M31" s="6">
        <v>-3.1000000000000003E-3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4.4000000000000003E-3</v>
      </c>
      <c r="D33" s="42">
        <v>0.9002</v>
      </c>
      <c r="E33" s="41">
        <v>-2.3199999999999998E-2</v>
      </c>
      <c r="F33" s="40">
        <v>0.89470000000000005</v>
      </c>
      <c r="G33" s="43">
        <v>-8.0699999999999994E-2</v>
      </c>
      <c r="H33" s="42">
        <v>0.88529999999999998</v>
      </c>
      <c r="I33" s="41">
        <v>4.5699999999999998E-2</v>
      </c>
      <c r="J33" s="40">
        <v>0.88719999999999999</v>
      </c>
      <c r="K33" s="43">
        <v>1.2699999999999999E-2</v>
      </c>
      <c r="L33" s="42">
        <v>0.88749999999999996</v>
      </c>
      <c r="M33" s="41">
        <v>-3.3999999999999998E-3</v>
      </c>
      <c r="N33" s="40">
        <v>0.88570000000000004</v>
      </c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8.0000000000000004E-4</v>
      </c>
      <c r="D34" s="16">
        <v>9.98E-2</v>
      </c>
      <c r="E34" s="15">
        <v>2.9999999999999997E-4</v>
      </c>
      <c r="F34" s="14">
        <v>0.1053</v>
      </c>
      <c r="G34" s="17">
        <v>-2.8999999999999998E-3</v>
      </c>
      <c r="H34" s="16">
        <v>0.1147</v>
      </c>
      <c r="I34" s="15">
        <v>1.1999999999999999E-3</v>
      </c>
      <c r="J34" s="14">
        <v>0.1128</v>
      </c>
      <c r="K34" s="17">
        <v>5.9999999999999995E-4</v>
      </c>
      <c r="L34" s="16">
        <v>0.1125</v>
      </c>
      <c r="M34" s="15">
        <v>2.9999999999999997E-4</v>
      </c>
      <c r="N34" s="14">
        <v>0.1143</v>
      </c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5.2000000000000006E-3</v>
      </c>
      <c r="D35" s="7">
        <v>1</v>
      </c>
      <c r="E35" s="6">
        <v>-2.2899999999999997E-2</v>
      </c>
      <c r="F35" s="5">
        <v>1</v>
      </c>
      <c r="G35" s="8">
        <v>-8.3599999999999994E-2</v>
      </c>
      <c r="H35" s="7">
        <v>1</v>
      </c>
      <c r="I35" s="6">
        <v>4.6899999999999997E-2</v>
      </c>
      <c r="J35" s="5">
        <v>1</v>
      </c>
      <c r="K35" s="8">
        <v>1.3299999999999999E-2</v>
      </c>
      <c r="L35" s="7">
        <v>1</v>
      </c>
      <c r="M35" s="6">
        <v>-3.0999999999999999E-3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-4.0000000000000002E-4</v>
      </c>
      <c r="D40" s="16">
        <v>6.800000000000006E-2</v>
      </c>
      <c r="E40" s="15">
        <v>-6.9999999999999999E-4</v>
      </c>
      <c r="F40" s="14">
        <v>6.7399999999999904E-2</v>
      </c>
      <c r="G40" s="13"/>
      <c r="H40" s="13"/>
      <c r="I40" s="12"/>
      <c r="J40" s="11"/>
      <c r="K40" s="26"/>
    </row>
    <row r="41" spans="2:26">
      <c r="B41" s="18" t="s">
        <v>25</v>
      </c>
      <c r="C41" s="17">
        <v>-4.4999999999999997E-3</v>
      </c>
      <c r="D41" s="16">
        <v>0.24540000000000001</v>
      </c>
      <c r="E41" s="15">
        <v>1.8E-3</v>
      </c>
      <c r="F41" s="14">
        <v>0.24399999999999999</v>
      </c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/>
      <c r="H43" s="13"/>
      <c r="I43" s="12"/>
      <c r="J43" s="11"/>
      <c r="K43" s="26"/>
    </row>
    <row r="44" spans="2:26">
      <c r="B44" s="18" t="s">
        <v>22</v>
      </c>
      <c r="C44" s="17">
        <v>-1.34E-2</v>
      </c>
      <c r="D44" s="16">
        <v>0.20569999999999999</v>
      </c>
      <c r="E44" s="15">
        <v>-1.0500000000000001E-2</v>
      </c>
      <c r="F44" s="14">
        <v>0.2014</v>
      </c>
      <c r="G44" s="13"/>
      <c r="H44" s="13"/>
      <c r="I44" s="12"/>
      <c r="J44" s="11"/>
      <c r="K44" s="26"/>
    </row>
    <row r="45" spans="2:26">
      <c r="B45" s="18" t="s">
        <v>21</v>
      </c>
      <c r="C45" s="17">
        <v>-6.9999999999999999E-4</v>
      </c>
      <c r="D45" s="16">
        <v>1.6899999999999998E-2</v>
      </c>
      <c r="E45" s="15">
        <v>-5.9999999999999995E-4</v>
      </c>
      <c r="F45" s="14">
        <v>1.5599999999999999E-2</v>
      </c>
      <c r="G45" s="13"/>
      <c r="H45" s="13"/>
      <c r="I45" s="12"/>
      <c r="J45" s="11"/>
      <c r="K45" s="26"/>
    </row>
    <row r="46" spans="2:26">
      <c r="B46" s="18" t="s">
        <v>20</v>
      </c>
      <c r="C46" s="17">
        <v>-3.5200000000000002E-2</v>
      </c>
      <c r="D46" s="16">
        <v>0.1313</v>
      </c>
      <c r="E46" s="15">
        <v>-2.9700000000000001E-2</v>
      </c>
      <c r="F46" s="14">
        <v>0.1384</v>
      </c>
      <c r="G46" s="13"/>
      <c r="H46" s="13"/>
      <c r="I46" s="12"/>
      <c r="J46" s="11"/>
      <c r="K46" s="26"/>
    </row>
    <row r="47" spans="2:26">
      <c r="B47" s="18" t="s">
        <v>19</v>
      </c>
      <c r="C47" s="17">
        <v>-2.5999999999999999E-2</v>
      </c>
      <c r="D47" s="16">
        <v>0.19159999999999999</v>
      </c>
      <c r="E47" s="15">
        <v>1E-3</v>
      </c>
      <c r="F47" s="14">
        <v>0.189</v>
      </c>
      <c r="G47" s="13"/>
      <c r="H47" s="13"/>
      <c r="I47" s="12"/>
      <c r="J47" s="11"/>
      <c r="K47" s="26"/>
    </row>
    <row r="48" spans="2:26">
      <c r="B48" s="18" t="s">
        <v>18</v>
      </c>
      <c r="C48" s="17">
        <v>-2.3E-3</v>
      </c>
      <c r="D48" s="16">
        <v>2.75E-2</v>
      </c>
      <c r="E48" s="15">
        <v>2.9999999999999997E-4</v>
      </c>
      <c r="F48" s="14">
        <v>3.1E-2</v>
      </c>
      <c r="G48" s="13"/>
      <c r="H48" s="13"/>
      <c r="I48" s="12"/>
      <c r="J48" s="11"/>
      <c r="K48" s="26"/>
    </row>
    <row r="49" spans="1:11">
      <c r="B49" s="18" t="s">
        <v>17</v>
      </c>
      <c r="C49" s="17">
        <v>2.3E-3</v>
      </c>
      <c r="D49" s="16">
        <v>8.8599999999999998E-2</v>
      </c>
      <c r="E49" s="15">
        <v>1.5E-3</v>
      </c>
      <c r="F49" s="14">
        <v>8.72E-2</v>
      </c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>
        <v>2.0000000000000001E-4</v>
      </c>
      <c r="F50" s="14">
        <v>2.0000000000000001E-4</v>
      </c>
      <c r="G50" s="13"/>
      <c r="H50" s="13"/>
      <c r="I50" s="12"/>
      <c r="J50" s="11"/>
      <c r="K50" s="26"/>
    </row>
    <row r="51" spans="1:11">
      <c r="B51" s="18" t="s">
        <v>15</v>
      </c>
      <c r="C51" s="17">
        <v>-1.6199999999999999E-2</v>
      </c>
      <c r="D51" s="16">
        <v>-3.8999999999999998E-3</v>
      </c>
      <c r="E51" s="15">
        <v>-9.1999999999999998E-3</v>
      </c>
      <c r="F51" s="14">
        <v>0</v>
      </c>
      <c r="G51" s="13"/>
      <c r="H51" s="13"/>
      <c r="I51" s="12"/>
      <c r="J51" s="11"/>
      <c r="K51" s="26"/>
    </row>
    <row r="52" spans="1:11">
      <c r="B52" s="18" t="s">
        <v>14</v>
      </c>
      <c r="C52" s="17">
        <v>-2.5000000000000001E-3</v>
      </c>
      <c r="D52" s="16">
        <v>1.8E-3</v>
      </c>
      <c r="E52" s="15">
        <v>-2.0999999999999999E-3</v>
      </c>
      <c r="F52" s="14">
        <v>-2.0000000000000001E-4</v>
      </c>
      <c r="G52" s="13"/>
      <c r="H52" s="13"/>
      <c r="I52" s="12"/>
      <c r="J52" s="11"/>
      <c r="K52" s="26"/>
    </row>
    <row r="53" spans="1:11">
      <c r="B53" s="18" t="s">
        <v>13</v>
      </c>
      <c r="C53" s="17">
        <v>-2.9999999999999997E-4</v>
      </c>
      <c r="D53" s="16">
        <v>1.47E-2</v>
      </c>
      <c r="E53" s="15">
        <v>0</v>
      </c>
      <c r="F53" s="14">
        <v>1.44E-2</v>
      </c>
      <c r="G53" s="13"/>
      <c r="H53" s="13"/>
      <c r="I53" s="12"/>
      <c r="J53" s="11"/>
      <c r="K53" s="26"/>
    </row>
    <row r="54" spans="1:11">
      <c r="B54" s="18" t="s">
        <v>12</v>
      </c>
      <c r="C54" s="17">
        <v>-8.0000000000000004E-4</v>
      </c>
      <c r="D54" s="16">
        <v>1.12E-2</v>
      </c>
      <c r="E54" s="15">
        <v>-2.0000000000000001E-4</v>
      </c>
      <c r="F54" s="14">
        <v>1.0800000000000001E-2</v>
      </c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1.1999999999999999E-3</v>
      </c>
      <c r="E58" s="15">
        <v>0</v>
      </c>
      <c r="F58" s="14">
        <v>8.0000000000000004E-4</v>
      </c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v>-9.9999999999999978E-2</v>
      </c>
      <c r="D59" s="7">
        <v>1.0000000000000002</v>
      </c>
      <c r="E59" s="6">
        <f>SUM(E40:E58)</f>
        <v>-4.8199999999999993E-2</v>
      </c>
      <c r="F59" s="5">
        <v>1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-79191</v>
      </c>
      <c r="D60" s="61"/>
      <c r="E60" s="62">
        <v>-38498.564060000004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-0.06</v>
      </c>
      <c r="D62" s="16">
        <v>0.77159999999999995</v>
      </c>
      <c r="E62" s="15">
        <v>-4.1300000000000003E-2</v>
      </c>
      <c r="F62" s="14">
        <v>0.74080000000000001</v>
      </c>
      <c r="G62" s="13"/>
      <c r="H62" s="13"/>
      <c r="I62" s="12"/>
      <c r="J62" s="11"/>
    </row>
    <row r="63" spans="1:11">
      <c r="B63" s="18" t="s">
        <v>3</v>
      </c>
      <c r="C63" s="17">
        <v>-0.04</v>
      </c>
      <c r="D63" s="16">
        <v>0.22839999999999999</v>
      </c>
      <c r="E63" s="15">
        <v>-6.8999999999999999E-3</v>
      </c>
      <c r="F63" s="14">
        <v>0.25919999999999999</v>
      </c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v>-0.1</v>
      </c>
      <c r="D64" s="7">
        <v>1</v>
      </c>
      <c r="E64" s="6">
        <f>SUM(E62:E63)</f>
        <v>-4.8200000000000007E-2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-9.8199999999999996E-2</v>
      </c>
      <c r="D66" s="16">
        <v>0.88529999999999998</v>
      </c>
      <c r="E66" s="15">
        <v>-4.8500000000000001E-2</v>
      </c>
      <c r="F66" s="14">
        <v>0.88570000000000004</v>
      </c>
      <c r="G66" s="13"/>
      <c r="H66" s="13"/>
      <c r="I66" s="12"/>
      <c r="J66" s="11"/>
    </row>
    <row r="67" spans="1:10">
      <c r="B67" s="18" t="s">
        <v>1</v>
      </c>
      <c r="C67" s="17">
        <v>-1.8E-3</v>
      </c>
      <c r="D67" s="16">
        <v>0.1147</v>
      </c>
      <c r="E67" s="15">
        <v>2.9999999999999997E-4</v>
      </c>
      <c r="F67" s="14">
        <v>0.1143</v>
      </c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v>-9.9999999999999992E-2</v>
      </c>
      <c r="D68" s="7">
        <v>1</v>
      </c>
      <c r="E68" s="6">
        <f>SUM(E66:E67)</f>
        <v>-4.82E-2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2020-07-12T13:10:47Z</dcterms:created>
  <dcterms:modified xsi:type="dcterms:W3CDTF">2020-07-12T13:27:21Z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1893862211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2 2020 קופות יהב + עגור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