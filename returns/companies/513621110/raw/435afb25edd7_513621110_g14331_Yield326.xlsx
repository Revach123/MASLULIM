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fi-Filer\users\New_U\חטיבת השקעות\BO תפעול וחשבות ניע\מרכיבי תשואה\0326\מזרחי\"/>
    </mc:Choice>
  </mc:AlternateContent>
  <xr:revisionPtr revIDLastSave="0" documentId="13_ncr:1_{D4AB6714-8936-45BC-9871-3A475F47B23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</calcChain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<sst xmlns="http://schemas.openxmlformats.org/spreadsheetml/2006/main" count="92" uniqueCount="64">
  <si>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</si>
  <si>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</si>
  <si>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משולב סחיר (518)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</si>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</sst>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topLeftCell="A34" zoomScale="115" zoomScaleNormal="115" workbookViewId="0">
      <selection activeCell="O46" sqref="O46"/>
    </sheetView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2.4600000000000002E-4</v>
      </c>
      <c r="D6" s="18">
        <v>2.1937000000000002E-2</v>
      </c>
      <c r="E6" s="21">
        <v>1.21E-4</v>
      </c>
      <c r="F6" s="30">
        <v>2.6408000000000001E-2</v>
      </c>
      <c r="G6" s="12">
        <v>9.9999999999999995E-7</v>
      </c>
      <c r="H6" s="18">
        <v>3.6673999999999998E-2</v>
      </c>
      <c r="I6" s="21">
        <v>2.52E-4</v>
      </c>
      <c r="J6" s="30">
        <v>2.1333999999999999E-2</v>
      </c>
      <c r="K6" s="12">
        <v>-3.9999999999999998E-6</v>
      </c>
      <c r="L6" s="18">
        <v>1.8787999999999999E-2</v>
      </c>
      <c r="M6" s="21">
        <v>6.0000000000000002E-6</v>
      </c>
      <c r="N6" s="30">
        <v>1.3646999999999999E-2</v>
      </c>
      <c r="O6" s="12">
        <v>1.6200000000000001E-4</v>
      </c>
      <c r="P6" s="18">
        <v>9.9030000000000003E-3</v>
      </c>
      <c r="Q6" s="21">
        <v>-5.0000000000000004E-6</v>
      </c>
      <c r="R6" s="30">
        <v>1.0588999999999999E-2</v>
      </c>
      <c r="S6" s="12">
        <v>5.0000000000000004E-6</v>
      </c>
      <c r="T6" s="18">
        <v>1.5910000000000001E-2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0</v>
      </c>
      <c r="D7" s="18">
        <v>0</v>
      </c>
      <c r="E7" s="21">
        <v>0</v>
      </c>
      <c r="F7" s="30">
        <v>0</v>
      </c>
      <c r="G7" s="12">
        <v>0</v>
      </c>
      <c r="H7" s="18">
        <v>0</v>
      </c>
      <c r="I7" s="21">
        <v>0</v>
      </c>
      <c r="J7" s="30">
        <v>0</v>
      </c>
      <c r="K7" s="12">
        <v>0</v>
      </c>
      <c r="L7" s="18">
        <v>0</v>
      </c>
      <c r="M7" s="21">
        <v>0</v>
      </c>
      <c r="N7" s="30">
        <v>0</v>
      </c>
      <c r="O7" s="12">
        <v>0</v>
      </c>
      <c r="P7" s="18">
        <v>0</v>
      </c>
      <c r="Q7" s="21">
        <v>0</v>
      </c>
      <c r="R7" s="30">
        <v>0</v>
      </c>
      <c r="S7" s="12">
        <v>0</v>
      </c>
      <c r="T7" s="18">
        <v>0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2.8171000000000002E-2</v>
      </c>
      <c r="D12" s="18">
        <v>0.30979800000000002</v>
      </c>
      <c r="E12" s="21">
        <v>8.3149999999999995E-3</v>
      </c>
      <c r="F12" s="30">
        <v>0.37114900000000001</v>
      </c>
      <c r="G12" s="12">
        <v>-4.1850000000000004E-3</v>
      </c>
      <c r="H12" s="18">
        <v>0.41217500000000001</v>
      </c>
      <c r="I12" s="21">
        <v>3.8081999999999998E-2</v>
      </c>
      <c r="J12" s="30">
        <v>0.44648700000000002</v>
      </c>
      <c r="K12" s="12">
        <v>2.0407000000000002E-2</v>
      </c>
      <c r="L12" s="18">
        <v>0.49261500000000003</v>
      </c>
      <c r="M12" s="21">
        <v>-5.6474000000000003E-2</v>
      </c>
      <c r="N12" s="30">
        <v>0.52827999999999997</v>
      </c>
      <c r="O12" s="12">
        <v>-4.8190000000000004E-3</v>
      </c>
      <c r="P12" s="18">
        <v>0.54196999999999995</v>
      </c>
      <c r="Q12" s="21">
        <v>1.1044999999999999E-2</v>
      </c>
      <c r="R12" s="30">
        <v>0.50959100000000002</v>
      </c>
      <c r="S12" s="12">
        <v>-6.0400000000000004E-4</v>
      </c>
      <c r="T12" s="18">
        <v>0.485844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5.2669000000000001E-2</v>
      </c>
      <c r="D13" s="18">
        <v>0.66827499999999995</v>
      </c>
      <c r="E13" s="21">
        <v>8.3829999999999998E-3</v>
      </c>
      <c r="F13" s="30">
        <v>0.60244299999999995</v>
      </c>
      <c r="G13" s="12">
        <v>-1.703E-2</v>
      </c>
      <c r="H13" s="18">
        <v>0.55089399999999999</v>
      </c>
      <c r="I13" s="21">
        <v>4.5506999999999999E-2</v>
      </c>
      <c r="J13" s="30">
        <v>0.53135100000000002</v>
      </c>
      <c r="K13" s="12">
        <v>1.1619000000000001E-2</v>
      </c>
      <c r="L13" s="18">
        <v>0.488429</v>
      </c>
      <c r="M13" s="21">
        <v>-4.3816000000000001E-2</v>
      </c>
      <c r="N13" s="30">
        <v>0.457764</v>
      </c>
      <c r="O13" s="12">
        <v>1.0280000000000001E-3</v>
      </c>
      <c r="P13" s="18">
        <v>0.448042</v>
      </c>
      <c r="Q13" s="21">
        <v>4.4739999999999997E-3</v>
      </c>
      <c r="R13" s="30">
        <v>0.479404</v>
      </c>
      <c r="S13" s="12">
        <v>1.1770000000000001E-3</v>
      </c>
      <c r="T13" s="18">
        <v>0.49772899999999998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-9.6199999999999996E-4</v>
      </c>
      <c r="D24" s="18">
        <v>-1.0000000000000001E-5</v>
      </c>
      <c r="E24" s="21">
        <v>2.0690000000000001E-3</v>
      </c>
      <c r="F24" s="30">
        <v>0</v>
      </c>
      <c r="G24" s="12">
        <v>5.3889999999999997E-3</v>
      </c>
      <c r="H24" s="18">
        <v>2.5700000000000001E-4</v>
      </c>
      <c r="I24" s="21">
        <v>-5.9299999999999999E-4</v>
      </c>
      <c r="J24" s="30">
        <v>8.2799999999999996E-4</v>
      </c>
      <c r="K24" s="12">
        <v>6.6600000000000003E-4</v>
      </c>
      <c r="L24" s="18">
        <v>1.6699999999999999E-4</v>
      </c>
      <c r="M24" s="21">
        <v>3.3700000000000001E-4</v>
      </c>
      <c r="N24" s="30">
        <v>3.0899999999999998E-4</v>
      </c>
      <c r="O24" s="12">
        <v>-1.8200000000000001E-4</v>
      </c>
      <c r="P24" s="18">
        <v>8.5000000000000006E-5</v>
      </c>
      <c r="Q24" s="21">
        <v>6.0999999999999999E-5</v>
      </c>
      <c r="R24" s="30">
        <v>4.1599999999999997E-4</v>
      </c>
      <c r="S24" s="12">
        <v>8.0000000000000007E-5</v>
      </c>
      <c r="T24" s="18">
        <v>5.1699999999999999E-4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8.0124000000000001E-2</v>
      </c>
      <c r="D25" s="19">
        <v>1</v>
      </c>
      <c r="E25" s="23">
        <v>1.8887999999999999E-2</v>
      </c>
      <c r="F25" s="31">
        <v>1</v>
      </c>
      <c r="G25" s="13">
        <v>-1.5824999999999999E-2</v>
      </c>
      <c r="H25" s="19">
        <v>1</v>
      </c>
      <c r="I25" s="23">
        <v>8.3247000000000002E-2</v>
      </c>
      <c r="J25" s="31">
        <v>1</v>
      </c>
      <c r="K25" s="13">
        <v>3.2689000000000003E-2</v>
      </c>
      <c r="L25" s="19">
        <v>1</v>
      </c>
      <c r="M25" s="23">
        <v>-9.9946999999999994E-2</v>
      </c>
      <c r="N25" s="31">
        <v>1</v>
      </c>
      <c r="O25" s="13">
        <v>-3.81E-3</v>
      </c>
      <c r="P25" s="19">
        <v>1</v>
      </c>
      <c r="Q25" s="23">
        <v>1.5575E-2</v>
      </c>
      <c r="R25" s="31">
        <v>1</v>
      </c>
      <c r="S25" s="13">
        <v>6.5899999999999997E-4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4687.0623999999998</v>
      </c>
      <c r="D26" s="20"/>
      <c r="E26" s="16">
        <v>1367.9749300000001</v>
      </c>
      <c r="F26" s="32"/>
      <c r="G26" s="7">
        <v>-1976.867</v>
      </c>
      <c r="H26" s="20"/>
      <c r="I26" s="16">
        <v>8737.7158199999994</v>
      </c>
      <c r="J26" s="32"/>
      <c r="K26" s="7">
        <v>3767.8733099999999</v>
      </c>
      <c r="L26" s="20"/>
      <c r="M26" s="16">
        <v>-12480.281370000001</v>
      </c>
      <c r="N26" s="32"/>
      <c r="O26" s="7">
        <v>-410.8854</v>
      </c>
      <c r="P26" s="20"/>
      <c r="Q26" s="16">
        <v>1838.1470999999999</v>
      </c>
      <c r="R26" s="32"/>
      <c r="S26" s="7">
        <v>69.590419999999995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8.0124000000000001E-2</v>
      </c>
      <c r="D28" s="34">
        <v>1</v>
      </c>
      <c r="E28" s="36">
        <v>1.8887999999999999E-2</v>
      </c>
      <c r="F28" s="39">
        <v>1</v>
      </c>
      <c r="G28" s="33">
        <v>-1.5824999999999999E-2</v>
      </c>
      <c r="H28" s="34">
        <v>1</v>
      </c>
      <c r="I28" s="36">
        <v>8.3247000000000002E-2</v>
      </c>
      <c r="J28" s="39">
        <v>1</v>
      </c>
      <c r="K28" s="33">
        <v>3.2689000000000003E-2</v>
      </c>
      <c r="L28" s="34">
        <v>1</v>
      </c>
      <c r="M28" s="36">
        <v>-9.9946999999999994E-2</v>
      </c>
      <c r="N28" s="39">
        <v>1</v>
      </c>
      <c r="O28" s="33">
        <v>-3.81E-3</v>
      </c>
      <c r="P28" s="34">
        <v>1</v>
      </c>
      <c r="Q28" s="36">
        <v>1.5575E-2</v>
      </c>
      <c r="R28" s="39">
        <v>1</v>
      </c>
      <c r="S28" s="33">
        <v>6.5899999999999997E-4</v>
      </c>
      <c r="T28" s="34">
        <v>1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0</v>
      </c>
      <c r="D29" s="18">
        <v>0</v>
      </c>
      <c r="E29" s="21">
        <v>0</v>
      </c>
      <c r="F29" s="30">
        <v>0</v>
      </c>
      <c r="G29" s="12">
        <v>0</v>
      </c>
      <c r="H29" s="18">
        <v>0</v>
      </c>
      <c r="I29" s="21">
        <v>0</v>
      </c>
      <c r="J29" s="30">
        <v>0</v>
      </c>
      <c r="K29" s="12">
        <v>0</v>
      </c>
      <c r="L29" s="18">
        <v>0</v>
      </c>
      <c r="M29" s="21">
        <v>0</v>
      </c>
      <c r="N29" s="30">
        <v>0</v>
      </c>
      <c r="O29" s="12">
        <v>0</v>
      </c>
      <c r="P29" s="18">
        <v>0</v>
      </c>
      <c r="Q29" s="21">
        <v>0</v>
      </c>
      <c r="R29" s="30">
        <v>0</v>
      </c>
      <c r="S29" s="12">
        <v>0</v>
      </c>
      <c r="T29" s="18">
        <v>0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8.0124000000000001E-2</v>
      </c>
      <c r="D30" s="35">
        <v>1</v>
      </c>
      <c r="E30" s="25">
        <v>1.8887999999999999E-2</v>
      </c>
      <c r="F30" s="40">
        <v>1</v>
      </c>
      <c r="G30" s="14">
        <v>-1.5824999999999999E-2</v>
      </c>
      <c r="H30" s="35">
        <v>1</v>
      </c>
      <c r="I30" s="25">
        <v>8.3247000000000002E-2</v>
      </c>
      <c r="J30" s="40">
        <v>1</v>
      </c>
      <c r="K30" s="14">
        <v>3.2689000000000003E-2</v>
      </c>
      <c r="L30" s="35">
        <v>1</v>
      </c>
      <c r="M30" s="25">
        <v>-9.9946999999999994E-2</v>
      </c>
      <c r="N30" s="40">
        <v>1</v>
      </c>
      <c r="O30" s="14">
        <v>-3.81E-3</v>
      </c>
      <c r="P30" s="35">
        <v>1</v>
      </c>
      <c r="Q30" s="25">
        <v>1.5575E-2</v>
      </c>
      <c r="R30" s="40">
        <v>1</v>
      </c>
      <c r="S30" s="14">
        <v>6.5899999999999997E-4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7.9216999999999996E-2</v>
      </c>
      <c r="D32" s="34">
        <v>1.000013</v>
      </c>
      <c r="E32" s="36">
        <v>1.9098E-2</v>
      </c>
      <c r="F32" s="39">
        <v>1</v>
      </c>
      <c r="G32" s="33">
        <v>-1.5365E-2</v>
      </c>
      <c r="H32" s="34">
        <v>1</v>
      </c>
      <c r="I32" s="36">
        <v>8.2956000000000002E-2</v>
      </c>
      <c r="J32" s="39">
        <v>1</v>
      </c>
      <c r="K32" s="33">
        <v>3.3277000000000001E-2</v>
      </c>
      <c r="L32" s="34">
        <v>1</v>
      </c>
      <c r="M32" s="36">
        <v>-9.9777000000000005E-2</v>
      </c>
      <c r="N32" s="39">
        <v>1</v>
      </c>
      <c r="O32" s="33">
        <v>-3.6809999999999998E-3</v>
      </c>
      <c r="P32" s="34">
        <v>1</v>
      </c>
      <c r="Q32" s="36">
        <v>1.5457E-2</v>
      </c>
      <c r="R32" s="39">
        <v>1</v>
      </c>
      <c r="S32" s="33">
        <v>5.5900000000000004E-4</v>
      </c>
      <c r="T32" s="34">
        <v>1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9.0700000000000004E-4</v>
      </c>
      <c r="D33" s="18">
        <v>-1.2999999999999999E-5</v>
      </c>
      <c r="E33" s="21">
        <v>-2.1100000000000001E-4</v>
      </c>
      <c r="F33" s="30">
        <v>0</v>
      </c>
      <c r="G33" s="12">
        <v>-4.6000000000000001E-4</v>
      </c>
      <c r="H33" s="18">
        <v>0</v>
      </c>
      <c r="I33" s="21">
        <v>2.9100000000000003E-4</v>
      </c>
      <c r="J33" s="30">
        <v>0</v>
      </c>
      <c r="K33" s="12">
        <v>-5.8799999999999998E-4</v>
      </c>
      <c r="L33" s="18">
        <v>0</v>
      </c>
      <c r="M33" s="21">
        <v>-1.7000000000000001E-4</v>
      </c>
      <c r="N33" s="30">
        <v>0</v>
      </c>
      <c r="O33" s="12">
        <v>-1.2899999999999999E-4</v>
      </c>
      <c r="P33" s="18">
        <v>0</v>
      </c>
      <c r="Q33" s="21">
        <v>1.18E-4</v>
      </c>
      <c r="R33" s="30">
        <v>0</v>
      </c>
      <c r="S33" s="12">
        <v>1E-4</v>
      </c>
      <c r="T33" s="18">
        <v>0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8.0124000000000001E-2</v>
      </c>
      <c r="D34" s="35">
        <v>1</v>
      </c>
      <c r="E34" s="25">
        <v>1.8887999999999999E-2</v>
      </c>
      <c r="F34" s="40">
        <v>1</v>
      </c>
      <c r="G34" s="14">
        <v>-1.5824999999999999E-2</v>
      </c>
      <c r="H34" s="35">
        <v>1</v>
      </c>
      <c r="I34" s="25">
        <v>8.3247000000000002E-2</v>
      </c>
      <c r="J34" s="40">
        <v>1</v>
      </c>
      <c r="K34" s="14">
        <v>3.2689000000000003E-2</v>
      </c>
      <c r="L34" s="35">
        <v>1</v>
      </c>
      <c r="M34" s="25">
        <v>-9.9946999999999994E-2</v>
      </c>
      <c r="N34" s="40">
        <v>1</v>
      </c>
      <c r="O34" s="14">
        <v>-3.81E-3</v>
      </c>
      <c r="P34" s="35">
        <v>1</v>
      </c>
      <c r="Q34" s="25">
        <v>1.5575E-2</v>
      </c>
      <c r="R34" s="40">
        <v>1</v>
      </c>
      <c r="S34" s="14">
        <v>6.5899999999999997E-4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3.68030133029773E-4</v>
      </c>
      <c r="D37" s="18">
        <v>2.9210831911014298E-2</v>
      </c>
      <c r="E37" s="21">
        <v>6.2212409285411496E-4</v>
      </c>
      <c r="F37" s="30">
        <v>2.2685919514482601E-2</v>
      </c>
      <c r="G37" s="12">
        <v>7.8422485193763202E-4</v>
      </c>
      <c r="H37" s="18">
        <v>1.8805970686657299E-2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0</v>
      </c>
      <c r="D38" s="18">
        <v>0</v>
      </c>
      <c r="E38" s="21">
        <v>0</v>
      </c>
      <c r="F38" s="30">
        <v>0</v>
      </c>
      <c r="G38" s="12">
        <v>0</v>
      </c>
      <c r="H38" s="18">
        <v>0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3.2381567652794999E-2</v>
      </c>
      <c r="D43" s="18">
        <v>0.370632005407661</v>
      </c>
      <c r="E43" s="21">
        <v>3.1808743945872298E-2</v>
      </c>
      <c r="F43" s="30">
        <v>0.43929332344358701</v>
      </c>
      <c r="G43" s="12">
        <v>3.7550806851851297E-2</v>
      </c>
      <c r="H43" s="18">
        <v>0.466163544684362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4.3416289509414299E-2</v>
      </c>
      <c r="D44" s="18">
        <v>0.600059528921145</v>
      </c>
      <c r="E44" s="21">
        <v>5.5219983749059703E-2</v>
      </c>
      <c r="F44" s="30">
        <v>0.53773457784521295</v>
      </c>
      <c r="G44" s="12">
        <f>6.22794904270652%-0.35%</f>
        <v>5.8779490427065192E-2</v>
      </c>
      <c r="H44" s="18">
        <v>0.514723250369717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6.49996451885304E-3</v>
      </c>
      <c r="D55" s="18">
        <v>9.7633760179833705E-5</v>
      </c>
      <c r="E55" s="21">
        <v>6.9122566261692296E-3</v>
      </c>
      <c r="F55" s="30">
        <v>2.8597871269899503E-4</v>
      </c>
      <c r="G55" s="12">
        <v>6.87095229710311E-3</v>
      </c>
      <c r="H55" s="18">
        <v>3.0710791078810697E-4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8.3109567940077705E-2</v>
      </c>
      <c r="D56" s="19">
        <v>1</v>
      </c>
      <c r="E56" s="23">
        <v>9.0529760853944999E-2</v>
      </c>
      <c r="F56" s="31">
        <v>1</v>
      </c>
      <c r="G56" s="13">
        <v>0.104022202127575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4078.1703299999999</v>
      </c>
      <c r="D57" s="20"/>
      <c r="E57" s="16">
        <v>4103.4780899999996</v>
      </c>
      <c r="F57" s="32"/>
      <c r="G57" s="7">
        <v>5600.3302100000001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8.3109567940077705E-2</v>
      </c>
      <c r="D59" s="34">
        <v>1</v>
      </c>
      <c r="E59" s="36">
        <v>9.0529760853944999E-2</v>
      </c>
      <c r="F59" s="39">
        <v>1</v>
      </c>
      <c r="G59" s="33">
        <v>0.104022202127575</v>
      </c>
      <c r="H59" s="34">
        <v>1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0</v>
      </c>
      <c r="D60" s="18">
        <v>0</v>
      </c>
      <c r="E60" s="21">
        <v>0</v>
      </c>
      <c r="F60" s="30">
        <v>0</v>
      </c>
      <c r="G60" s="12">
        <v>0</v>
      </c>
      <c r="H60" s="18">
        <v>0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8.3109567940077705E-2</v>
      </c>
      <c r="D61" s="35">
        <v>1</v>
      </c>
      <c r="E61" s="25">
        <v>9.0529760853944999E-2</v>
      </c>
      <c r="F61" s="40">
        <v>1</v>
      </c>
      <c r="G61" s="14">
        <v>0.104022202127575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8.2929030793523095E-2</v>
      </c>
      <c r="D63" s="34">
        <v>1.00000350324015</v>
      </c>
      <c r="E63" s="36">
        <v>9.0881747207597105E-2</v>
      </c>
      <c r="F63" s="39">
        <v>1.0000014855830399</v>
      </c>
      <c r="G63" s="33">
        <v>0.10428285176673401</v>
      </c>
      <c r="H63" s="34">
        <v>1.00000093623997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2.3548855103339099E-4</v>
      </c>
      <c r="D64" s="18">
        <v>-3.5032401505192701E-6</v>
      </c>
      <c r="E64" s="21">
        <v>-2.3174203942888399E-4</v>
      </c>
      <c r="F64" s="30">
        <v>-1.48558304093325E-6</v>
      </c>
      <c r="G64" s="12">
        <v>-1.4277898420966801E-4</v>
      </c>
      <c r="H64" s="18">
        <v>-9.3623996908589302E-7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8.3109567940077705E-2</v>
      </c>
      <c r="D65" s="35">
        <v>1</v>
      </c>
      <c r="E65" s="25">
        <v>9.0529760853944999E-2</v>
      </c>
      <c r="F65" s="40">
        <v>1</v>
      </c>
      <c r="G65" s="14">
        <v>0.104022202127575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Alisa Rozenblat</cp:lastModifiedBy>
  <dcterms:modified xsi:type="dcterms:W3CDTF">2026-10-25T08:45:53Z</dcterms:modified>
</cp:coreProperties>
</file>