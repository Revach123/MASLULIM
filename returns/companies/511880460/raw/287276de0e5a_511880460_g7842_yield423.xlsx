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<sst xmlns="http://schemas.openxmlformats.org/spreadsheetml/2006/main" count="190" uniqueCount="50">
  <si>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</si>
  <si>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</si>
  <si>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</si>
  <si>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</si>
  <si>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</si>
  <si>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</si>
  <si>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</si>
  <si>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</si>
  <si>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</si>
  <si>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</si>
  <si>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</si>
  <si>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</si>
  <si>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</si>
  <si>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</si>
  <si>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</si>
  <si>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</si>
  <si>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</si>
  <si>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</si>
  <si>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</si>
  <si>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</si>
  <si>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</si>
  <si>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</si>
  <si>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</si>
  <si>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</si>
  <si>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</si>
  <si>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</si>
  <si>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</si>
  <si>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</si>
  <si>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</si>
  <si>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</si>
  <si>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</si>
  <si>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</si>
  <si>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</si>
  <si>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</si>
  <si>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</si>
  <si>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</si>
  <si>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</si>
  <si>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</si>
  <si>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</si>
  <si>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</si>
  <si>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</si>
  <si>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</si>
  <si>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</si>
  <si>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</si>
  <si>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</si>
  <si>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</si>
  <si>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</si>
  <si>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</si>
  <si>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</si>
  <si>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2015אנליסט מסלולית קופת גמל להשקעה חול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</si>
</sst>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 x14ac:dyDescent="0.25">
      <c r="B6" s="21" t="s">
        <v>41</v>
      </c>
      <c r="C6" s="37">
        <v>44927</v>
      </c>
      <c r="D6" s="38"/>
      <c r="E6" s="46">
        <v>44958</v>
      </c>
      <c r="F6" s="47"/>
      <c r="G6" s="37">
        <v>44986</v>
      </c>
      <c r="H6" s="38"/>
      <c r="I6" s="46">
        <v>45017</v>
      </c>
      <c r="J6" s="47"/>
      <c r="K6" s="37">
        <v>45047</v>
      </c>
      <c r="L6" s="38"/>
      <c r="M6" s="46">
        <v>45078</v>
      </c>
      <c r="N6" s="47"/>
      <c r="O6" s="37">
        <v>45108</v>
      </c>
      <c r="P6" s="38"/>
      <c r="Q6" s="46">
        <v>45139</v>
      </c>
      <c r="R6" s="47"/>
      <c r="S6" s="37">
        <v>45170</v>
      </c>
      <c r="T6" s="38"/>
      <c r="U6" s="46">
        <v>45200</v>
      </c>
      <c r="V6" s="47"/>
      <c r="W6" s="37">
        <v>45231</v>
      </c>
      <c r="X6" s="38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-1.1999999999999999E-3</v>
      </c>
      <c r="D8" s="9">
        <v>0.16867108091905</v>
      </c>
      <c r="E8" s="25">
        <v>5.3E-3</v>
      </c>
      <c r="F8" s="26">
        <v>0.29610548859730101</v>
      </c>
      <c r="G8" s="8">
        <v>-1E-3</v>
      </c>
      <c r="H8" s="9">
        <v>0.16998209642645901</v>
      </c>
      <c r="I8" s="25">
        <v>1.1000000000000001E-3</v>
      </c>
      <c r="J8" s="26">
        <v>0.17563410266731999</v>
      </c>
      <c r="K8" s="8">
        <v>2.3E-3</v>
      </c>
      <c r="L8" s="9">
        <v>0.186189007705095</v>
      </c>
      <c r="M8" s="25">
        <v>5.9999999999999995E-4</v>
      </c>
      <c r="N8" s="26">
        <v>0.20335503307545799</v>
      </c>
      <c r="O8" s="8">
        <v>1.1999999999999999E-3</v>
      </c>
      <c r="P8" s="9">
        <v>0.22270196630584899</v>
      </c>
      <c r="Q8" s="25">
        <v>3.5999999999999999E-3</v>
      </c>
      <c r="R8" s="26">
        <v>0.15772295175752599</v>
      </c>
      <c r="S8" s="8">
        <v>6.9999999999999999E-4</v>
      </c>
      <c r="T8" s="9">
        <v>6.8630894931739503E-2</v>
      </c>
      <c r="U8" s="25">
        <v>3.5000000000000001E-3</v>
      </c>
      <c r="V8" s="26">
        <v>0.12996413358202999</v>
      </c>
      <c r="W8" s="8">
        <v>-7.0000000000000001E-3</v>
      </c>
      <c r="X8" s="9">
        <v>0.171281500570337</v>
      </c>
      <c r="Y8" s="25">
        <v>-1.8E-3</v>
      </c>
      <c r="Z8" s="26">
        <v>0.18420786227375199</v>
      </c>
      <c r="AE8" s="3" t="s">
        <v>8</v>
      </c>
    </row>
    <row r="9" spans="2:31" x14ac:dyDescent="0.25">
      <c r="B9" s="10" t="s">
        <v>7</v>
      </c>
      <c r="C9" s="8">
        <v>-1E-4</v>
      </c>
      <c r="D9" s="9">
        <v>0.24632722699381501</v>
      </c>
      <c r="E9" s="25">
        <v>8.2000000000000007E-3</v>
      </c>
      <c r="F9" s="26">
        <v>0.24591555320970901</v>
      </c>
      <c r="G9" s="8">
        <v>-2.9999999999999997E-4</v>
      </c>
      <c r="H9" s="9">
        <v>0.31232332847750499</v>
      </c>
      <c r="I9" s="25">
        <v>7.4000000000000003E-3</v>
      </c>
      <c r="J9" s="26">
        <v>0.33991210509340403</v>
      </c>
      <c r="K9" s="8">
        <v>5.1000000000000004E-3</v>
      </c>
      <c r="L9" s="9">
        <v>0.32320521672148</v>
      </c>
      <c r="M9" s="25">
        <v>-5.1999999999999998E-3</v>
      </c>
      <c r="N9" s="26">
        <v>0.29146816251782798</v>
      </c>
      <c r="O9" s="8">
        <v>4.0000000000000002E-4</v>
      </c>
      <c r="P9" s="9">
        <v>0.314104810159482</v>
      </c>
      <c r="Q9" s="25">
        <v>0.01</v>
      </c>
      <c r="R9" s="26">
        <v>0.34461524458357901</v>
      </c>
      <c r="S9" s="8">
        <v>5.9999999999999995E-4</v>
      </c>
      <c r="T9" s="9">
        <v>0.44188178703940001</v>
      </c>
      <c r="U9" s="25">
        <v>1.52E-2</v>
      </c>
      <c r="V9" s="26">
        <v>0.395446628324994</v>
      </c>
      <c r="W9" s="8">
        <v>-1.9800000000000002E-2</v>
      </c>
      <c r="X9" s="9">
        <v>0.349797079187886</v>
      </c>
      <c r="Y9" s="25">
        <v>-5.9999999999999995E-4</v>
      </c>
      <c r="Z9" s="26">
        <v>0.37608503077778199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4.1999999999999997E-3</v>
      </c>
      <c r="D12" s="9">
        <v>0.19229354176414201</v>
      </c>
      <c r="E12" s="25">
        <v>6.8999999999999999E-3</v>
      </c>
      <c r="F12" s="26">
        <v>0.14993655174763801</v>
      </c>
      <c r="G12" s="8">
        <v>-1.6000000000000001E-3</v>
      </c>
      <c r="H12" s="9">
        <v>0.12594002819877301</v>
      </c>
      <c r="I12" s="25">
        <v>3.8E-3</v>
      </c>
      <c r="J12" s="26">
        <v>0.11743103503743101</v>
      </c>
      <c r="K12" s="8">
        <v>1.5E-3</v>
      </c>
      <c r="L12" s="9">
        <v>0.11240360899214299</v>
      </c>
      <c r="M12" s="25">
        <v>-8.9999999999999998E-4</v>
      </c>
      <c r="N12" s="26">
        <v>0.12835823718146</v>
      </c>
      <c r="O12" s="8">
        <v>6.9999999999999999E-4</v>
      </c>
      <c r="P12" s="9">
        <v>0.10660924461314999</v>
      </c>
      <c r="Q12" s="25">
        <v>3.5000000000000001E-3</v>
      </c>
      <c r="R12" s="26">
        <v>0.151756908226933</v>
      </c>
      <c r="S12" s="8">
        <v>-1E-4</v>
      </c>
      <c r="T12" s="9">
        <v>0.15889033842317701</v>
      </c>
      <c r="U12" s="25">
        <v>5.7000000000000002E-3</v>
      </c>
      <c r="V12" s="26">
        <v>0.14682369084502001</v>
      </c>
      <c r="W12" s="8">
        <v>-6.4999999999999997E-3</v>
      </c>
      <c r="X12" s="9">
        <v>0.14867511142607401</v>
      </c>
      <c r="Y12" s="25">
        <v>5.0000000000000001E-4</v>
      </c>
      <c r="Z12" s="26">
        <v>0.14322096929820499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7.0013372938143202E-4</v>
      </c>
      <c r="M14" s="25">
        <v>0</v>
      </c>
      <c r="N14" s="26">
        <v>6.9478467709872403E-4</v>
      </c>
      <c r="O14" s="8">
        <v>1E-4</v>
      </c>
      <c r="P14" s="9">
        <v>6.7064542195633097E-4</v>
      </c>
      <c r="Q14" s="25">
        <v>0</v>
      </c>
      <c r="R14" s="26">
        <v>5.6983413900373503E-4</v>
      </c>
      <c r="S14" s="8">
        <v>-2.0000000000000001E-4</v>
      </c>
      <c r="T14" s="9">
        <v>1.2795383166942799E-3</v>
      </c>
      <c r="U14" s="25">
        <v>0</v>
      </c>
      <c r="V14" s="26">
        <v>1.1006506504891299E-3</v>
      </c>
      <c r="W14" s="8">
        <v>-1E-4</v>
      </c>
      <c r="X14" s="9">
        <v>1.0656380722493799E-3</v>
      </c>
      <c r="Y14" s="25">
        <v>1E-4</v>
      </c>
      <c r="Z14" s="26">
        <v>1.0542044577957501E-3</v>
      </c>
      <c r="AE14" s="3" t="s">
        <v>19</v>
      </c>
    </row>
    <row r="15" spans="2:31" x14ac:dyDescent="0.25">
      <c r="B15" s="10" t="s">
        <v>44</v>
      </c>
      <c r="C15" s="8">
        <v>2.1399999999999999E-2</v>
      </c>
      <c r="D15" s="9">
        <v>0.39067342993376297</v>
      </c>
      <c r="E15" s="25">
        <v>1.2200000000000001E-2</v>
      </c>
      <c r="F15" s="26">
        <v>0.30850480232453198</v>
      </c>
      <c r="G15" s="8">
        <v>5.1000000000000004E-3</v>
      </c>
      <c r="H15" s="9">
        <v>0.38893591898954899</v>
      </c>
      <c r="I15" s="25">
        <v>1.6899999999999998E-2</v>
      </c>
      <c r="J15" s="26">
        <v>0.36394739994672598</v>
      </c>
      <c r="K15" s="8">
        <v>1.1900000000000001E-2</v>
      </c>
      <c r="L15" s="9">
        <v>0.373834785352128</v>
      </c>
      <c r="M15" s="25">
        <v>1.5299999999999999E-2</v>
      </c>
      <c r="N15" s="26">
        <v>0.374534798024868</v>
      </c>
      <c r="O15" s="8">
        <v>1.7100000000000001E-2</v>
      </c>
      <c r="P15" s="9">
        <v>0.35219451647772199</v>
      </c>
      <c r="Q15" s="25">
        <v>2.3999999999999998E-3</v>
      </c>
      <c r="R15" s="26">
        <v>0.34291038401443702</v>
      </c>
      <c r="S15" s="8">
        <v>-1.2200000000000001E-2</v>
      </c>
      <c r="T15" s="9">
        <v>0.33315158239396497</v>
      </c>
      <c r="U15" s="25">
        <v>7.1999999999999998E-3</v>
      </c>
      <c r="V15" s="26">
        <v>0.333440409917104</v>
      </c>
      <c r="W15" s="8">
        <v>4.4000000000000003E-3</v>
      </c>
      <c r="X15" s="9">
        <v>0.32661740605023298</v>
      </c>
      <c r="Y15" s="25">
        <v>6.7000000000000002E-3</v>
      </c>
      <c r="Z15" s="26">
        <v>0.29204026622717799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3.7000000000000002E-3</v>
      </c>
      <c r="D19" s="9">
        <v>1.89163062148545E-3</v>
      </c>
      <c r="E19" s="25">
        <v>-2.2000000000000001E-3</v>
      </c>
      <c r="F19" s="26">
        <v>-6.9298202342182999E-4</v>
      </c>
      <c r="G19" s="8">
        <v>1.6000000000000001E-3</v>
      </c>
      <c r="H19" s="9">
        <v>2.4910206008993199E-3</v>
      </c>
      <c r="I19" s="25">
        <v>1E-3</v>
      </c>
      <c r="J19" s="26">
        <v>2.9198233799023299E-3</v>
      </c>
      <c r="K19" s="8">
        <v>8.9999999999999998E-4</v>
      </c>
      <c r="L19" s="9">
        <v>3.3621639168829299E-3</v>
      </c>
      <c r="M19" s="25">
        <v>2.5000000000000001E-3</v>
      </c>
      <c r="N19" s="26">
        <v>1.1712902517336699E-3</v>
      </c>
      <c r="O19" s="8">
        <v>2.8999999999999998E-3</v>
      </c>
      <c r="P19" s="9">
        <v>3.54920620832659E-3</v>
      </c>
      <c r="Q19" s="25">
        <v>-1.2999999999999999E-3</v>
      </c>
      <c r="R19" s="26">
        <v>2.07336680621868E-3</v>
      </c>
      <c r="S19" s="8">
        <v>-5.1000000000000004E-3</v>
      </c>
      <c r="T19" s="9">
        <v>-4.3683457957917199E-3</v>
      </c>
      <c r="U19" s="25">
        <v>-2.8999999999999998E-3</v>
      </c>
      <c r="V19" s="26">
        <v>-6.9852697216931598E-3</v>
      </c>
      <c r="W19" s="8">
        <v>9.1000000000000004E-3</v>
      </c>
      <c r="X19" s="9">
        <v>2.1878583044634401E-3</v>
      </c>
      <c r="Y19" s="25">
        <v>4.4999999999999997E-3</v>
      </c>
      <c r="Z19" s="26">
        <v>3.39166697248339E-3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9.9999999999999395E-5</v>
      </c>
      <c r="D26" s="9">
        <v>1.4308976774577001E-4</v>
      </c>
      <c r="E26" s="25">
        <v>2.0000000000000101E-4</v>
      </c>
      <c r="F26" s="26">
        <v>2.3058614424203901E-4</v>
      </c>
      <c r="G26" s="8">
        <v>1E-4</v>
      </c>
      <c r="H26" s="9">
        <v>3.2760730681476998E-4</v>
      </c>
      <c r="I26" s="25">
        <v>-1.00000000000002E-4</v>
      </c>
      <c r="J26" s="26">
        <v>1.5553387521646101E-4</v>
      </c>
      <c r="K26" s="8">
        <v>2.0000000000000001E-4</v>
      </c>
      <c r="L26" s="9">
        <v>3.0508358289051401E-4</v>
      </c>
      <c r="M26" s="25">
        <v>1.0000000000000099E-4</v>
      </c>
      <c r="N26" s="26">
        <v>4.1769427155261598E-4</v>
      </c>
      <c r="O26" s="8">
        <v>-3.9999999999999801E-4</v>
      </c>
      <c r="P26" s="9">
        <v>1.6961081351432499E-4</v>
      </c>
      <c r="Q26" s="25">
        <v>2.0000000000000101E-4</v>
      </c>
      <c r="R26" s="26">
        <v>3.5131047230371602E-4</v>
      </c>
      <c r="S26" s="8">
        <v>1.99999999999998E-4</v>
      </c>
      <c r="T26" s="9">
        <v>5.3420469081550499E-4</v>
      </c>
      <c r="U26" s="25">
        <v>-4.0000000000000002E-4</v>
      </c>
      <c r="V26" s="26">
        <v>2.0975640205577001E-4</v>
      </c>
      <c r="W26" s="8">
        <v>9.9999999999998704E-5</v>
      </c>
      <c r="X26" s="9">
        <v>3.75406388757119E-4</v>
      </c>
      <c r="Y26" s="25">
        <v>-3.00000000000001E-4</v>
      </c>
      <c r="Z26" s="26">
        <v>-7.19500807024043E-12</v>
      </c>
    </row>
    <row r="27" spans="2:31" x14ac:dyDescent="0.25">
      <c r="B27" s="11" t="s">
        <v>33</v>
      </c>
      <c r="C27" s="12">
        <v>2.81E-2</v>
      </c>
      <c r="D27" s="13">
        <v>1</v>
      </c>
      <c r="E27" s="27">
        <v>3.0599999999999999E-2</v>
      </c>
      <c r="F27" s="28">
        <v>1</v>
      </c>
      <c r="G27" s="12">
        <v>3.8999999999999998E-3</v>
      </c>
      <c r="H27" s="13">
        <v>1</v>
      </c>
      <c r="I27" s="27">
        <v>3.0099999999999998E-2</v>
      </c>
      <c r="J27" s="28">
        <v>1</v>
      </c>
      <c r="K27" s="12">
        <v>2.1899999999999999E-2</v>
      </c>
      <c r="L27" s="13">
        <v>1</v>
      </c>
      <c r="M27" s="27">
        <v>1.24E-2</v>
      </c>
      <c r="N27" s="28">
        <v>1</v>
      </c>
      <c r="O27" s="12">
        <v>2.1999999999999999E-2</v>
      </c>
      <c r="P27" s="13">
        <v>1</v>
      </c>
      <c r="Q27" s="27">
        <v>1.84E-2</v>
      </c>
      <c r="R27" s="28">
        <v>1</v>
      </c>
      <c r="S27" s="12">
        <v>-1.61E-2</v>
      </c>
      <c r="T27" s="13">
        <v>1</v>
      </c>
      <c r="U27" s="27">
        <v>2.8299999999999999E-2</v>
      </c>
      <c r="V27" s="28">
        <v>1</v>
      </c>
      <c r="W27" s="12">
        <v>-1.9800000000000002E-2</v>
      </c>
      <c r="X27" s="13">
        <v>1</v>
      </c>
      <c r="Y27" s="27">
        <v>9.1000000000000004E-3</v>
      </c>
      <c r="Z27" s="28">
        <v>1</v>
      </c>
    </row>
    <row r="28" spans="2:31" x14ac:dyDescent="0.25">
      <c r="B28" s="31" t="s">
        <v>39</v>
      </c>
      <c r="C28" s="41">
        <v>600.05846999999903</v>
      </c>
      <c r="D28" s="42"/>
      <c r="E28" s="39">
        <v>824.62537999999904</v>
      </c>
      <c r="F28" s="40"/>
      <c r="G28" s="41">
        <v>448.301260000002</v>
      </c>
      <c r="H28" s="42"/>
      <c r="I28" s="39">
        <v>2153.5850399999899</v>
      </c>
      <c r="J28" s="40"/>
      <c r="K28" s="41">
        <v>2091.8911800000101</v>
      </c>
      <c r="L28" s="42"/>
      <c r="M28" s="39">
        <v>1594.79979000001</v>
      </c>
      <c r="N28" s="40"/>
      <c r="O28" s="41">
        <v>3037.00917999999</v>
      </c>
      <c r="P28" s="42"/>
      <c r="Q28" s="39">
        <v>3242.5417499999999</v>
      </c>
      <c r="R28" s="40"/>
      <c r="S28" s="41">
        <v>-3014.5838399999798</v>
      </c>
      <c r="T28" s="42"/>
      <c r="U28" s="39">
        <v>5432.9478900000004</v>
      </c>
      <c r="V28" s="40"/>
      <c r="W28" s="41">
        <v>-4302.2097100000001</v>
      </c>
      <c r="X28" s="42"/>
      <c r="Y28" s="39">
        <v>2205.47630999997</v>
      </c>
      <c r="Z28" s="4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 x14ac:dyDescent="0.25">
      <c r="B32" s="21" t="s">
        <v>41</v>
      </c>
      <c r="C32" s="37">
        <v>44927</v>
      </c>
      <c r="D32" s="38"/>
      <c r="E32" s="46">
        <v>44958</v>
      </c>
      <c r="F32" s="47"/>
      <c r="G32" s="37">
        <v>44986</v>
      </c>
      <c r="H32" s="38"/>
      <c r="I32" s="46">
        <v>45017</v>
      </c>
      <c r="J32" s="47"/>
      <c r="K32" s="37">
        <v>45047</v>
      </c>
      <c r="L32" s="38"/>
      <c r="M32" s="46">
        <v>45078</v>
      </c>
      <c r="N32" s="47"/>
      <c r="O32" s="37">
        <v>45108</v>
      </c>
      <c r="P32" s="38"/>
      <c r="Q32" s="46">
        <v>45139</v>
      </c>
      <c r="R32" s="47"/>
      <c r="S32" s="37">
        <v>45170</v>
      </c>
      <c r="T32" s="38"/>
      <c r="U32" s="46">
        <v>45200</v>
      </c>
      <c r="V32" s="47"/>
      <c r="W32" s="37">
        <v>45231</v>
      </c>
      <c r="X32" s="38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-1E-4</v>
      </c>
      <c r="D34" s="17">
        <v>0.21421648121109299</v>
      </c>
      <c r="E34" s="29">
        <v>6.1999999999999998E-3</v>
      </c>
      <c r="F34" s="30">
        <v>0.33814011361104801</v>
      </c>
      <c r="G34" s="16">
        <v>-1.5E-3</v>
      </c>
      <c r="H34" s="17">
        <v>0.187004478910338</v>
      </c>
      <c r="I34" s="29">
        <v>1E-3</v>
      </c>
      <c r="J34" s="30">
        <v>0.188989464743793</v>
      </c>
      <c r="K34" s="16">
        <v>2.7000000000000001E-3</v>
      </c>
      <c r="L34" s="17">
        <v>0.197831449128899</v>
      </c>
      <c r="M34" s="29">
        <v>8.9999999999999998E-4</v>
      </c>
      <c r="N34" s="30">
        <v>0.21343586003625201</v>
      </c>
      <c r="O34" s="16">
        <v>1.1000000000000001E-3</v>
      </c>
      <c r="P34" s="17">
        <v>0.23098516469611</v>
      </c>
      <c r="Q34" s="29">
        <v>3.8999999999999998E-3</v>
      </c>
      <c r="R34" s="30">
        <v>0.16153971442477399</v>
      </c>
      <c r="S34" s="16">
        <v>8.0000000000000004E-4</v>
      </c>
      <c r="T34" s="17">
        <v>7.1235126733701803E-2</v>
      </c>
      <c r="U34" s="29">
        <v>4.1000000000000003E-3</v>
      </c>
      <c r="V34" s="30">
        <v>0.13206223921351001</v>
      </c>
      <c r="W34" s="16">
        <v>-6.7000000000000002E-3</v>
      </c>
      <c r="X34" s="17">
        <v>0.173450314488065</v>
      </c>
      <c r="Y34" s="29">
        <v>-2.0999999999999999E-3</v>
      </c>
      <c r="Z34" s="30">
        <v>0.18576443387413</v>
      </c>
    </row>
    <row r="35" spans="2:26" x14ac:dyDescent="0.25">
      <c r="B35" s="10" t="s">
        <v>35</v>
      </c>
      <c r="C35" s="8">
        <v>2.8199999999999999E-2</v>
      </c>
      <c r="D35" s="9">
        <v>0.78578351878890695</v>
      </c>
      <c r="E35" s="25">
        <v>2.4400000000000002E-2</v>
      </c>
      <c r="F35" s="26">
        <v>0.66185988638895199</v>
      </c>
      <c r="G35" s="8">
        <v>5.4000000000000003E-3</v>
      </c>
      <c r="H35" s="9">
        <v>0.812995521089662</v>
      </c>
      <c r="I35" s="25">
        <v>2.9100000000000001E-2</v>
      </c>
      <c r="J35" s="26">
        <v>0.81101053525620603</v>
      </c>
      <c r="K35" s="8">
        <v>1.9199999999999998E-2</v>
      </c>
      <c r="L35" s="9">
        <v>0.80216855087110095</v>
      </c>
      <c r="M35" s="25">
        <v>1.15E-2</v>
      </c>
      <c r="N35" s="26">
        <v>0.78656413996374897</v>
      </c>
      <c r="O35" s="8">
        <v>2.0899999999999998E-2</v>
      </c>
      <c r="P35" s="9">
        <v>0.76901483530389003</v>
      </c>
      <c r="Q35" s="25">
        <v>1.4500000000000001E-2</v>
      </c>
      <c r="R35" s="26">
        <v>0.83846028557522601</v>
      </c>
      <c r="S35" s="8">
        <v>-1.6899999999999998E-2</v>
      </c>
      <c r="T35" s="9">
        <v>0.92876487326629797</v>
      </c>
      <c r="U35" s="25">
        <v>2.4199999999999999E-2</v>
      </c>
      <c r="V35" s="26">
        <v>0.86793776078648999</v>
      </c>
      <c r="W35" s="8">
        <v>-1.3100000000000001E-2</v>
      </c>
      <c r="X35" s="9">
        <v>0.82654968551193497</v>
      </c>
      <c r="Y35" s="25">
        <v>1.12E-2</v>
      </c>
      <c r="Z35" s="26">
        <v>0.81423556612587</v>
      </c>
    </row>
    <row r="36" spans="2:26" x14ac:dyDescent="0.25">
      <c r="B36" s="11" t="s">
        <v>33</v>
      </c>
      <c r="C36" s="12">
        <v>2.81E-2</v>
      </c>
      <c r="D36" s="13">
        <v>1</v>
      </c>
      <c r="E36" s="27">
        <v>3.0599999999999999E-2</v>
      </c>
      <c r="F36" s="28">
        <v>1</v>
      </c>
      <c r="G36" s="12">
        <v>3.8999999999999998E-3</v>
      </c>
      <c r="H36" s="13">
        <v>1</v>
      </c>
      <c r="I36" s="27">
        <v>3.0099999999999998E-2</v>
      </c>
      <c r="J36" s="28">
        <v>1</v>
      </c>
      <c r="K36" s="12">
        <v>2.1899999999999999E-2</v>
      </c>
      <c r="L36" s="13">
        <v>1</v>
      </c>
      <c r="M36" s="27">
        <v>1.24E-2</v>
      </c>
      <c r="N36" s="28">
        <v>1</v>
      </c>
      <c r="O36" s="12">
        <v>2.1999999999999999E-2</v>
      </c>
      <c r="P36" s="13">
        <v>1</v>
      </c>
      <c r="Q36" s="27">
        <v>1.84E-2</v>
      </c>
      <c r="R36" s="28">
        <v>1</v>
      </c>
      <c r="S36" s="12">
        <v>-1.61E-2</v>
      </c>
      <c r="T36" s="13">
        <v>1</v>
      </c>
      <c r="U36" s="27">
        <v>2.8299999999999999E-2</v>
      </c>
      <c r="V36" s="28">
        <v>1</v>
      </c>
      <c r="W36" s="12">
        <v>-1.9800000000000002E-2</v>
      </c>
      <c r="X36" s="13">
        <v>1</v>
      </c>
      <c r="Y36" s="27">
        <v>9.1000000000000004E-3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 x14ac:dyDescent="0.25">
      <c r="B39" s="21" t="s">
        <v>41</v>
      </c>
      <c r="C39" s="37">
        <v>44927</v>
      </c>
      <c r="D39" s="38"/>
      <c r="E39" s="46">
        <v>44958</v>
      </c>
      <c r="F39" s="47"/>
      <c r="G39" s="37">
        <v>44986</v>
      </c>
      <c r="H39" s="38"/>
      <c r="I39" s="46">
        <v>45017</v>
      </c>
      <c r="J39" s="47"/>
      <c r="K39" s="37">
        <v>45047</v>
      </c>
      <c r="L39" s="38"/>
      <c r="M39" s="46">
        <v>45078</v>
      </c>
      <c r="N39" s="47"/>
      <c r="O39" s="37">
        <v>45108</v>
      </c>
      <c r="P39" s="38"/>
      <c r="Q39" s="46">
        <v>45139</v>
      </c>
      <c r="R39" s="47"/>
      <c r="S39" s="37">
        <v>45170</v>
      </c>
      <c r="T39" s="38"/>
      <c r="U39" s="46">
        <v>45200</v>
      </c>
      <c r="V39" s="47"/>
      <c r="W39" s="37">
        <v>45231</v>
      </c>
      <c r="X39" s="38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2.7900000000000001E-2</v>
      </c>
      <c r="D41" s="17">
        <v>0.99985691023225398</v>
      </c>
      <c r="E41" s="29">
        <v>3.04E-2</v>
      </c>
      <c r="F41" s="30">
        <v>0.99976941385575802</v>
      </c>
      <c r="G41" s="16">
        <v>3.8E-3</v>
      </c>
      <c r="H41" s="17">
        <v>0.99967239269318497</v>
      </c>
      <c r="I41" s="29">
        <v>3.04E-2</v>
      </c>
      <c r="J41" s="30">
        <v>0.99984446612478395</v>
      </c>
      <c r="K41" s="16">
        <v>2.1700000000000001E-2</v>
      </c>
      <c r="L41" s="17">
        <v>0.99969491641710995</v>
      </c>
      <c r="M41" s="29">
        <v>1.2200000000000001E-2</v>
      </c>
      <c r="N41" s="30">
        <v>0.99958230572844697</v>
      </c>
      <c r="O41" s="16">
        <v>2.2200000000000001E-2</v>
      </c>
      <c r="P41" s="17">
        <v>0.99983038918648504</v>
      </c>
      <c r="Q41" s="29">
        <v>1.8100000000000002E-2</v>
      </c>
      <c r="R41" s="30">
        <v>0.99964868952769603</v>
      </c>
      <c r="S41" s="16">
        <v>-1.6299999999999999E-2</v>
      </c>
      <c r="T41" s="17">
        <v>0.99945774503192797</v>
      </c>
      <c r="U41" s="29">
        <v>2.8400000000000002E-2</v>
      </c>
      <c r="V41" s="30">
        <v>0.999790243597944</v>
      </c>
      <c r="W41" s="16">
        <v>-1.9900000000000001E-2</v>
      </c>
      <c r="X41" s="17">
        <v>0.99962459361124301</v>
      </c>
      <c r="Y41" s="29">
        <v>9.4000000000000004E-3</v>
      </c>
      <c r="Z41" s="30">
        <v>1.0000000000072</v>
      </c>
    </row>
    <row r="42" spans="2:26" x14ac:dyDescent="0.25">
      <c r="B42" s="10" t="s">
        <v>37</v>
      </c>
      <c r="C42" s="8">
        <v>1.99999999999998E-4</v>
      </c>
      <c r="D42" s="9">
        <v>1.4308976774554701E-4</v>
      </c>
      <c r="E42" s="25">
        <v>2.0000000000000199E-4</v>
      </c>
      <c r="F42" s="26">
        <v>2.30586144242071E-4</v>
      </c>
      <c r="G42" s="8">
        <v>1E-4</v>
      </c>
      <c r="H42" s="9">
        <v>3.27607306815338E-4</v>
      </c>
      <c r="I42" s="25">
        <v>-3.0000000000000198E-4</v>
      </c>
      <c r="J42" s="26">
        <v>1.5553387521619901E-4</v>
      </c>
      <c r="K42" s="8">
        <v>2.0000000000000199E-4</v>
      </c>
      <c r="L42" s="9">
        <v>3.05083582890147E-4</v>
      </c>
      <c r="M42" s="25">
        <v>2.0000000000000101E-4</v>
      </c>
      <c r="N42" s="26">
        <v>4.1769427155269703E-4</v>
      </c>
      <c r="O42" s="8">
        <v>-1.99999999999998E-4</v>
      </c>
      <c r="P42" s="9">
        <v>1.6961081351474799E-4</v>
      </c>
      <c r="Q42" s="25">
        <v>2.99999999999999E-4</v>
      </c>
      <c r="R42" s="26">
        <v>3.5131047230398598E-4</v>
      </c>
      <c r="S42" s="8">
        <v>1.9999999999999901E-4</v>
      </c>
      <c r="T42" s="9">
        <v>5.4225496807245601E-4</v>
      </c>
      <c r="U42" s="25">
        <v>-1E-4</v>
      </c>
      <c r="V42" s="26">
        <v>2.0975640205588001E-4</v>
      </c>
      <c r="W42" s="8">
        <v>1E-4</v>
      </c>
      <c r="X42" s="9">
        <v>3.7540638875736799E-4</v>
      </c>
      <c r="Y42" s="25">
        <v>-2.99999999999999E-4</v>
      </c>
      <c r="Z42" s="26">
        <v>-7.1950978508539298E-12</v>
      </c>
    </row>
    <row r="43" spans="2:26" x14ac:dyDescent="0.25">
      <c r="B43" s="11" t="s">
        <v>33</v>
      </c>
      <c r="C43" s="12">
        <v>2.81E-2</v>
      </c>
      <c r="D43" s="13">
        <v>1</v>
      </c>
      <c r="E43" s="27">
        <v>3.0599999999999999E-2</v>
      </c>
      <c r="F43" s="28">
        <v>1</v>
      </c>
      <c r="G43" s="12">
        <v>3.8999999999999998E-3</v>
      </c>
      <c r="H43" s="13">
        <v>1</v>
      </c>
      <c r="I43" s="27">
        <v>3.0099999999999998E-2</v>
      </c>
      <c r="J43" s="28">
        <v>1</v>
      </c>
      <c r="K43" s="12">
        <v>2.1899999999999999E-2</v>
      </c>
      <c r="L43" s="13">
        <v>1</v>
      </c>
      <c r="M43" s="27">
        <v>1.24E-2</v>
      </c>
      <c r="N43" s="28">
        <v>1</v>
      </c>
      <c r="O43" s="12">
        <v>2.1999999999999999E-2</v>
      </c>
      <c r="P43" s="13">
        <v>1</v>
      </c>
      <c r="Q43" s="27">
        <v>1.84E-2</v>
      </c>
      <c r="R43" s="28">
        <v>1</v>
      </c>
      <c r="S43" s="12">
        <v>-1.61E-2</v>
      </c>
      <c r="T43" s="13">
        <v>1</v>
      </c>
      <c r="U43" s="27">
        <v>2.8299999999999999E-2</v>
      </c>
      <c r="V43" s="28">
        <v>1</v>
      </c>
      <c r="W43" s="12">
        <v>-1.9800000000000002E-2</v>
      </c>
      <c r="X43" s="13">
        <v>1</v>
      </c>
      <c r="Y43" s="27">
        <v>9.1000000000000004E-3</v>
      </c>
      <c r="Z43" s="28">
        <v>1</v>
      </c>
    </row>
    <row r="45" spans="2:26" ht="15.75" x14ac:dyDescent="0.2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2.3866808119998861E-3</v>
      </c>
      <c r="D48" s="9">
        <v>0.16998209642645901</v>
      </c>
      <c r="E48" s="25">
        <v>6.4008099640022742E-3</v>
      </c>
      <c r="F48" s="26">
        <v>0.20335503307545799</v>
      </c>
      <c r="G48" s="8">
        <v>1.1943746620380891E-2</v>
      </c>
      <c r="H48" s="9">
        <v>6.8630894931739503E-2</v>
      </c>
      <c r="I48" s="25">
        <v>6.5620720138235278E-3</v>
      </c>
      <c r="J48" s="26">
        <v>0.18420786227375199</v>
      </c>
    </row>
    <row r="49" spans="2:10" x14ac:dyDescent="0.25">
      <c r="B49" s="10" t="s">
        <v>7</v>
      </c>
      <c r="C49" s="8">
        <v>7.7967502460001281E-3</v>
      </c>
      <c r="D49" s="9">
        <v>0.31232332847750499</v>
      </c>
      <c r="E49" s="25">
        <v>1.5125996205287873E-2</v>
      </c>
      <c r="F49" s="26">
        <v>0.29146816251782798</v>
      </c>
      <c r="G49" s="8">
        <v>2.6499999999999999E-2</v>
      </c>
      <c r="H49" s="9">
        <v>0.44188178703940001</v>
      </c>
      <c r="I49" s="25">
        <v>2.0856283061263969E-2</v>
      </c>
      <c r="J49" s="26">
        <v>0.37608503077778199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9.5111736319997142E-3</v>
      </c>
      <c r="D52" s="9">
        <v>0.12594002819877301</v>
      </c>
      <c r="E52" s="25">
        <v>1.3953956462579686E-2</v>
      </c>
      <c r="F52" s="26">
        <v>0.12835823718146</v>
      </c>
      <c r="G52" s="8">
        <v>1.8113225762188989E-2</v>
      </c>
      <c r="H52" s="9">
        <v>0.15889033842317701</v>
      </c>
      <c r="I52" s="25">
        <v>1.7769644593608191E-2</v>
      </c>
      <c r="J52" s="26">
        <v>0.14322096929820499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6.9478467709872403E-4</v>
      </c>
      <c r="G54" s="8">
        <v>-1.0001999999997846E-4</v>
      </c>
      <c r="H54" s="9">
        <v>1.2795383166942799E-3</v>
      </c>
      <c r="I54" s="25">
        <v>-1.0002999899971776E-4</v>
      </c>
      <c r="J54" s="26">
        <v>1.0542044577957501E-3</v>
      </c>
    </row>
    <row r="55" spans="2:10" x14ac:dyDescent="0.25">
      <c r="B55" s="10" t="s">
        <v>44</v>
      </c>
      <c r="C55" s="8">
        <v>4.0557474264000103E-2</v>
      </c>
      <c r="D55" s="9">
        <v>0.38893591898954899</v>
      </c>
      <c r="E55" s="25">
        <v>9.0017038415810199E-2</v>
      </c>
      <c r="F55" s="26">
        <v>0.374534798024868</v>
      </c>
      <c r="G55" s="8">
        <v>9.9900000000000003E-2</v>
      </c>
      <c r="H55" s="9">
        <v>0.33315158239396497</v>
      </c>
      <c r="I55" s="25">
        <v>0.121</v>
      </c>
      <c r="J55" s="26">
        <v>0.29204026622717799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3.0942469760000257E-3</v>
      </c>
      <c r="D59" s="9">
        <v>2.4910206008993199E-3</v>
      </c>
      <c r="E59" s="25">
        <v>7.5135314021517186E-3</v>
      </c>
      <c r="F59" s="26">
        <v>1.1712902517336699E-3</v>
      </c>
      <c r="G59" s="8">
        <v>3.975233777277154E-3</v>
      </c>
      <c r="H59" s="9">
        <v>-4.3683457957917199E-3</v>
      </c>
      <c r="I59" s="25">
        <v>1.4719165554218261E-2</v>
      </c>
      <c r="J59" s="26">
        <v>3.39166697248339E-3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4.0005000200005192E-4</v>
      </c>
      <c r="D66" s="9">
        <v>3.2760730681476998E-4</v>
      </c>
      <c r="E66" s="25">
        <v>6.0012000599929394E-4</v>
      </c>
      <c r="F66" s="26">
        <v>4.1769427155261598E-4</v>
      </c>
      <c r="G66" s="8">
        <v>5.9999991797532459E-4</v>
      </c>
      <c r="H66" s="9">
        <v>5.3420469081550499E-4</v>
      </c>
      <c r="I66" s="25">
        <v>-3.1003996825429425E-7</v>
      </c>
      <c r="J66" s="26">
        <v>-7.19500807024043E-12</v>
      </c>
    </row>
    <row r="67" spans="2:10" x14ac:dyDescent="0.25">
      <c r="B67" s="11" t="s">
        <v>42</v>
      </c>
      <c r="C67" s="12">
        <v>6.3746375931999916E-2</v>
      </c>
      <c r="D67" s="13">
        <v>1</v>
      </c>
      <c r="E67" s="35">
        <v>0.13361145245583106</v>
      </c>
      <c r="F67" s="28">
        <v>1</v>
      </c>
      <c r="G67" s="12">
        <v>0.16093218607782239</v>
      </c>
      <c r="H67" s="13">
        <v>1</v>
      </c>
      <c r="I67" s="27">
        <v>0.18080682518394597</v>
      </c>
      <c r="J67" s="28">
        <v>1</v>
      </c>
    </row>
    <row r="68" spans="2:10" x14ac:dyDescent="0.25">
      <c r="B68" s="31" t="s">
        <v>39</v>
      </c>
      <c r="C68" s="41">
        <f>C28+E28+G28</f>
        <v>1872.9851100000001</v>
      </c>
      <c r="D68" s="42"/>
      <c r="E68" s="39">
        <v>7713.2611200000101</v>
      </c>
      <c r="F68" s="40"/>
      <c r="G68" s="41">
        <v>10978.228209999999</v>
      </c>
      <c r="H68" s="42"/>
      <c r="I68" s="39">
        <v>14314.4427</v>
      </c>
      <c r="J68" s="40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4.5902309300001054E-3</v>
      </c>
      <c r="D73" s="17">
        <v>0.187004478910338</v>
      </c>
      <c r="E73" s="25">
        <v>9.2174061125247508E-3</v>
      </c>
      <c r="F73" s="30">
        <v>0.21343586003625201</v>
      </c>
      <c r="G73" s="8">
        <v>1.5079236943908336E-2</v>
      </c>
      <c r="H73" s="17">
        <v>7.1235126733701803E-2</v>
      </c>
      <c r="I73" s="25">
        <v>1.0286081193142671E-2</v>
      </c>
      <c r="J73" s="30">
        <v>0.18576443387413</v>
      </c>
    </row>
    <row r="74" spans="2:10" x14ac:dyDescent="0.25">
      <c r="B74" s="10" t="s">
        <v>35</v>
      </c>
      <c r="C74" s="8">
        <v>5.9075835632000043E-2</v>
      </c>
      <c r="D74" s="9">
        <v>0.812995521089662</v>
      </c>
      <c r="E74" s="25">
        <v>0.12439536598536502</v>
      </c>
      <c r="F74" s="26">
        <v>0.78656413996374897</v>
      </c>
      <c r="G74" s="8">
        <v>0.14580000000000001</v>
      </c>
      <c r="H74" s="9">
        <v>0.92876487326629797</v>
      </c>
      <c r="I74" s="25">
        <v>0.17050000000000001</v>
      </c>
      <c r="J74" s="26">
        <v>0.81423556612587</v>
      </c>
    </row>
    <row r="75" spans="2:10" x14ac:dyDescent="0.25">
      <c r="B75" s="11" t="s">
        <v>42</v>
      </c>
      <c r="C75" s="12">
        <v>6.3666066562000148E-2</v>
      </c>
      <c r="D75" s="13">
        <v>1</v>
      </c>
      <c r="E75" s="35">
        <v>0.13361277209788977</v>
      </c>
      <c r="F75" s="28">
        <v>1</v>
      </c>
      <c r="G75" s="12">
        <v>0.16087923694390835</v>
      </c>
      <c r="H75" s="13">
        <v>1</v>
      </c>
      <c r="I75" s="27">
        <v>0.18078608119314268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6.3172923008000037E-2</v>
      </c>
      <c r="D80" s="17">
        <v>0.99967239269318497</v>
      </c>
      <c r="E80" s="25">
        <v>0.13302062636233569</v>
      </c>
      <c r="F80" s="30">
        <v>0.99958230572844697</v>
      </c>
      <c r="G80" s="8">
        <v>0.16</v>
      </c>
      <c r="H80" s="17">
        <v>0.99945774503192797</v>
      </c>
      <c r="I80" s="25">
        <v>0.18019493589536006</v>
      </c>
      <c r="J80" s="30">
        <v>1.0000000000072</v>
      </c>
    </row>
    <row r="81" spans="2:10" x14ac:dyDescent="0.25">
      <c r="B81" s="10" t="s">
        <v>37</v>
      </c>
      <c r="C81" s="8">
        <v>5.0008000399981434E-4</v>
      </c>
      <c r="D81" s="9">
        <v>3.27607306815338E-4</v>
      </c>
      <c r="E81" s="25">
        <v>6.0004995998785837E-4</v>
      </c>
      <c r="F81" s="26">
        <v>4.1769427155269703E-4</v>
      </c>
      <c r="G81" s="8">
        <v>9.0018993896667787E-4</v>
      </c>
      <c r="H81" s="9">
        <v>5.4225496807245601E-4</v>
      </c>
      <c r="I81" s="25">
        <v>5.9990987598590451E-4</v>
      </c>
      <c r="J81" s="26">
        <v>-7.1950978508539298E-12</v>
      </c>
    </row>
    <row r="82" spans="2:10" x14ac:dyDescent="0.25">
      <c r="B82" s="11" t="s">
        <v>42</v>
      </c>
      <c r="C82" s="12">
        <v>6.3673003011999851E-2</v>
      </c>
      <c r="D82" s="13">
        <v>1</v>
      </c>
      <c r="E82" s="35">
        <v>0.13362067632232355</v>
      </c>
      <c r="F82" s="28">
        <v>1</v>
      </c>
      <c r="G82" s="12">
        <v>0.16090018993896668</v>
      </c>
      <c r="H82" s="13">
        <v>1</v>
      </c>
      <c r="I82" s="27">
        <v>0.18079484577134597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Q39:R39"/>
    <mergeCell ref="S39:T39"/>
    <mergeCell ref="U39:V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O6:P6"/>
    <mergeCell ref="Q6:R6"/>
    <mergeCell ref="C71:D71"/>
    <mergeCell ref="E71:F71"/>
    <mergeCell ref="G71:H71"/>
    <mergeCell ref="I71:J71"/>
    <mergeCell ref="C68:D68"/>
    <mergeCell ref="I68:J68"/>
    <mergeCell ref="C70:J70"/>
    <mergeCell ref="G68:H68"/>
    <mergeCell ref="E68:F68"/>
    <mergeCell ref="C45:J45"/>
    <mergeCell ref="C46:D46"/>
    <mergeCell ref="E46:F46"/>
    <mergeCell ref="G46:H46"/>
    <mergeCell ref="I46:J46"/>
    <mergeCell ref="C77:J77"/>
    <mergeCell ref="C78:D78"/>
    <mergeCell ref="E78:F78"/>
    <mergeCell ref="G78:H78"/>
    <mergeCell ref="I78:J78"/>
    <mergeCell ref="C5:Z5"/>
    <mergeCell ref="I28:J28"/>
    <mergeCell ref="K28:L28"/>
    <mergeCell ref="Y28:Z28"/>
    <mergeCell ref="E28:F28"/>
    <mergeCell ref="M28:N28"/>
    <mergeCell ref="C6:D6"/>
    <mergeCell ref="E6:F6"/>
    <mergeCell ref="G6:H6"/>
    <mergeCell ref="I6:J6"/>
    <mergeCell ref="K6:L6"/>
    <mergeCell ref="M6:N6"/>
    <mergeCell ref="C28:D28"/>
    <mergeCell ref="S6:T6"/>
    <mergeCell ref="U6:V6"/>
    <mergeCell ref="W6:X6"/>
    <mergeCell ref="K39:L39"/>
    <mergeCell ref="W39:X39"/>
    <mergeCell ref="U28:V28"/>
    <mergeCell ref="W28:X28"/>
    <mergeCell ref="S28:T28"/>
    <mergeCell ref="Q28:R28"/>
    <mergeCell ref="O28:P28"/>
    <mergeCell ref="C31:Z31"/>
    <mergeCell ref="C38:Z38"/>
    <mergeCell ref="E39:F39"/>
    <mergeCell ref="G39:H39"/>
    <mergeCell ref="C39:D39"/>
    <mergeCell ref="I39:J39"/>
    <mergeCell ref="Y39:Z39"/>
    <mergeCell ref="M39:N39"/>
    <mergeCell ref="O39:P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