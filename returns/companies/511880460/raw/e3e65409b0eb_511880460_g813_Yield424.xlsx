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G73" i="6" l="1"/>
  <c r="G75" i="6" s="1"/>
  <c r="G82" i="6"/>
  <c r="G80" i="6"/>
  <c r="C82" i="6" l="1"/>
  <c r="C75" i="6"/>
  <c r="C67" i="6" l="1"/>
</calcChain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<sst xmlns="http://schemas.openxmlformats.org/spreadsheetml/2006/main" count="194" uniqueCount="51">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</sst>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8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zoomScale="73" zoomScaleNormal="73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42" t="s">
        <v>49</v>
      </c>
    </row>
    <row r="2" spans="2:31" ht="18.75" x14ac:dyDescent="0.3">
      <c r="B2" s="19" t="s">
        <v>43</v>
      </c>
      <c r="AA2" s="42"/>
    </row>
    <row r="3" spans="2:31" ht="18.75" x14ac:dyDescent="0.3">
      <c r="B3" s="20" t="s">
        <v>50</v>
      </c>
      <c r="C3" s="22" t="s">
        <v>40</v>
      </c>
      <c r="AA3" s="42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42"/>
      <c r="AE4" s="1">
        <v>2016</v>
      </c>
    </row>
    <row r="5" spans="2:31" ht="15.75" x14ac:dyDescent="0.25">
      <c r="B5" s="2"/>
      <c r="C5" s="51" t="s">
        <v>0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3"/>
      <c r="AA5" s="42"/>
      <c r="AE5" s="3" t="s">
        <v>1</v>
      </c>
    </row>
    <row r="6" spans="2:31" ht="15.75" x14ac:dyDescent="0.25">
      <c r="B6" s="21" t="s">
        <v>41</v>
      </c>
      <c r="C6" s="43">
        <v>45292</v>
      </c>
      <c r="D6" s="44"/>
      <c r="E6" s="45">
        <v>45323</v>
      </c>
      <c r="F6" s="46"/>
      <c r="G6" s="43">
        <v>45352</v>
      </c>
      <c r="H6" s="44"/>
      <c r="I6" s="45">
        <v>45383</v>
      </c>
      <c r="J6" s="46"/>
      <c r="K6" s="43">
        <v>45413</v>
      </c>
      <c r="L6" s="44"/>
      <c r="M6" s="45">
        <v>45444</v>
      </c>
      <c r="N6" s="46"/>
      <c r="O6" s="43">
        <v>45474</v>
      </c>
      <c r="P6" s="44"/>
      <c r="Q6" s="45">
        <v>45505</v>
      </c>
      <c r="R6" s="46"/>
      <c r="S6" s="43">
        <v>45536</v>
      </c>
      <c r="T6" s="44"/>
      <c r="U6" s="45">
        <v>45566</v>
      </c>
      <c r="V6" s="46"/>
      <c r="W6" s="43">
        <v>45597</v>
      </c>
      <c r="X6" s="44"/>
      <c r="Y6" s="45">
        <v>45627</v>
      </c>
      <c r="Z6" s="46"/>
      <c r="AA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42"/>
      <c r="AE7" s="3" t="s">
        <v>6</v>
      </c>
    </row>
    <row r="8" spans="2:31" x14ac:dyDescent="0.25">
      <c r="B8" s="7" t="s">
        <v>5</v>
      </c>
      <c r="C8" s="8">
        <v>-1E-4</v>
      </c>
      <c r="D8" s="9">
        <v>6.8409167248112496E-2</v>
      </c>
      <c r="E8" s="25">
        <v>-1E-4</v>
      </c>
      <c r="F8" s="26">
        <v>7.3063271256556997E-2</v>
      </c>
      <c r="G8" s="8">
        <v>5.0000000000000001E-4</v>
      </c>
      <c r="H8" s="9">
        <v>9.8103708564056993E-2</v>
      </c>
      <c r="I8" s="25">
        <v>1E-4</v>
      </c>
      <c r="J8" s="26">
        <v>9.4577105178995702E-2</v>
      </c>
      <c r="K8" s="8">
        <v>0</v>
      </c>
      <c r="L8" s="9">
        <v>0.107183279216419</v>
      </c>
      <c r="M8" s="25">
        <v>8.9999999999999998E-4</v>
      </c>
      <c r="N8" s="26">
        <v>9.9747299907136003E-2</v>
      </c>
      <c r="O8" s="8">
        <v>4.0000000000000002E-4</v>
      </c>
      <c r="P8" s="9">
        <v>7.6465579080396195E-2</v>
      </c>
      <c r="Q8" s="25">
        <v>-2.0000000000000001E-4</v>
      </c>
      <c r="R8" s="26">
        <v>7.0274405431057396E-2</v>
      </c>
      <c r="S8" s="8">
        <v>6.9999999999999999E-4</v>
      </c>
      <c r="T8" s="9">
        <v>7.5009553454965502E-2</v>
      </c>
      <c r="U8" s="25">
        <v>-1E-4</v>
      </c>
      <c r="V8" s="26">
        <v>8.3409504796140593E-2</v>
      </c>
      <c r="W8" s="8">
        <v>-2.9999999999999997E-4</v>
      </c>
      <c r="X8" s="9">
        <v>3.9379982076605799E-2</v>
      </c>
      <c r="Y8" s="25">
        <v>2.9999999999999997E-4</v>
      </c>
      <c r="Z8" s="26">
        <v>6.1772816164696397E-2</v>
      </c>
      <c r="AA8" s="42"/>
      <c r="AE8" s="3" t="s">
        <v>8</v>
      </c>
    </row>
    <row r="9" spans="2:31" x14ac:dyDescent="0.25">
      <c r="B9" s="10" t="s">
        <v>7</v>
      </c>
      <c r="C9" s="8">
        <v>0</v>
      </c>
      <c r="D9" s="9">
        <v>0.44773794919177001</v>
      </c>
      <c r="E9" s="25">
        <v>8.9999999999999998E-4</v>
      </c>
      <c r="F9" s="26">
        <v>0.45456132697073198</v>
      </c>
      <c r="G9" s="8">
        <v>8.9999999999999998E-4</v>
      </c>
      <c r="H9" s="9">
        <v>0.44129869141642503</v>
      </c>
      <c r="I9" s="25">
        <v>-1.8E-3</v>
      </c>
      <c r="J9" s="26">
        <v>0.44301142747158001</v>
      </c>
      <c r="K9" s="8">
        <v>-5.9999999999999995E-4</v>
      </c>
      <c r="L9" s="9">
        <v>0.44061987999265501</v>
      </c>
      <c r="M9" s="25">
        <v>6.9999999999999999E-4</v>
      </c>
      <c r="N9" s="26">
        <v>0.45677504889873899</v>
      </c>
      <c r="O9" s="8">
        <v>2.0999999999999999E-3</v>
      </c>
      <c r="P9" s="9">
        <v>0.475264398659762</v>
      </c>
      <c r="Q9" s="25">
        <v>3.5999999999999999E-3</v>
      </c>
      <c r="R9" s="26">
        <v>0.46970299225859602</v>
      </c>
      <c r="S9" s="8">
        <v>1.8E-3</v>
      </c>
      <c r="T9" s="9">
        <v>0.46482197145010601</v>
      </c>
      <c r="U9" s="25">
        <v>5.9999999999999995E-4</v>
      </c>
      <c r="V9" s="26">
        <v>0.45755388170608302</v>
      </c>
      <c r="W9" s="8">
        <v>5.3E-3</v>
      </c>
      <c r="X9" s="9">
        <v>0.496600227171199</v>
      </c>
      <c r="Y9" s="25">
        <v>2.3999999999999998E-3</v>
      </c>
      <c r="Z9" s="26">
        <v>0.49125162025104602</v>
      </c>
      <c r="AA9" s="42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42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42"/>
      <c r="AE11" s="3" t="s">
        <v>14</v>
      </c>
    </row>
    <row r="12" spans="2:31" x14ac:dyDescent="0.25">
      <c r="B12" s="10" t="s">
        <v>13</v>
      </c>
      <c r="C12" s="8">
        <v>2E-3</v>
      </c>
      <c r="D12" s="9">
        <v>0.43214625161543302</v>
      </c>
      <c r="E12" s="25">
        <v>1.1000000000000001E-3</v>
      </c>
      <c r="F12" s="26">
        <v>0.42283880101455001</v>
      </c>
      <c r="G12" s="8">
        <v>2.8999999999999998E-3</v>
      </c>
      <c r="H12" s="9">
        <v>0.412671395767021</v>
      </c>
      <c r="I12" s="25">
        <v>-8.9999999999999998E-4</v>
      </c>
      <c r="J12" s="26">
        <v>0.40198874312642202</v>
      </c>
      <c r="K12" s="8">
        <v>-2.0000000000000001E-4</v>
      </c>
      <c r="L12" s="9">
        <v>0.39312958535276299</v>
      </c>
      <c r="M12" s="25">
        <v>1.1999999999999999E-3</v>
      </c>
      <c r="N12" s="26">
        <v>0.376897469459401</v>
      </c>
      <c r="O12" s="8">
        <v>2.5000000000000001E-3</v>
      </c>
      <c r="P12" s="9">
        <v>0.37384040235287203</v>
      </c>
      <c r="Q12" s="25">
        <v>3.8999999999999998E-3</v>
      </c>
      <c r="R12" s="26">
        <v>0.38006139765798402</v>
      </c>
      <c r="S12" s="8">
        <v>2.0999999999999999E-3</v>
      </c>
      <c r="T12" s="9">
        <v>0.38110310074965298</v>
      </c>
      <c r="U12" s="25">
        <v>1.8E-3</v>
      </c>
      <c r="V12" s="26">
        <v>0.380589084096499</v>
      </c>
      <c r="W12" s="8">
        <v>3.0999999999999999E-3</v>
      </c>
      <c r="X12" s="9">
        <v>0.38593617346786402</v>
      </c>
      <c r="Y12" s="25">
        <v>3.5999999999999999E-3</v>
      </c>
      <c r="Z12" s="26">
        <v>0.37193616504345001</v>
      </c>
      <c r="AA12" s="42"/>
      <c r="AE12" s="3" t="s">
        <v>16</v>
      </c>
    </row>
    <row r="13" spans="2:31" x14ac:dyDescent="0.25">
      <c r="B13" s="10" t="s">
        <v>15</v>
      </c>
      <c r="C13" s="8">
        <v>1E-4</v>
      </c>
      <c r="D13" s="9">
        <v>1.06183431843643E-2</v>
      </c>
      <c r="E13" s="25">
        <v>1E-4</v>
      </c>
      <c r="F13" s="26">
        <v>1.0406897528762501E-2</v>
      </c>
      <c r="G13" s="8">
        <v>1E-4</v>
      </c>
      <c r="H13" s="9">
        <v>1.0003660168262801E-2</v>
      </c>
      <c r="I13" s="25">
        <v>0</v>
      </c>
      <c r="J13" s="26">
        <v>9.2341710704303605E-3</v>
      </c>
      <c r="K13" s="8">
        <v>0</v>
      </c>
      <c r="L13" s="9">
        <v>8.9819453116511596E-3</v>
      </c>
      <c r="M13" s="25">
        <v>0</v>
      </c>
      <c r="N13" s="26">
        <v>8.3564014559499803E-3</v>
      </c>
      <c r="O13" s="8">
        <v>1E-4</v>
      </c>
      <c r="P13" s="9">
        <v>7.7188853909435596E-3</v>
      </c>
      <c r="Q13" s="25">
        <v>1E-4</v>
      </c>
      <c r="R13" s="26">
        <v>8.6293178554358203E-3</v>
      </c>
      <c r="S13" s="8">
        <v>0</v>
      </c>
      <c r="T13" s="9">
        <v>8.1535205732192403E-3</v>
      </c>
      <c r="U13" s="25">
        <v>1E-4</v>
      </c>
      <c r="V13" s="26">
        <v>8.1085056998648694E-3</v>
      </c>
      <c r="W13" s="8">
        <v>1E-4</v>
      </c>
      <c r="X13" s="9">
        <v>8.1026999089963102E-3</v>
      </c>
      <c r="Y13" s="25">
        <v>1E-4</v>
      </c>
      <c r="Z13" s="26">
        <v>7.4074111348239602E-3</v>
      </c>
      <c r="AA13" s="42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1E-3</v>
      </c>
      <c r="P14" s="9">
        <v>2.3370863312753198E-8</v>
      </c>
      <c r="Q14" s="25">
        <v>0</v>
      </c>
      <c r="R14" s="26">
        <v>1.8966293888805201E-8</v>
      </c>
      <c r="S14" s="8">
        <v>0</v>
      </c>
      <c r="T14" s="9">
        <v>1.6779009022492001E-8</v>
      </c>
      <c r="U14" s="25">
        <v>0</v>
      </c>
      <c r="V14" s="26">
        <v>1.68798107317547E-8</v>
      </c>
      <c r="W14" s="8">
        <v>0</v>
      </c>
      <c r="X14" s="9">
        <v>1.5755941022066102E-8</v>
      </c>
      <c r="Y14" s="25">
        <v>0</v>
      </c>
      <c r="Z14" s="26">
        <v>1.6283907163662901E-8</v>
      </c>
      <c r="AA14" s="42"/>
      <c r="AE14" s="3" t="s">
        <v>19</v>
      </c>
    </row>
    <row r="15" spans="2:31" x14ac:dyDescent="0.25">
      <c r="B15" s="10" t="s">
        <v>44</v>
      </c>
      <c r="C15" s="8">
        <v>1E-4</v>
      </c>
      <c r="D15" s="9">
        <v>2.3521861857752301E-2</v>
      </c>
      <c r="E15" s="25">
        <v>1E-4</v>
      </c>
      <c r="F15" s="26">
        <v>2.3187287582744999E-2</v>
      </c>
      <c r="G15" s="8">
        <v>2.9999999999999997E-4</v>
      </c>
      <c r="H15" s="9">
        <v>2.27533745873615E-2</v>
      </c>
      <c r="I15" s="25">
        <v>0</v>
      </c>
      <c r="J15" s="26">
        <v>3.6930052240728699E-2</v>
      </c>
      <c r="K15" s="8">
        <v>1E-4</v>
      </c>
      <c r="L15" s="9">
        <v>3.5911781527216198E-2</v>
      </c>
      <c r="M15" s="25">
        <v>-1E-4</v>
      </c>
      <c r="N15" s="26">
        <v>4.5034872988276603E-2</v>
      </c>
      <c r="O15" s="8">
        <v>8.0000000000000004E-4</v>
      </c>
      <c r="P15" s="9">
        <v>5.5808568772484801E-2</v>
      </c>
      <c r="Q15" s="25">
        <v>5.0000000000000001E-4</v>
      </c>
      <c r="R15" s="26">
        <v>6.0138309133925302E-2</v>
      </c>
      <c r="S15" s="8">
        <v>5.0000000000000001E-4</v>
      </c>
      <c r="T15" s="9">
        <v>5.9730547836306699E-2</v>
      </c>
      <c r="U15" s="25">
        <v>1E-4</v>
      </c>
      <c r="V15" s="26">
        <v>5.8947290980691E-2</v>
      </c>
      <c r="W15" s="8">
        <v>2.9999999999999997E-4</v>
      </c>
      <c r="X15" s="9">
        <v>5.8671331493749E-2</v>
      </c>
      <c r="Y15" s="25">
        <v>4.0000000000000002E-4</v>
      </c>
      <c r="Z15" s="26">
        <v>5.7471406793087598E-2</v>
      </c>
      <c r="AA15" s="42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42"/>
      <c r="AE16" s="3" t="s">
        <v>23</v>
      </c>
    </row>
    <row r="17" spans="2:31" x14ac:dyDescent="0.25">
      <c r="B17" s="10" t="s">
        <v>22</v>
      </c>
      <c r="C17" s="8">
        <v>0</v>
      </c>
      <c r="D17" s="9">
        <v>3.6193822579919399E-3</v>
      </c>
      <c r="E17" s="25">
        <v>0</v>
      </c>
      <c r="F17" s="26">
        <v>3.7334643148647499E-3</v>
      </c>
      <c r="G17" s="8">
        <v>0</v>
      </c>
      <c r="H17" s="9">
        <v>3.70227553925178E-3</v>
      </c>
      <c r="I17" s="25">
        <v>0</v>
      </c>
      <c r="J17" s="26">
        <v>3.2295971602819E-3</v>
      </c>
      <c r="K17" s="8">
        <v>1E-4</v>
      </c>
      <c r="L17" s="9">
        <v>3.3661982960678399E-3</v>
      </c>
      <c r="M17" s="25">
        <v>0</v>
      </c>
      <c r="N17" s="26">
        <v>3.1490469825197201E-3</v>
      </c>
      <c r="O17" s="8">
        <v>0</v>
      </c>
      <c r="P17" s="9">
        <v>4.3340891928948097E-3</v>
      </c>
      <c r="Q17" s="25">
        <v>0</v>
      </c>
      <c r="R17" s="26">
        <v>4.3919605604514599E-3</v>
      </c>
      <c r="S17" s="8">
        <v>0</v>
      </c>
      <c r="T17" s="9">
        <v>4.4505452020795599E-3</v>
      </c>
      <c r="U17" s="25">
        <v>0</v>
      </c>
      <c r="V17" s="26">
        <v>4.7322862190131397E-3</v>
      </c>
      <c r="W17" s="8">
        <v>0</v>
      </c>
      <c r="X17" s="9">
        <v>4.4377081941276899E-3</v>
      </c>
      <c r="Y17" s="25">
        <v>0</v>
      </c>
      <c r="Z17" s="26">
        <v>4.1847840578148098E-3</v>
      </c>
      <c r="AA17" s="42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42"/>
      <c r="AE18" s="3"/>
    </row>
    <row r="19" spans="2:31" x14ac:dyDescent="0.25">
      <c r="B19" s="10" t="s">
        <v>25</v>
      </c>
      <c r="C19" s="8">
        <v>-6.9999999999999999E-4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-3.8399072487390099E-4</v>
      </c>
      <c r="Q19" s="25">
        <v>1E-4</v>
      </c>
      <c r="R19" s="26">
        <v>-1.1662848329845199E-4</v>
      </c>
      <c r="S19" s="8">
        <v>-1E-4</v>
      </c>
      <c r="T19" s="9">
        <v>1.74734528736157E-4</v>
      </c>
      <c r="U19" s="25">
        <v>0</v>
      </c>
      <c r="V19" s="26">
        <v>1.48162186048245E-4</v>
      </c>
      <c r="W19" s="8">
        <v>2.0000000000000001E-4</v>
      </c>
      <c r="X19" s="9">
        <v>3.1495158568433198E-4</v>
      </c>
      <c r="Y19" s="25">
        <v>0</v>
      </c>
      <c r="Z19" s="26">
        <v>-1.56948845714567E-4</v>
      </c>
      <c r="AA19" s="42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1E-4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42"/>
      <c r="AE20" s="3"/>
    </row>
    <row r="21" spans="2:31" x14ac:dyDescent="0.25">
      <c r="B21" s="10" t="s">
        <v>27</v>
      </c>
      <c r="C21" s="8">
        <v>0</v>
      </c>
      <c r="D21" s="9">
        <v>1.3161065665712599E-2</v>
      </c>
      <c r="E21" s="25">
        <v>1E-4</v>
      </c>
      <c r="F21" s="26">
        <v>1.12696417777912E-2</v>
      </c>
      <c r="G21" s="8">
        <v>0</v>
      </c>
      <c r="H21" s="9">
        <v>1.09729563016521E-2</v>
      </c>
      <c r="I21" s="25">
        <v>2.0000000000000001E-4</v>
      </c>
      <c r="J21" s="26">
        <v>1.03120063016482E-2</v>
      </c>
      <c r="K21" s="8">
        <v>0</v>
      </c>
      <c r="L21" s="9">
        <v>9.9649054311800097E-3</v>
      </c>
      <c r="M21" s="25">
        <v>-1E-4</v>
      </c>
      <c r="N21" s="26">
        <v>9.6450148478441199E-3</v>
      </c>
      <c r="O21" s="8">
        <v>0</v>
      </c>
      <c r="P21" s="9">
        <v>6.5042208763159397E-3</v>
      </c>
      <c r="Q21" s="25">
        <v>1E-4</v>
      </c>
      <c r="R21" s="26">
        <v>6.3320233775182597E-3</v>
      </c>
      <c r="S21" s="8">
        <v>1E-4</v>
      </c>
      <c r="T21" s="9">
        <v>6.3138909506433001E-3</v>
      </c>
      <c r="U21" s="25">
        <v>0</v>
      </c>
      <c r="V21" s="26">
        <v>6.2107341876617801E-3</v>
      </c>
      <c r="W21" s="8">
        <v>0</v>
      </c>
      <c r="X21" s="9">
        <v>6.17323485259667E-3</v>
      </c>
      <c r="Y21" s="25">
        <v>0</v>
      </c>
      <c r="Z21" s="26">
        <v>6.0431185938252399E-3</v>
      </c>
      <c r="AA21" s="42"/>
    </row>
    <row r="22" spans="2:31" x14ac:dyDescent="0.25">
      <c r="B22" s="10" t="s">
        <v>28</v>
      </c>
      <c r="C22" s="8">
        <v>0</v>
      </c>
      <c r="D22" s="9">
        <v>5.6570131123637299E-4</v>
      </c>
      <c r="E22" s="25">
        <v>0</v>
      </c>
      <c r="F22" s="26">
        <v>5.2782479634779997E-4</v>
      </c>
      <c r="G22" s="8">
        <v>0</v>
      </c>
      <c r="H22" s="9">
        <v>4.9393770801278898E-4</v>
      </c>
      <c r="I22" s="25">
        <v>0</v>
      </c>
      <c r="J22" s="26">
        <v>4.5507157643149301E-4</v>
      </c>
      <c r="K22" s="8">
        <v>0</v>
      </c>
      <c r="L22" s="9">
        <v>4.0728100829375799E-4</v>
      </c>
      <c r="M22" s="25">
        <v>0</v>
      </c>
      <c r="N22" s="26">
        <v>3.9484549515400401E-4</v>
      </c>
      <c r="O22" s="8">
        <v>0</v>
      </c>
      <c r="P22" s="9">
        <v>2.7636168677515501E-4</v>
      </c>
      <c r="Q22" s="25">
        <v>0</v>
      </c>
      <c r="R22" s="26">
        <v>2.5484815365241502E-4</v>
      </c>
      <c r="S22" s="8">
        <v>0</v>
      </c>
      <c r="T22" s="9">
        <v>2.4211849466643099E-4</v>
      </c>
      <c r="U22" s="25">
        <v>0</v>
      </c>
      <c r="V22" s="26">
        <v>1.24919615112697E-4</v>
      </c>
      <c r="W22" s="8">
        <v>0</v>
      </c>
      <c r="X22" s="9">
        <v>1.07455158814577E-4</v>
      </c>
      <c r="Y22" s="25">
        <v>0</v>
      </c>
      <c r="Z22" s="26">
        <v>8.9610525868584901E-5</v>
      </c>
      <c r="AA22" s="42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42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42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42"/>
    </row>
    <row r="26" spans="2:31" x14ac:dyDescent="0.25">
      <c r="B26" s="10" t="s">
        <v>32</v>
      </c>
      <c r="C26" s="8">
        <v>2.9999999999999997E-4</v>
      </c>
      <c r="D26" s="9">
        <v>2.2027766762748599E-4</v>
      </c>
      <c r="E26" s="25">
        <v>2.9999999999999997E-4</v>
      </c>
      <c r="F26" s="26">
        <v>4.1148475764988201E-4</v>
      </c>
      <c r="G26" s="8">
        <v>1E-4</v>
      </c>
      <c r="H26" s="9">
        <v>-5.2043346010759799E-11</v>
      </c>
      <c r="I26" s="25">
        <v>4.0000000000000002E-4</v>
      </c>
      <c r="J26" s="26">
        <v>2.61825873481623E-4</v>
      </c>
      <c r="K26" s="8">
        <v>2.0000000000000001E-4</v>
      </c>
      <c r="L26" s="9">
        <v>4.3514386375415802E-4</v>
      </c>
      <c r="M26" s="25">
        <v>-4.0000000000000002E-4</v>
      </c>
      <c r="N26" s="26">
        <v>-3.5019940949941902E-11</v>
      </c>
      <c r="O26" s="8">
        <v>0</v>
      </c>
      <c r="P26" s="9">
        <v>1.71461341566268E-4</v>
      </c>
      <c r="Q26" s="25">
        <v>1.9999999999999901E-4</v>
      </c>
      <c r="R26" s="26">
        <v>3.3135508838318399E-4</v>
      </c>
      <c r="S26" s="8">
        <v>-2.9999999999999997E-4</v>
      </c>
      <c r="T26" s="9">
        <v>-1.9385232724600201E-11</v>
      </c>
      <c r="U26" s="25">
        <v>1E-4</v>
      </c>
      <c r="V26" s="26">
        <v>1.7561363307467301E-4</v>
      </c>
      <c r="W26" s="8">
        <v>2.9999999999999997E-4</v>
      </c>
      <c r="X26" s="9">
        <v>2.76220334422712E-4</v>
      </c>
      <c r="Y26" s="25">
        <v>-2.0000000000000001E-4</v>
      </c>
      <c r="Z26" s="26">
        <v>-2.8052770078678502E-12</v>
      </c>
      <c r="AA26" s="42"/>
    </row>
    <row r="27" spans="2:31" x14ac:dyDescent="0.25">
      <c r="B27" s="11" t="s">
        <v>33</v>
      </c>
      <c r="C27" s="12">
        <v>1.6999999999999999E-3</v>
      </c>
      <c r="D27" s="13">
        <v>1</v>
      </c>
      <c r="E27" s="27">
        <v>2.5000000000000001E-3</v>
      </c>
      <c r="F27" s="28">
        <v>1</v>
      </c>
      <c r="G27" s="12">
        <v>4.7999999999999996E-3</v>
      </c>
      <c r="H27" s="13">
        <v>1</v>
      </c>
      <c r="I27" s="27">
        <v>-2E-3</v>
      </c>
      <c r="J27" s="28">
        <v>1</v>
      </c>
      <c r="K27" s="12">
        <v>-4.0000000000000002E-4</v>
      </c>
      <c r="L27" s="13">
        <v>1</v>
      </c>
      <c r="M27" s="27">
        <v>2.2000000000000001E-3</v>
      </c>
      <c r="N27" s="28">
        <v>1</v>
      </c>
      <c r="O27" s="12">
        <v>7.0000000000000001E-3</v>
      </c>
      <c r="P27" s="13">
        <v>1</v>
      </c>
      <c r="Q27" s="27">
        <v>8.3000000000000001E-3</v>
      </c>
      <c r="R27" s="28">
        <v>1</v>
      </c>
      <c r="S27" s="12">
        <v>4.7999999999999996E-3</v>
      </c>
      <c r="T27" s="13">
        <v>1</v>
      </c>
      <c r="U27" s="27">
        <v>2.5999999999999999E-3</v>
      </c>
      <c r="V27" s="28">
        <v>1</v>
      </c>
      <c r="W27" s="12">
        <v>8.9999999999999993E-3</v>
      </c>
      <c r="X27" s="13">
        <v>1</v>
      </c>
      <c r="Y27" s="27">
        <v>6.6E-3</v>
      </c>
      <c r="Z27" s="28">
        <v>1</v>
      </c>
      <c r="AA27" s="42"/>
    </row>
    <row r="28" spans="2:31" x14ac:dyDescent="0.25">
      <c r="B28" s="31" t="s">
        <v>39</v>
      </c>
      <c r="C28" s="54">
        <v>139.27636999999899</v>
      </c>
      <c r="D28" s="55"/>
      <c r="E28" s="56">
        <v>212.87200000000601</v>
      </c>
      <c r="F28" s="57"/>
      <c r="G28" s="54">
        <v>407.09144999999501</v>
      </c>
      <c r="H28" s="55"/>
      <c r="I28" s="36">
        <v>-173.48970999999301</v>
      </c>
      <c r="J28" s="37"/>
      <c r="K28" s="38">
        <v>-33.716650000004996</v>
      </c>
      <c r="L28" s="37"/>
      <c r="M28" s="36">
        <v>216.91788000000301</v>
      </c>
      <c r="N28" s="37"/>
      <c r="O28" s="38">
        <v>1118.1887100000099</v>
      </c>
      <c r="P28" s="37"/>
      <c r="Q28" s="36">
        <v>1324.33176999998</v>
      </c>
      <c r="R28" s="37"/>
      <c r="S28" s="38">
        <v>796.52948000002596</v>
      </c>
      <c r="T28" s="37"/>
      <c r="U28" s="36">
        <v>436.20938999999697</v>
      </c>
      <c r="V28" s="37"/>
      <c r="W28" s="38">
        <v>1518.58780999998</v>
      </c>
      <c r="X28" s="37"/>
      <c r="Y28" s="36">
        <v>1123.4926800000001</v>
      </c>
      <c r="Z28" s="37"/>
      <c r="AA28" s="42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42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2"/>
    </row>
    <row r="31" spans="2:31" ht="15.75" x14ac:dyDescent="0.25">
      <c r="B31" s="14"/>
      <c r="C31" s="51" t="s">
        <v>0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/>
      <c r="AA31" s="42"/>
    </row>
    <row r="32" spans="2:31" ht="15.75" x14ac:dyDescent="0.25">
      <c r="B32" s="21" t="s">
        <v>41</v>
      </c>
      <c r="C32" s="43">
        <v>45292</v>
      </c>
      <c r="D32" s="44"/>
      <c r="E32" s="45">
        <v>45323</v>
      </c>
      <c r="F32" s="46"/>
      <c r="G32" s="43">
        <v>45352</v>
      </c>
      <c r="H32" s="44"/>
      <c r="I32" s="45">
        <v>45383</v>
      </c>
      <c r="J32" s="46"/>
      <c r="K32" s="43">
        <v>45413</v>
      </c>
      <c r="L32" s="44"/>
      <c r="M32" s="45">
        <v>45444</v>
      </c>
      <c r="N32" s="46"/>
      <c r="O32" s="43">
        <v>45474</v>
      </c>
      <c r="P32" s="44"/>
      <c r="Q32" s="45">
        <v>45505</v>
      </c>
      <c r="R32" s="46"/>
      <c r="S32" s="43">
        <v>45536</v>
      </c>
      <c r="T32" s="44"/>
      <c r="U32" s="45">
        <v>45566</v>
      </c>
      <c r="V32" s="46"/>
      <c r="W32" s="43">
        <v>45597</v>
      </c>
      <c r="X32" s="44"/>
      <c r="Y32" s="45">
        <v>45627</v>
      </c>
      <c r="Z32" s="46"/>
      <c r="AA32" s="42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42"/>
    </row>
    <row r="34" spans="2:27" x14ac:dyDescent="0.25">
      <c r="B34" s="7" t="s">
        <v>34</v>
      </c>
      <c r="C34" s="16">
        <v>1.2999999999999999E-3</v>
      </c>
      <c r="D34" s="17">
        <v>0.95517739086757103</v>
      </c>
      <c r="E34" s="29">
        <v>3.3E-3</v>
      </c>
      <c r="F34" s="30">
        <v>0.95694234306982295</v>
      </c>
      <c r="G34" s="16">
        <v>2.29E-2</v>
      </c>
      <c r="H34" s="17">
        <v>0.95675420177026305</v>
      </c>
      <c r="I34" s="29">
        <v>-2.2000000000000001E-3</v>
      </c>
      <c r="J34" s="30">
        <v>0.96415027203452097</v>
      </c>
      <c r="K34" s="16">
        <v>-6.9999999999999999E-4</v>
      </c>
      <c r="L34" s="17">
        <v>0.96507333178185895</v>
      </c>
      <c r="M34" s="29">
        <v>1.5E-3</v>
      </c>
      <c r="N34" s="30">
        <v>0.96531715171848798</v>
      </c>
      <c r="O34" s="16">
        <v>-6.3399999999999998E-2</v>
      </c>
      <c r="P34" s="17">
        <v>0.94684317450867095</v>
      </c>
      <c r="Q34" s="29">
        <v>9.4999999999999998E-3</v>
      </c>
      <c r="R34" s="30">
        <v>0.93452622010488196</v>
      </c>
      <c r="S34" s="16">
        <v>3.0999999999999999E-3</v>
      </c>
      <c r="T34" s="17">
        <v>0.93395292041298605</v>
      </c>
      <c r="U34" s="29">
        <v>3.5000000000000001E-3</v>
      </c>
      <c r="V34" s="30">
        <v>0.93568987853327301</v>
      </c>
      <c r="W34" s="16">
        <v>9.7999999999999997E-3</v>
      </c>
      <c r="X34" s="17">
        <v>0.93726305778415298</v>
      </c>
      <c r="Y34" s="29">
        <v>6.7999999999999996E-3</v>
      </c>
      <c r="Z34" s="30">
        <v>0.93927056356221095</v>
      </c>
      <c r="AA34" s="42"/>
    </row>
    <row r="35" spans="2:27" x14ac:dyDescent="0.25">
      <c r="B35" s="10" t="s">
        <v>35</v>
      </c>
      <c r="C35" s="8">
        <v>4.0000000000000002E-4</v>
      </c>
      <c r="D35" s="9">
        <v>4.4822609132428498E-2</v>
      </c>
      <c r="E35" s="25">
        <v>-8.0000000000000004E-4</v>
      </c>
      <c r="F35" s="26">
        <v>4.3057656930176803E-2</v>
      </c>
      <c r="G35" s="8">
        <v>-1.8100000000000002E-2</v>
      </c>
      <c r="H35" s="9">
        <v>4.3245798229736898E-2</v>
      </c>
      <c r="I35" s="25">
        <v>2.0000000000000001E-4</v>
      </c>
      <c r="J35" s="26">
        <v>3.5849727965478799E-2</v>
      </c>
      <c r="K35" s="8">
        <v>2.9999999999999997E-4</v>
      </c>
      <c r="L35" s="9">
        <v>3.4926668218141103E-2</v>
      </c>
      <c r="M35" s="25">
        <v>6.9999999999999999E-4</v>
      </c>
      <c r="N35" s="26">
        <v>3.4682848281512198E-2</v>
      </c>
      <c r="O35" s="8">
        <v>7.0400000000000004E-2</v>
      </c>
      <c r="P35" s="9">
        <v>5.3156825491329399E-2</v>
      </c>
      <c r="Q35" s="25">
        <v>-1.1999999999999999E-3</v>
      </c>
      <c r="R35" s="26">
        <v>6.5473779895117601E-2</v>
      </c>
      <c r="S35" s="8">
        <v>1.6999999999999999E-3</v>
      </c>
      <c r="T35" s="9">
        <v>6.6047079587014002E-2</v>
      </c>
      <c r="U35" s="25">
        <v>-8.9999999999999998E-4</v>
      </c>
      <c r="V35" s="26">
        <v>6.4310121466726697E-2</v>
      </c>
      <c r="W35" s="8">
        <v>-8.0000000000000004E-4</v>
      </c>
      <c r="X35" s="9">
        <v>6.27369422158469E-2</v>
      </c>
      <c r="Y35" s="25">
        <v>-2.0000000000000001E-4</v>
      </c>
      <c r="Z35" s="26">
        <v>6.0729436437788997E-2</v>
      </c>
      <c r="AA35" s="42"/>
    </row>
    <row r="36" spans="2:27" x14ac:dyDescent="0.25">
      <c r="B36" s="11" t="s">
        <v>33</v>
      </c>
      <c r="C36" s="12">
        <v>1.6999999999999999E-3</v>
      </c>
      <c r="D36" s="13">
        <v>1</v>
      </c>
      <c r="E36" s="27">
        <v>2.5000000000000001E-3</v>
      </c>
      <c r="F36" s="28">
        <v>1</v>
      </c>
      <c r="G36" s="12">
        <v>4.7999999999999996E-3</v>
      </c>
      <c r="H36" s="13">
        <v>1</v>
      </c>
      <c r="I36" s="27">
        <v>-2E-3</v>
      </c>
      <c r="J36" s="28">
        <v>1</v>
      </c>
      <c r="K36" s="12">
        <v>-4.0000000000000002E-4</v>
      </c>
      <c r="L36" s="13">
        <v>1</v>
      </c>
      <c r="M36" s="27">
        <v>2.2000000000000001E-3</v>
      </c>
      <c r="N36" s="28">
        <v>1</v>
      </c>
      <c r="O36" s="12">
        <v>7.0000000000000001E-3</v>
      </c>
      <c r="P36" s="13">
        <v>1</v>
      </c>
      <c r="Q36" s="27">
        <v>8.3000000000000001E-3</v>
      </c>
      <c r="R36" s="28">
        <v>1</v>
      </c>
      <c r="S36" s="12">
        <v>4.7999999999999996E-3</v>
      </c>
      <c r="T36" s="13">
        <v>1</v>
      </c>
      <c r="U36" s="27">
        <v>2.5999999999999999E-3</v>
      </c>
      <c r="V36" s="28">
        <v>1</v>
      </c>
      <c r="W36" s="12">
        <v>8.9999999999999993E-3</v>
      </c>
      <c r="X36" s="13">
        <v>1</v>
      </c>
      <c r="Y36" s="27">
        <v>6.6E-3</v>
      </c>
      <c r="Z36" s="28">
        <v>1</v>
      </c>
      <c r="AA36" s="42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2"/>
    </row>
    <row r="38" spans="2:27" ht="15.75" x14ac:dyDescent="0.25">
      <c r="C38" s="51" t="s">
        <v>0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42"/>
    </row>
    <row r="39" spans="2:27" ht="15.75" x14ac:dyDescent="0.25">
      <c r="B39" s="21" t="s">
        <v>41</v>
      </c>
      <c r="C39" s="43">
        <v>45292</v>
      </c>
      <c r="D39" s="44"/>
      <c r="E39" s="45">
        <v>45323</v>
      </c>
      <c r="F39" s="46"/>
      <c r="G39" s="43">
        <v>45352</v>
      </c>
      <c r="H39" s="44"/>
      <c r="I39" s="45">
        <v>45383</v>
      </c>
      <c r="J39" s="46"/>
      <c r="K39" s="43">
        <v>45413</v>
      </c>
      <c r="L39" s="44"/>
      <c r="M39" s="45">
        <v>45444</v>
      </c>
      <c r="N39" s="46"/>
      <c r="O39" s="43">
        <v>45474</v>
      </c>
      <c r="P39" s="44"/>
      <c r="Q39" s="45">
        <v>45505</v>
      </c>
      <c r="R39" s="46"/>
      <c r="S39" s="43">
        <v>45536</v>
      </c>
      <c r="T39" s="44"/>
      <c r="U39" s="45">
        <v>45566</v>
      </c>
      <c r="V39" s="46"/>
      <c r="W39" s="43">
        <v>45597</v>
      </c>
      <c r="X39" s="44"/>
      <c r="Y39" s="45">
        <v>45627</v>
      </c>
      <c r="Z39" s="46"/>
      <c r="AA39" s="42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42"/>
    </row>
    <row r="41" spans="2:27" x14ac:dyDescent="0.25">
      <c r="B41" s="7" t="s">
        <v>36</v>
      </c>
      <c r="C41" s="16">
        <v>2E-3</v>
      </c>
      <c r="D41" s="17">
        <v>0.98497629557877997</v>
      </c>
      <c r="E41" s="29">
        <v>2.2000000000000001E-3</v>
      </c>
      <c r="F41" s="30">
        <v>0.984920328602374</v>
      </c>
      <c r="G41" s="16">
        <v>2.47E-2</v>
      </c>
      <c r="H41" s="17">
        <v>0.98580012663651595</v>
      </c>
      <c r="I41" s="29">
        <v>-2.3E-3</v>
      </c>
      <c r="J41" s="30">
        <v>0.98681933431937396</v>
      </c>
      <c r="K41" s="16">
        <v>-8.0000000000000004E-4</v>
      </c>
      <c r="L41" s="17">
        <v>0.98680943152023304</v>
      </c>
      <c r="M41" s="29">
        <v>2.5999999999999999E-3</v>
      </c>
      <c r="N41" s="30">
        <v>0.98809970610139597</v>
      </c>
      <c r="O41" s="16">
        <v>-6.1800000000000001E-2</v>
      </c>
      <c r="P41" s="17">
        <v>0.98794747166874697</v>
      </c>
      <c r="Q41" s="29">
        <v>7.7000000000000002E-3</v>
      </c>
      <c r="R41" s="30">
        <v>0.98650914682537505</v>
      </c>
      <c r="S41" s="16">
        <v>5.1999999999999998E-3</v>
      </c>
      <c r="T41" s="17">
        <v>0.98697908122068401</v>
      </c>
      <c r="U41" s="29">
        <v>2.3999999999999998E-3</v>
      </c>
      <c r="V41" s="30">
        <v>0.98671051264688603</v>
      </c>
      <c r="W41" s="16">
        <v>8.5000000000000006E-3</v>
      </c>
      <c r="X41" s="17">
        <v>0.98676096481795394</v>
      </c>
      <c r="Y41" s="29">
        <v>6.7999999999999996E-3</v>
      </c>
      <c r="Z41" s="30">
        <v>0.98847514313001295</v>
      </c>
      <c r="AA41" s="42"/>
    </row>
    <row r="42" spans="2:27" x14ac:dyDescent="0.25">
      <c r="B42" s="10" t="s">
        <v>37</v>
      </c>
      <c r="C42" s="8">
        <v>-2.9999999999999997E-4</v>
      </c>
      <c r="D42" s="9">
        <v>1.5023704421219799E-2</v>
      </c>
      <c r="E42" s="25">
        <v>2.9999999999999997E-4</v>
      </c>
      <c r="F42" s="26">
        <v>1.5079671397625701E-2</v>
      </c>
      <c r="G42" s="8">
        <v>-1.9900000000000001E-2</v>
      </c>
      <c r="H42" s="9">
        <v>1.4199873363484E-2</v>
      </c>
      <c r="I42" s="25">
        <v>2.9999999999999997E-4</v>
      </c>
      <c r="J42" s="26">
        <v>1.31806656806255E-2</v>
      </c>
      <c r="K42" s="8">
        <v>4.0000000000000002E-4</v>
      </c>
      <c r="L42" s="9">
        <v>1.3190568479766801E-2</v>
      </c>
      <c r="M42" s="25">
        <v>-4.0000000000000002E-4</v>
      </c>
      <c r="N42" s="26">
        <v>1.1900293898603601E-2</v>
      </c>
      <c r="O42" s="8">
        <v>6.88E-2</v>
      </c>
      <c r="P42" s="9">
        <v>1.20525283312529E-2</v>
      </c>
      <c r="Q42" s="25">
        <v>5.9999999999999995E-4</v>
      </c>
      <c r="R42" s="26">
        <v>1.34908531746246E-2</v>
      </c>
      <c r="S42" s="8">
        <v>-4.0000000000000002E-4</v>
      </c>
      <c r="T42" s="9">
        <v>1.3020918779316199E-2</v>
      </c>
      <c r="U42" s="25">
        <v>2.0000000000000001E-4</v>
      </c>
      <c r="V42" s="26">
        <v>1.3289487353113799E-2</v>
      </c>
      <c r="W42" s="8">
        <v>5.0000000000000001E-4</v>
      </c>
      <c r="X42" s="9">
        <v>1.3239035182045399E-2</v>
      </c>
      <c r="Y42" s="25">
        <v>-2.0000000000000001E-4</v>
      </c>
      <c r="Z42" s="26">
        <v>1.1524856869987299E-2</v>
      </c>
      <c r="AA42" s="42"/>
    </row>
    <row r="43" spans="2:27" x14ac:dyDescent="0.25">
      <c r="B43" s="11" t="s">
        <v>33</v>
      </c>
      <c r="C43" s="12">
        <v>1.6999999999999999E-3</v>
      </c>
      <c r="D43" s="13">
        <v>1</v>
      </c>
      <c r="E43" s="27">
        <v>2.5000000000000001E-3</v>
      </c>
      <c r="F43" s="28">
        <v>1</v>
      </c>
      <c r="G43" s="12">
        <v>4.7999999999999996E-3</v>
      </c>
      <c r="H43" s="13">
        <v>1</v>
      </c>
      <c r="I43" s="27">
        <v>-2E-3</v>
      </c>
      <c r="J43" s="28">
        <v>1</v>
      </c>
      <c r="K43" s="12">
        <v>-4.0000000000000002E-4</v>
      </c>
      <c r="L43" s="13">
        <v>1</v>
      </c>
      <c r="M43" s="27">
        <v>2.2000000000000001E-3</v>
      </c>
      <c r="N43" s="28">
        <v>1</v>
      </c>
      <c r="O43" s="12">
        <v>7.0000000000000001E-3</v>
      </c>
      <c r="P43" s="13">
        <v>1</v>
      </c>
      <c r="Q43" s="27">
        <v>8.3000000000000001E-3</v>
      </c>
      <c r="R43" s="28">
        <v>1</v>
      </c>
      <c r="S43" s="12">
        <v>4.7999999999999996E-3</v>
      </c>
      <c r="T43" s="13">
        <v>1</v>
      </c>
      <c r="U43" s="27">
        <v>2.5999999999999999E-3</v>
      </c>
      <c r="V43" s="28">
        <v>1</v>
      </c>
      <c r="W43" s="12">
        <v>8.9999999999999993E-3</v>
      </c>
      <c r="X43" s="13">
        <v>1</v>
      </c>
      <c r="Y43" s="27">
        <v>6.6E-3</v>
      </c>
      <c r="Z43" s="28">
        <v>1</v>
      </c>
      <c r="AA43" s="42"/>
    </row>
    <row r="44" spans="2:27" x14ac:dyDescent="0.25">
      <c r="K44" s="42" t="s">
        <v>49</v>
      </c>
      <c r="L44" s="41" t="s">
        <v>49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2:27" ht="15.75" x14ac:dyDescent="0.25">
      <c r="C45" s="51" t="s">
        <v>0</v>
      </c>
      <c r="D45" s="52"/>
      <c r="E45" s="52"/>
      <c r="F45" s="52"/>
      <c r="G45" s="52"/>
      <c r="H45" s="52"/>
      <c r="I45" s="52"/>
      <c r="J45" s="53"/>
      <c r="K45" s="42"/>
    </row>
    <row r="46" spans="2:27" ht="15.75" x14ac:dyDescent="0.25">
      <c r="B46" s="21" t="s">
        <v>38</v>
      </c>
      <c r="C46" s="47" t="s">
        <v>45</v>
      </c>
      <c r="D46" s="48"/>
      <c r="E46" s="49" t="s">
        <v>46</v>
      </c>
      <c r="F46" s="50"/>
      <c r="G46" s="47" t="s">
        <v>47</v>
      </c>
      <c r="H46" s="48"/>
      <c r="I46" s="49" t="s">
        <v>48</v>
      </c>
      <c r="J46" s="50"/>
      <c r="K46" s="42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42"/>
    </row>
    <row r="48" spans="2:27" x14ac:dyDescent="0.25">
      <c r="B48" s="7" t="s">
        <v>5</v>
      </c>
      <c r="C48" s="8">
        <v>2.9991000500007026E-4</v>
      </c>
      <c r="D48" s="9">
        <v>9.8103708564056993E-2</v>
      </c>
      <c r="E48" s="25">
        <v>1.3002999419966521E-3</v>
      </c>
      <c r="F48" s="26">
        <v>9.9747299907136003E-2</v>
      </c>
      <c r="G48" s="8">
        <v>2.2015302338895815E-3</v>
      </c>
      <c r="H48" s="9">
        <v>7.5009553454965502E-2</v>
      </c>
      <c r="I48" s="25">
        <v>2.1012198917482738E-3</v>
      </c>
      <c r="J48" s="26">
        <v>6.1772816164696397E-2</v>
      </c>
      <c r="K48" s="42"/>
    </row>
    <row r="49" spans="2:11" x14ac:dyDescent="0.25">
      <c r="B49" s="10" t="s">
        <v>7</v>
      </c>
      <c r="C49" s="8">
        <v>1.800809999999764E-3</v>
      </c>
      <c r="D49" s="9">
        <v>0.44129869141642503</v>
      </c>
      <c r="E49" s="25">
        <v>9.7148299875060573E-5</v>
      </c>
      <c r="F49" s="26">
        <v>0.45677504889873899</v>
      </c>
      <c r="G49" s="8">
        <v>7.6157122526288035E-3</v>
      </c>
      <c r="H49" s="9">
        <v>0.46482197145010601</v>
      </c>
      <c r="I49" s="25">
        <v>1.5996402410899169E-2</v>
      </c>
      <c r="J49" s="26">
        <v>0.49125162025104602</v>
      </c>
      <c r="K49" s="42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42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42"/>
    </row>
    <row r="52" spans="2:11" x14ac:dyDescent="0.25">
      <c r="B52" s="10" t="s">
        <v>13</v>
      </c>
      <c r="C52" s="8">
        <v>6.0111963800000279E-3</v>
      </c>
      <c r="D52" s="9">
        <v>0.412671395767021</v>
      </c>
      <c r="E52" s="25">
        <v>6.0000000000000001E-3</v>
      </c>
      <c r="F52" s="26">
        <v>0.376897469459401</v>
      </c>
      <c r="G52" s="8">
        <v>1.49E-2</v>
      </c>
      <c r="H52" s="9">
        <v>0.38110310074965298</v>
      </c>
      <c r="I52" s="25">
        <v>2.3800000000000002E-2</v>
      </c>
      <c r="J52" s="26">
        <v>0.37193616504345001</v>
      </c>
      <c r="K52" s="42"/>
    </row>
    <row r="53" spans="2:11" x14ac:dyDescent="0.25">
      <c r="B53" s="10" t="s">
        <v>15</v>
      </c>
      <c r="C53" s="8">
        <v>3.0003000099987354E-4</v>
      </c>
      <c r="D53" s="9">
        <v>1.0003660168262801E-2</v>
      </c>
      <c r="E53" s="25">
        <v>3.0003000099987354E-4</v>
      </c>
      <c r="F53" s="26">
        <v>8.3564014559499803E-3</v>
      </c>
      <c r="G53" s="8">
        <v>5.0010001000022619E-4</v>
      </c>
      <c r="H53" s="9">
        <v>8.1535205732192403E-3</v>
      </c>
      <c r="I53" s="25">
        <v>8.0028005600674135E-4</v>
      </c>
      <c r="J53" s="26">
        <v>7.4074111348239602E-3</v>
      </c>
      <c r="K53" s="42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9.9999999999988987E-4</v>
      </c>
      <c r="H54" s="9">
        <v>1.6779009022492001E-8</v>
      </c>
      <c r="I54" s="25">
        <v>9.9999999999988987E-4</v>
      </c>
      <c r="J54" s="26">
        <v>1.6283907163662901E-8</v>
      </c>
      <c r="K54" s="42"/>
    </row>
    <row r="55" spans="2:11" x14ac:dyDescent="0.25">
      <c r="B55" s="10" t="s">
        <v>44</v>
      </c>
      <c r="C55" s="8">
        <v>5.0007000299978621E-4</v>
      </c>
      <c r="D55" s="9">
        <v>2.27533745873615E-2</v>
      </c>
      <c r="E55" s="25">
        <v>5.0005999799895839E-4</v>
      </c>
      <c r="F55" s="26">
        <v>4.5034872988276603E-2</v>
      </c>
      <c r="G55" s="8">
        <v>2.3020108311582188E-3</v>
      </c>
      <c r="H55" s="9">
        <v>5.9730547836306699E-2</v>
      </c>
      <c r="I55" s="25">
        <v>3.1040428892326055E-3</v>
      </c>
      <c r="J55" s="26">
        <v>5.7471406793087598E-2</v>
      </c>
      <c r="K55" s="42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42"/>
    </row>
    <row r="57" spans="2:11" x14ac:dyDescent="0.25">
      <c r="B57" s="10" t="s">
        <v>22</v>
      </c>
      <c r="C57" s="8">
        <v>0</v>
      </c>
      <c r="D57" s="9">
        <v>3.70227553925178E-3</v>
      </c>
      <c r="E57" s="25">
        <v>9.9999999999988987E-5</v>
      </c>
      <c r="F57" s="26">
        <v>3.1490469825197201E-3</v>
      </c>
      <c r="G57" s="8">
        <v>9.9999999999988987E-5</v>
      </c>
      <c r="H57" s="9">
        <v>4.4505452020795599E-3</v>
      </c>
      <c r="I57" s="25">
        <v>9.9999999999988987E-5</v>
      </c>
      <c r="J57" s="26">
        <v>4.1847840578148098E-3</v>
      </c>
      <c r="K57" s="42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42"/>
    </row>
    <row r="59" spans="2:11" x14ac:dyDescent="0.25">
      <c r="B59" s="10" t="s">
        <v>25</v>
      </c>
      <c r="C59" s="8">
        <v>-7.0000000000003393E-4</v>
      </c>
      <c r="D59" s="9">
        <v>0</v>
      </c>
      <c r="E59" s="25">
        <v>-7.0000000000003393E-4</v>
      </c>
      <c r="F59" s="26">
        <v>0</v>
      </c>
      <c r="G59" s="8">
        <v>-7.0000999300001698E-4</v>
      </c>
      <c r="H59" s="9">
        <v>1.74734528736157E-4</v>
      </c>
      <c r="I59" s="25">
        <v>-5.0014999499858881E-4</v>
      </c>
      <c r="J59" s="26">
        <v>-1.56948845714567E-4</v>
      </c>
      <c r="K59" s="42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9.9999999999988987E-5</v>
      </c>
      <c r="H60" s="9">
        <v>0</v>
      </c>
      <c r="I60" s="25">
        <v>9.9999999999988987E-5</v>
      </c>
      <c r="J60" s="26">
        <v>0</v>
      </c>
      <c r="K60" s="42"/>
    </row>
    <row r="61" spans="2:11" x14ac:dyDescent="0.25">
      <c r="B61" s="10" t="s">
        <v>27</v>
      </c>
      <c r="C61" s="8">
        <v>9.9999999999988987E-5</v>
      </c>
      <c r="D61" s="9">
        <v>1.09729563016521E-2</v>
      </c>
      <c r="E61" s="25">
        <v>1.9998999799986095E-4</v>
      </c>
      <c r="F61" s="26">
        <v>9.6450148478441199E-3</v>
      </c>
      <c r="G61" s="8">
        <v>4.00039997999313E-4</v>
      </c>
      <c r="H61" s="9">
        <v>6.3138909506433001E-3</v>
      </c>
      <c r="I61" s="25">
        <v>4.00039997999313E-4</v>
      </c>
      <c r="J61" s="26">
        <v>6.0431185938252399E-3</v>
      </c>
      <c r="K61" s="42"/>
    </row>
    <row r="62" spans="2:11" x14ac:dyDescent="0.25">
      <c r="B62" s="10" t="s">
        <v>28</v>
      </c>
      <c r="C62" s="8">
        <v>0</v>
      </c>
      <c r="D62" s="9">
        <v>4.9393770801278898E-4</v>
      </c>
      <c r="E62" s="25">
        <v>0</v>
      </c>
      <c r="F62" s="26">
        <v>3.9484549515400401E-4</v>
      </c>
      <c r="G62" s="8">
        <v>0</v>
      </c>
      <c r="H62" s="9">
        <v>2.4211849466643099E-4</v>
      </c>
      <c r="I62" s="25">
        <v>0</v>
      </c>
      <c r="J62" s="26">
        <v>8.9610525868584901E-5</v>
      </c>
      <c r="K62" s="42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42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42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42"/>
    </row>
    <row r="66" spans="2:11" x14ac:dyDescent="0.25">
      <c r="B66" s="10" t="s">
        <v>32</v>
      </c>
      <c r="C66" s="8">
        <v>7.0015000899981139E-4</v>
      </c>
      <c r="D66" s="9">
        <v>-5.2043346010759799E-11</v>
      </c>
      <c r="E66" s="25">
        <v>9.0012989495535933E-4</v>
      </c>
      <c r="F66" s="26">
        <v>-3.5019940949941902E-11</v>
      </c>
      <c r="G66" s="8">
        <v>7.9997982795809719E-4</v>
      </c>
      <c r="H66" s="9">
        <v>-1.9385232724600201E-11</v>
      </c>
      <c r="I66" s="25">
        <v>1.000089777919877E-3</v>
      </c>
      <c r="J66" s="26">
        <v>-2.8052770078678502E-12</v>
      </c>
      <c r="K66" s="42"/>
    </row>
    <row r="67" spans="2:11" x14ac:dyDescent="0.25">
      <c r="B67" s="11" t="s">
        <v>42</v>
      </c>
      <c r="C67" s="12">
        <f>SUM(C48:C66)</f>
        <v>9.0121663979992883E-3</v>
      </c>
      <c r="D67" s="13">
        <v>1</v>
      </c>
      <c r="E67" s="39">
        <v>8.6976581338257201E-3</v>
      </c>
      <c r="F67" s="28">
        <v>1</v>
      </c>
      <c r="G67" s="12">
        <v>2.9219363160634091E-2</v>
      </c>
      <c r="H67" s="13">
        <v>1</v>
      </c>
      <c r="I67" s="27">
        <v>4.790192502880726E-2</v>
      </c>
      <c r="J67" s="28">
        <v>1</v>
      </c>
      <c r="K67" s="42"/>
    </row>
    <row r="68" spans="2:11" x14ac:dyDescent="0.25">
      <c r="B68" s="31" t="s">
        <v>39</v>
      </c>
      <c r="C68" s="54">
        <v>759.23982000000001</v>
      </c>
      <c r="D68" s="55"/>
      <c r="E68" s="36">
        <v>768.95134000000496</v>
      </c>
      <c r="F68" s="37"/>
      <c r="G68" s="38">
        <v>4008.0013000000199</v>
      </c>
      <c r="H68" s="37"/>
      <c r="I68" s="36">
        <v>7086.2911800000002</v>
      </c>
      <c r="J68" s="37"/>
      <c r="K68" s="42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42"/>
    </row>
    <row r="70" spans="2:11" ht="15.75" x14ac:dyDescent="0.25">
      <c r="C70" s="51" t="s">
        <v>0</v>
      </c>
      <c r="D70" s="52"/>
      <c r="E70" s="52"/>
      <c r="F70" s="52"/>
      <c r="G70" s="52"/>
      <c r="H70" s="52"/>
      <c r="I70" s="52"/>
      <c r="J70" s="53"/>
      <c r="K70" s="42"/>
    </row>
    <row r="71" spans="2:11" ht="15.75" x14ac:dyDescent="0.25">
      <c r="B71" s="21" t="s">
        <v>38</v>
      </c>
      <c r="C71" s="47" t="s">
        <v>45</v>
      </c>
      <c r="D71" s="48"/>
      <c r="E71" s="49" t="s">
        <v>46</v>
      </c>
      <c r="F71" s="50"/>
      <c r="G71" s="47" t="s">
        <v>47</v>
      </c>
      <c r="H71" s="48"/>
      <c r="I71" s="49" t="s">
        <v>48</v>
      </c>
      <c r="J71" s="50"/>
      <c r="K71" s="42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42"/>
    </row>
    <row r="73" spans="2:11" x14ac:dyDescent="0.25">
      <c r="B73" s="7" t="s">
        <v>34</v>
      </c>
      <c r="C73" s="8">
        <v>2.75E-2</v>
      </c>
      <c r="D73" s="17">
        <v>0.95675420177026305</v>
      </c>
      <c r="E73" s="25">
        <v>2.605861509852514E-2</v>
      </c>
      <c r="F73" s="30">
        <v>0.96531715171848798</v>
      </c>
      <c r="G73" s="8">
        <f>(1+E73)*(1+S34)*(1+Q34)*(1+O34)-1</f>
        <v>-2.6856517571172467E-2</v>
      </c>
      <c r="H73" s="17">
        <v>0.93395292041298605</v>
      </c>
      <c r="I73" s="25">
        <v>-7.1747166803689533E-3</v>
      </c>
      <c r="J73" s="30">
        <v>0.93927056356221095</v>
      </c>
      <c r="K73" s="42"/>
    </row>
    <row r="74" spans="2:11" x14ac:dyDescent="0.25">
      <c r="B74" s="10" t="s">
        <v>35</v>
      </c>
      <c r="C74" s="8">
        <v>-1.8493074208000171E-2</v>
      </c>
      <c r="D74" s="9">
        <v>4.3245798229736898E-2</v>
      </c>
      <c r="E74" s="25">
        <v>-1.7314863437986938E-2</v>
      </c>
      <c r="F74" s="26">
        <v>3.4682848281512198E-2</v>
      </c>
      <c r="G74" s="8">
        <v>5.6099999999999997E-2</v>
      </c>
      <c r="H74" s="9">
        <v>6.6047079587014002E-2</v>
      </c>
      <c r="I74" s="25">
        <v>5.5100000000000003E-2</v>
      </c>
      <c r="J74" s="26">
        <v>6.0729436437788997E-2</v>
      </c>
      <c r="K74" s="42"/>
    </row>
    <row r="75" spans="2:11" x14ac:dyDescent="0.25">
      <c r="B75" s="11" t="s">
        <v>42</v>
      </c>
      <c r="C75" s="12">
        <f>SUM(C73:C74)</f>
        <v>9.0069257919998293E-3</v>
      </c>
      <c r="D75" s="13">
        <v>1</v>
      </c>
      <c r="E75" s="39">
        <v>8.7437516605382015E-3</v>
      </c>
      <c r="F75" s="28">
        <v>1</v>
      </c>
      <c r="G75" s="12">
        <f>SUM(G73:G74)</f>
        <v>2.924348242882753E-2</v>
      </c>
      <c r="H75" s="13">
        <v>1</v>
      </c>
      <c r="I75" s="27">
        <v>4.792528331963105E-2</v>
      </c>
      <c r="J75" s="28">
        <v>1</v>
      </c>
      <c r="K75" s="42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42"/>
    </row>
    <row r="77" spans="2:11" ht="15.75" x14ac:dyDescent="0.25">
      <c r="C77" s="51" t="s">
        <v>0</v>
      </c>
      <c r="D77" s="52"/>
      <c r="E77" s="52"/>
      <c r="F77" s="52"/>
      <c r="G77" s="52"/>
      <c r="H77" s="52"/>
      <c r="I77" s="52"/>
      <c r="J77" s="53"/>
      <c r="K77" s="42"/>
    </row>
    <row r="78" spans="2:11" ht="15.75" x14ac:dyDescent="0.25">
      <c r="B78" s="21" t="s">
        <v>38</v>
      </c>
      <c r="C78" s="47" t="s">
        <v>45</v>
      </c>
      <c r="D78" s="48"/>
      <c r="E78" s="49" t="s">
        <v>46</v>
      </c>
      <c r="F78" s="50"/>
      <c r="G78" s="47" t="s">
        <v>47</v>
      </c>
      <c r="H78" s="48"/>
      <c r="I78" s="49" t="s">
        <v>48</v>
      </c>
      <c r="J78" s="50"/>
      <c r="K78" s="42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42"/>
    </row>
    <row r="80" spans="2:11" x14ac:dyDescent="0.25">
      <c r="B80" s="7" t="s">
        <v>36</v>
      </c>
      <c r="C80" s="8">
        <v>2.8899999999999999E-2</v>
      </c>
      <c r="D80" s="17">
        <v>0.98580012663651595</v>
      </c>
      <c r="E80" s="25">
        <v>2.8299999999999999E-2</v>
      </c>
      <c r="F80" s="30">
        <v>0.98809970610139597</v>
      </c>
      <c r="G80" s="8">
        <f>(1+E80)*(1+S41)*(1+Q41)*(1+O41)-1</f>
        <v>-2.2765022693557402E-2</v>
      </c>
      <c r="H80" s="17">
        <v>0.98697908122068401</v>
      </c>
      <c r="I80" s="25">
        <v>-5.3754597831425777E-3</v>
      </c>
      <c r="J80" s="30">
        <v>0.98847514313001295</v>
      </c>
      <c r="K80" s="42"/>
    </row>
    <row r="81" spans="2:11" x14ac:dyDescent="0.25">
      <c r="B81" s="10" t="s">
        <v>37</v>
      </c>
      <c r="C81" s="8">
        <v>-1.9900088209000022E-2</v>
      </c>
      <c r="D81" s="9">
        <v>1.4199873363484E-2</v>
      </c>
      <c r="E81" s="25">
        <v>-1.9606215098493363E-2</v>
      </c>
      <c r="F81" s="26">
        <v>1.1900293898603601E-2</v>
      </c>
      <c r="G81" s="8">
        <v>5.1999999999999998E-2</v>
      </c>
      <c r="H81" s="9">
        <v>1.3020918779316199E-2</v>
      </c>
      <c r="I81" s="25">
        <v>5.33E-2</v>
      </c>
      <c r="J81" s="26">
        <v>1.1524856869987299E-2</v>
      </c>
      <c r="K81" s="42"/>
    </row>
    <row r="82" spans="2:11" x14ac:dyDescent="0.25">
      <c r="B82" s="11" t="s">
        <v>42</v>
      </c>
      <c r="C82" s="12">
        <f>SUM(C80:C81)</f>
        <v>8.9999117909999767E-3</v>
      </c>
      <c r="D82" s="13">
        <v>1</v>
      </c>
      <c r="E82" s="39">
        <v>8.6937849015066362E-3</v>
      </c>
      <c r="F82" s="28">
        <v>1</v>
      </c>
      <c r="G82" s="12">
        <f>SUM(G80:G81)</f>
        <v>2.9234977306442596E-2</v>
      </c>
      <c r="H82" s="13">
        <v>1</v>
      </c>
      <c r="I82" s="27">
        <v>4.7924540216857422E-2</v>
      </c>
      <c r="J82" s="28">
        <v>1</v>
      </c>
      <c r="K82" s="42"/>
    </row>
    <row r="83" spans="2:11" x14ac:dyDescent="0.25">
      <c r="B83" s="40" t="s">
        <v>49</v>
      </c>
      <c r="C83" s="40"/>
      <c r="D83" s="40"/>
      <c r="E83" s="40"/>
      <c r="F83" s="40"/>
      <c r="G83" s="40"/>
      <c r="H83" s="40"/>
      <c r="I83" s="40"/>
      <c r="J83" s="40"/>
      <c r="K83" s="42"/>
    </row>
    <row r="84" spans="2:11" x14ac:dyDescent="0.25">
      <c r="G84" s="34"/>
      <c r="K84" s="42"/>
    </row>
    <row r="85" spans="2:11" x14ac:dyDescent="0.25">
      <c r="K85" s="42"/>
    </row>
    <row r="86" spans="2:11" x14ac:dyDescent="0.25">
      <c r="K86" s="4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K32:L32"/>
    <mergeCell ref="M32:N32"/>
    <mergeCell ref="C39:D39"/>
    <mergeCell ref="E39:F39"/>
    <mergeCell ref="G39:H39"/>
    <mergeCell ref="I39:J39"/>
    <mergeCell ref="K39:L39"/>
    <mergeCell ref="B83:J83"/>
    <mergeCell ref="L44:AA44"/>
    <mergeCell ref="K44:K86"/>
    <mergeCell ref="AA1:AA43"/>
    <mergeCell ref="W32:X32"/>
    <mergeCell ref="O39:P39"/>
    <mergeCell ref="Q39:R39"/>
    <mergeCell ref="S39:T39"/>
    <mergeCell ref="O32:P32"/>
    <mergeCell ref="Q32:R32"/>
    <mergeCell ref="S32:T32"/>
    <mergeCell ref="U39:V39"/>
    <mergeCell ref="M39:N39"/>
    <mergeCell ref="U32:V32"/>
    <mergeCell ref="G32:H32"/>
    <mergeCell ref="I32:J3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אשראי ואג"ח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