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G73" i="6" l="1"/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<sst xmlns="http://schemas.openxmlformats.org/spreadsheetml/2006/main" count="190" uniqueCount="50">
  <si>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</si>
  <si>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</si>
  <si>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</si>
  <si>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</si>
  <si>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</si>
  <si>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</si>
  <si>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</si>
  <si>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</si>
  <si>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</si>
  <si>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</si>
  <si>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</si>
  <si>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</si>
  <si>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</si>
  <si>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</si>
  <si>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</si>
  <si>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</si>
  <si>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</si>
  <si>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</si>
  <si>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</si>
  <si>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</si>
  <si>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</si>
  <si>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</si>
  <si>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</si>
  <si>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</si>
  <si>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</si>
  <si>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</si>
  <si>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</si>
  <si>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</si>
  <si>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</si>
  <si>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</si>
  <si>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</si>
  <si>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</si>
  <si>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</si>
  <si>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</si>
  <si>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</si>
  <si>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</si>
  <si>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</si>
  <si>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</si>
  <si>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</si>
  <si>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</si>
  <si>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</si>
  <si>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</si>
  <si>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</si>
  <si>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</si>
  <si>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</si>
  <si>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</si>
  <si>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</si>
  <si>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</si>
  <si>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</si>
  <si>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2024אנליסט השתלמות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</si>
</sst>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37">
        <v>44958</v>
      </c>
      <c r="F6" s="38"/>
      <c r="G6" s="39">
        <v>44986</v>
      </c>
      <c r="H6" s="40"/>
      <c r="I6" s="37">
        <v>45017</v>
      </c>
      <c r="J6" s="38"/>
      <c r="K6" s="39">
        <v>45047</v>
      </c>
      <c r="L6" s="40"/>
      <c r="M6" s="37">
        <v>45078</v>
      </c>
      <c r="N6" s="38"/>
      <c r="O6" s="39">
        <v>45108</v>
      </c>
      <c r="P6" s="40"/>
      <c r="Q6" s="37">
        <v>45139</v>
      </c>
      <c r="R6" s="38"/>
      <c r="S6" s="39">
        <v>45170</v>
      </c>
      <c r="T6" s="40"/>
      <c r="U6" s="37">
        <v>45200</v>
      </c>
      <c r="V6" s="38"/>
      <c r="W6" s="39">
        <v>45231</v>
      </c>
      <c r="X6" s="40"/>
      <c r="Y6" s="37">
        <v>45261</v>
      </c>
      <c r="Z6" s="3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5.0000000000000001E-4</v>
      </c>
      <c r="D8" s="9">
        <v>0.19071071192067501</v>
      </c>
      <c r="E8" s="25">
        <v>2.0999999999999999E-3</v>
      </c>
      <c r="F8" s="26">
        <v>0.17761350042632201</v>
      </c>
      <c r="G8" s="8">
        <v>-8.9999999999999998E-4</v>
      </c>
      <c r="H8" s="9">
        <v>0.17517298065801401</v>
      </c>
      <c r="I8" s="25">
        <v>1.8E-3</v>
      </c>
      <c r="J8" s="26">
        <v>0.17513201567110001</v>
      </c>
      <c r="K8" s="8">
        <v>8.0000000000000004E-4</v>
      </c>
      <c r="L8" s="9">
        <v>0.17871506096583001</v>
      </c>
      <c r="M8" s="25">
        <v>1.5E-3</v>
      </c>
      <c r="N8" s="26">
        <v>0.19274905819902299</v>
      </c>
      <c r="O8" s="8">
        <v>1.2999999999999999E-3</v>
      </c>
      <c r="P8" s="9">
        <v>0.19565783424396199</v>
      </c>
      <c r="Q8" s="25">
        <v>2.3999999999999998E-3</v>
      </c>
      <c r="R8" s="26">
        <v>0.19164144322411</v>
      </c>
      <c r="S8" s="8">
        <v>1.4E-3</v>
      </c>
      <c r="T8" s="9">
        <v>0.17025702395540701</v>
      </c>
      <c r="U8" s="25">
        <v>5.4999999999999997E-3</v>
      </c>
      <c r="V8" s="26">
        <v>0.16450116507555099</v>
      </c>
      <c r="W8" s="8">
        <v>-5.3E-3</v>
      </c>
      <c r="X8" s="9">
        <v>0.15443971504189799</v>
      </c>
      <c r="Y8" s="25">
        <v>-5.9999999999999995E-4</v>
      </c>
      <c r="Z8" s="26">
        <v>0.15989479949187299</v>
      </c>
      <c r="AE8" s="3" t="s">
        <v>8</v>
      </c>
    </row>
    <row r="9" spans="2:31" x14ac:dyDescent="0.25">
      <c r="B9" s="10" t="s">
        <v>7</v>
      </c>
      <c r="C9" s="8">
        <v>5.9999999999999995E-4</v>
      </c>
      <c r="D9" s="9">
        <v>0.22780831321141201</v>
      </c>
      <c r="E9" s="25">
        <v>-4.0000000000000002E-4</v>
      </c>
      <c r="F9" s="26">
        <v>0.23750194223810001</v>
      </c>
      <c r="G9" s="8">
        <v>1.1000000000000001E-3</v>
      </c>
      <c r="H9" s="9">
        <v>0.23399737056883599</v>
      </c>
      <c r="I9" s="25">
        <v>8.9999999999999998E-4</v>
      </c>
      <c r="J9" s="26">
        <v>0.22637422552279701</v>
      </c>
      <c r="K9" s="8">
        <v>6.9999999999999999E-4</v>
      </c>
      <c r="L9" s="9">
        <v>0.218550717132625</v>
      </c>
      <c r="M9" s="25">
        <v>8.0000000000000004E-4</v>
      </c>
      <c r="N9" s="26">
        <v>0.243351492403894</v>
      </c>
      <c r="O9" s="8">
        <v>1.1000000000000001E-3</v>
      </c>
      <c r="P9" s="9">
        <v>0.23697127704746199</v>
      </c>
      <c r="Q9" s="25">
        <v>1.1000000000000001E-3</v>
      </c>
      <c r="R9" s="26">
        <v>0.25795056678247502</v>
      </c>
      <c r="S9" s="8">
        <v>8.9999999999999998E-4</v>
      </c>
      <c r="T9" s="9">
        <v>0.31234546766896398</v>
      </c>
      <c r="U9" s="25">
        <v>1.6999999999999999E-3</v>
      </c>
      <c r="V9" s="26">
        <v>0.317961652074289</v>
      </c>
      <c r="W9" s="8">
        <v>1.2999999999999999E-3</v>
      </c>
      <c r="X9" s="9">
        <v>0.30102675221143199</v>
      </c>
      <c r="Y9" s="25">
        <v>1.1999999999999999E-3</v>
      </c>
      <c r="Z9" s="26">
        <v>0.296415550224569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2.0227085850009701E-6</v>
      </c>
      <c r="E13" s="25">
        <v>0</v>
      </c>
      <c r="F13" s="26">
        <v>2.05010012024077E-6</v>
      </c>
      <c r="G13" s="8">
        <v>0</v>
      </c>
      <c r="H13" s="9">
        <v>2.0120181315936102E-6</v>
      </c>
      <c r="I13" s="25">
        <v>0</v>
      </c>
      <c r="J13" s="26">
        <v>1.9388513921236902E-6</v>
      </c>
      <c r="K13" s="8">
        <v>0</v>
      </c>
      <c r="L13" s="9">
        <v>1.8702380922798201E-6</v>
      </c>
      <c r="M13" s="25">
        <v>0</v>
      </c>
      <c r="N13" s="26">
        <v>1.7669267158905101E-6</v>
      </c>
      <c r="O13" s="8">
        <v>0</v>
      </c>
      <c r="P13" s="9">
        <v>1.63637903024767E-6</v>
      </c>
      <c r="Q13" s="25">
        <v>0</v>
      </c>
      <c r="R13" s="26">
        <v>1.57603327868639E-6</v>
      </c>
      <c r="S13" s="8">
        <v>0</v>
      </c>
      <c r="T13" s="9">
        <v>1.57174021709435E-6</v>
      </c>
      <c r="U13" s="25">
        <v>0</v>
      </c>
      <c r="V13" s="26">
        <v>1.5720290952583401E-6</v>
      </c>
      <c r="W13" s="8">
        <v>0</v>
      </c>
      <c r="X13" s="9">
        <v>1.4424765029944701E-6</v>
      </c>
      <c r="Y13" s="25">
        <v>0</v>
      </c>
      <c r="Z13" s="26">
        <v>1.3354769906190999E-6</v>
      </c>
      <c r="AE13" s="3" t="s">
        <v>18</v>
      </c>
    </row>
    <row r="14" spans="2:31" x14ac:dyDescent="0.25">
      <c r="B14" s="10" t="s">
        <v>17</v>
      </c>
      <c r="C14" s="8">
        <v>2.3E-3</v>
      </c>
      <c r="D14" s="9">
        <v>0.222588842365326</v>
      </c>
      <c r="E14" s="25">
        <v>-1.24E-2</v>
      </c>
      <c r="F14" s="26">
        <v>0.21296019779151901</v>
      </c>
      <c r="G14" s="8">
        <v>8.9999999999999998E-4</v>
      </c>
      <c r="H14" s="9">
        <v>0.20786109576217099</v>
      </c>
      <c r="I14" s="25">
        <v>5.1000000000000004E-3</v>
      </c>
      <c r="J14" s="26">
        <v>0.204486775208992</v>
      </c>
      <c r="K14" s="8">
        <v>5.3E-3</v>
      </c>
      <c r="L14" s="9">
        <v>0.206434431924367</v>
      </c>
      <c r="M14" s="25">
        <v>6.3E-3</v>
      </c>
      <c r="N14" s="26">
        <v>0.20282385747721399</v>
      </c>
      <c r="O14" s="8">
        <v>1.11E-2</v>
      </c>
      <c r="P14" s="9">
        <v>0.202571907601069</v>
      </c>
      <c r="Q14" s="25">
        <v>-2E-3</v>
      </c>
      <c r="R14" s="26">
        <v>0.20066884452703801</v>
      </c>
      <c r="S14" s="8">
        <v>-2E-3</v>
      </c>
      <c r="T14" s="9">
        <v>0.20246512628025901</v>
      </c>
      <c r="U14" s="25">
        <v>-2.23E-2</v>
      </c>
      <c r="V14" s="26">
        <v>0.187784229462476</v>
      </c>
      <c r="W14" s="8">
        <v>1.67E-2</v>
      </c>
      <c r="X14" s="9">
        <v>0.18899411842135999</v>
      </c>
      <c r="Y14" s="25">
        <v>1.23E-2</v>
      </c>
      <c r="Z14" s="26">
        <v>0.19019036427639999</v>
      </c>
      <c r="AE14" s="3" t="s">
        <v>19</v>
      </c>
    </row>
    <row r="15" spans="2:31" x14ac:dyDescent="0.25">
      <c r="B15" s="10" t="s">
        <v>44</v>
      </c>
      <c r="C15" s="8">
        <v>1.6500000000000001E-2</v>
      </c>
      <c r="D15" s="9">
        <v>0.33279002264789398</v>
      </c>
      <c r="E15" s="25">
        <v>5.4000000000000003E-3</v>
      </c>
      <c r="F15" s="26">
        <v>0.34246265782414198</v>
      </c>
      <c r="G15" s="8">
        <v>3.0000000000000001E-3</v>
      </c>
      <c r="H15" s="9">
        <v>0.34875686720118498</v>
      </c>
      <c r="I15" s="25">
        <v>1.29E-2</v>
      </c>
      <c r="J15" s="26">
        <v>0.348385067875287</v>
      </c>
      <c r="K15" s="8">
        <v>1.1599999999999999E-2</v>
      </c>
      <c r="L15" s="9">
        <v>0.34713198469783602</v>
      </c>
      <c r="M15" s="25">
        <v>1.41E-2</v>
      </c>
      <c r="N15" s="26">
        <v>0.34137743990770503</v>
      </c>
      <c r="O15" s="8">
        <v>1.6799999999999999E-2</v>
      </c>
      <c r="P15" s="9">
        <v>0.33663101683237701</v>
      </c>
      <c r="Q15" s="25">
        <v>2.2000000000000001E-3</v>
      </c>
      <c r="R15" s="26">
        <v>0.33106848507909198</v>
      </c>
      <c r="S15" s="8">
        <v>-1.0699999999999999E-2</v>
      </c>
      <c r="T15" s="9">
        <v>0.32943766237655497</v>
      </c>
      <c r="U15" s="25">
        <v>2.9999999999999997E-4</v>
      </c>
      <c r="V15" s="26">
        <v>0.35635737351632402</v>
      </c>
      <c r="W15" s="8">
        <v>7.4999999999999997E-3</v>
      </c>
      <c r="X15" s="9">
        <v>0.34567060723551402</v>
      </c>
      <c r="Y15" s="25">
        <v>8.9999999999999993E-3</v>
      </c>
      <c r="Z15" s="26">
        <v>0.33732625565878999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5.90339725588374E-6</v>
      </c>
      <c r="E18" s="25">
        <v>-1E-4</v>
      </c>
      <c r="F18" s="26">
        <v>6.1024760605407996E-6</v>
      </c>
      <c r="G18" s="8">
        <v>0</v>
      </c>
      <c r="H18" s="9">
        <v>4.0585785846815903E-6</v>
      </c>
      <c r="I18" s="25">
        <v>0</v>
      </c>
      <c r="J18" s="26">
        <v>3.76203529753759E-6</v>
      </c>
      <c r="K18" s="8">
        <v>0</v>
      </c>
      <c r="L18" s="9">
        <v>1.32482554673654E-6</v>
      </c>
      <c r="M18" s="25">
        <v>0</v>
      </c>
      <c r="N18" s="26">
        <v>1.39604511626263E-6</v>
      </c>
      <c r="O18" s="8">
        <v>1E-4</v>
      </c>
      <c r="P18" s="9">
        <v>2.2421610263242402E-6</v>
      </c>
      <c r="Q18" s="25">
        <v>0</v>
      </c>
      <c r="R18" s="26">
        <v>7.1160659577489696E-7</v>
      </c>
      <c r="S18" s="8">
        <v>0</v>
      </c>
      <c r="T18" s="9">
        <v>5.1522740950990395E-7</v>
      </c>
      <c r="U18" s="25">
        <v>0</v>
      </c>
      <c r="V18" s="26">
        <v>3.1631024396171198E-7</v>
      </c>
      <c r="W18" s="8">
        <v>1E-4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2.7199999999999998E-2</v>
      </c>
      <c r="D19" s="9">
        <v>1.00880340678115E-2</v>
      </c>
      <c r="E19" s="25">
        <v>-1.4800000000000001E-2</v>
      </c>
      <c r="F19" s="26">
        <v>5.3712709547072603E-3</v>
      </c>
      <c r="G19" s="8">
        <v>1.2E-2</v>
      </c>
      <c r="H19" s="9">
        <v>2.00560660120295E-2</v>
      </c>
      <c r="I19" s="25">
        <v>9.4999999999999998E-3</v>
      </c>
      <c r="J19" s="26">
        <v>3.0073233650740001E-2</v>
      </c>
      <c r="K19" s="8">
        <v>3.5000000000000001E-3</v>
      </c>
      <c r="L19" s="9">
        <v>3.3882328893360597E-2</v>
      </c>
      <c r="M19" s="25">
        <v>1.7500000000000002E-2</v>
      </c>
      <c r="N19" s="26">
        <v>6.4042711734072603E-3</v>
      </c>
      <c r="O19" s="8">
        <v>1.7500000000000002E-2</v>
      </c>
      <c r="P19" s="9">
        <v>2.33994227975459E-2</v>
      </c>
      <c r="Q19" s="25">
        <v>-1.1299999999999999E-2</v>
      </c>
      <c r="R19" s="26">
        <v>1.3785391775408599E-2</v>
      </c>
      <c r="S19" s="8">
        <v>-2.29E-2</v>
      </c>
      <c r="T19" s="9">
        <v>-2.0127705999207501E-2</v>
      </c>
      <c r="U19" s="25">
        <v>-1.67E-2</v>
      </c>
      <c r="V19" s="26">
        <v>-3.5889520052783098E-2</v>
      </c>
      <c r="W19" s="8">
        <v>4.2500000000000003E-2</v>
      </c>
      <c r="X19" s="9">
        <v>7.5530965207536403E-3</v>
      </c>
      <c r="Y19" s="25">
        <v>1.8700000000000001E-2</v>
      </c>
      <c r="Z19" s="26">
        <v>1.38709522728687E-2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1E-4</v>
      </c>
      <c r="D22" s="9">
        <v>4.9930577575087202E-3</v>
      </c>
      <c r="E22" s="25">
        <v>-1E-4</v>
      </c>
      <c r="F22" s="26">
        <v>5.3732584079839102E-3</v>
      </c>
      <c r="G22" s="8">
        <v>0</v>
      </c>
      <c r="H22" s="9">
        <v>5.4766157978123698E-3</v>
      </c>
      <c r="I22" s="25">
        <v>0</v>
      </c>
      <c r="J22" s="26">
        <v>5.0887268283421796E-3</v>
      </c>
      <c r="K22" s="8">
        <v>0</v>
      </c>
      <c r="L22" s="9">
        <v>5.0141428786664903E-3</v>
      </c>
      <c r="M22" s="25">
        <v>1E-4</v>
      </c>
      <c r="N22" s="26">
        <v>4.9338805497003198E-3</v>
      </c>
      <c r="O22" s="8">
        <v>1E-4</v>
      </c>
      <c r="P22" s="9">
        <v>4.5051737537425496E-3</v>
      </c>
      <c r="Q22" s="25">
        <v>0</v>
      </c>
      <c r="R22" s="26">
        <v>4.2067894983185902E-3</v>
      </c>
      <c r="S22" s="8">
        <v>0</v>
      </c>
      <c r="T22" s="9">
        <v>4.51990338229428E-3</v>
      </c>
      <c r="U22" s="25">
        <v>-1E-4</v>
      </c>
      <c r="V22" s="26">
        <v>4.5071232811866296E-3</v>
      </c>
      <c r="W22" s="8">
        <v>1E-4</v>
      </c>
      <c r="X22" s="9">
        <v>4.1933576037723897E-3</v>
      </c>
      <c r="Y22" s="25">
        <v>1E-4</v>
      </c>
      <c r="Z22" s="26">
        <v>3.9111572883425002E-3</v>
      </c>
    </row>
    <row r="23" spans="2:31" x14ac:dyDescent="0.25">
      <c r="B23" s="10" t="s">
        <v>29</v>
      </c>
      <c r="C23" s="8">
        <v>0</v>
      </c>
      <c r="D23" s="9">
        <v>1.06454445413565E-2</v>
      </c>
      <c r="E23" s="25">
        <v>2.0000000000000001E-4</v>
      </c>
      <c r="F23" s="26">
        <v>1.7984348664747799E-2</v>
      </c>
      <c r="G23" s="8">
        <v>-1E-4</v>
      </c>
      <c r="H23" s="9">
        <v>7.5812931241959801E-3</v>
      </c>
      <c r="I23" s="25">
        <v>0</v>
      </c>
      <c r="J23" s="26">
        <v>1.0089772427186301E-2</v>
      </c>
      <c r="K23" s="8">
        <v>0</v>
      </c>
      <c r="L23" s="9">
        <v>9.5018186851680807E-3</v>
      </c>
      <c r="M23" s="25">
        <v>0</v>
      </c>
      <c r="N23" s="26">
        <v>7.2728082684313296E-3</v>
      </c>
      <c r="O23" s="8">
        <v>0</v>
      </c>
      <c r="P23" s="9">
        <v>-1.0045856623107701E-4</v>
      </c>
      <c r="Q23" s="25">
        <v>0</v>
      </c>
      <c r="R23" s="26">
        <v>8.2986179196651097E-6</v>
      </c>
      <c r="S23" s="8">
        <v>0</v>
      </c>
      <c r="T23" s="9">
        <v>1.5084943864878301E-4</v>
      </c>
      <c r="U23" s="25">
        <v>0</v>
      </c>
      <c r="V23" s="26">
        <v>4.5139280196423003E-3</v>
      </c>
      <c r="W23" s="8">
        <v>-1E-4</v>
      </c>
      <c r="X23" s="9">
        <v>-2.3600449961177902E-3</v>
      </c>
      <c r="Y23" s="25">
        <v>1E-4</v>
      </c>
      <c r="Z23" s="26">
        <v>-1.6104146898053399E-3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-4.0000000000000099E-4</v>
      </c>
      <c r="D26" s="9">
        <v>3.67647382175269E-4</v>
      </c>
      <c r="E26" s="25">
        <v>5.0000000000000196E-4</v>
      </c>
      <c r="F26" s="26">
        <v>7.2467111629845099E-4</v>
      </c>
      <c r="G26" s="8">
        <v>2.0000000000000199E-4</v>
      </c>
      <c r="H26" s="9">
        <v>1.0916402790412201E-3</v>
      </c>
      <c r="I26" s="25">
        <v>-5.9999999999999995E-4</v>
      </c>
      <c r="J26" s="26">
        <v>3.64481928865707E-4</v>
      </c>
      <c r="K26" s="8">
        <v>3.0000000000000198E-4</v>
      </c>
      <c r="L26" s="9">
        <v>7.6631975850801899E-4</v>
      </c>
      <c r="M26" s="25">
        <v>4.0000000000000099E-4</v>
      </c>
      <c r="N26" s="26">
        <v>1.0840290487928699E-3</v>
      </c>
      <c r="O26" s="8">
        <v>-5.0000000000000196E-4</v>
      </c>
      <c r="P26" s="9">
        <v>3.5994775001494799E-4</v>
      </c>
      <c r="Q26" s="25">
        <v>1.9999999999999901E-4</v>
      </c>
      <c r="R26" s="26">
        <v>6.6789285576255404E-4</v>
      </c>
      <c r="S26" s="8">
        <v>4.0000000000000002E-4</v>
      </c>
      <c r="T26" s="9">
        <v>9.4958592945249703E-4</v>
      </c>
      <c r="U26" s="25">
        <v>-7.0000000000000303E-4</v>
      </c>
      <c r="V26" s="26">
        <v>2.6216028397479002E-4</v>
      </c>
      <c r="W26" s="8">
        <v>2.9999999999998702E-4</v>
      </c>
      <c r="X26" s="9">
        <v>4.8095548488486298E-4</v>
      </c>
      <c r="Y26" s="25">
        <v>-3.9999999999999899E-4</v>
      </c>
      <c r="Z26" s="26">
        <v>-2.8144953815451E-14</v>
      </c>
    </row>
    <row r="27" spans="2:31" x14ac:dyDescent="0.25">
      <c r="B27" s="11" t="s">
        <v>33</v>
      </c>
      <c r="C27" s="12">
        <v>4.6800000000000001E-2</v>
      </c>
      <c r="D27" s="13">
        <v>1</v>
      </c>
      <c r="E27" s="27">
        <v>-1.9599999999999999E-2</v>
      </c>
      <c r="F27" s="28">
        <v>1</v>
      </c>
      <c r="G27" s="12">
        <v>1.6199999999999999E-2</v>
      </c>
      <c r="H27" s="13">
        <v>1</v>
      </c>
      <c r="I27" s="27">
        <v>2.9600000000000001E-2</v>
      </c>
      <c r="J27" s="28">
        <v>1</v>
      </c>
      <c r="K27" s="12">
        <v>2.2200000000000001E-2</v>
      </c>
      <c r="L27" s="13">
        <v>1</v>
      </c>
      <c r="M27" s="27">
        <v>4.07E-2</v>
      </c>
      <c r="N27" s="28">
        <v>1</v>
      </c>
      <c r="O27" s="12">
        <v>4.7500000000000001E-2</v>
      </c>
      <c r="P27" s="13">
        <v>1</v>
      </c>
      <c r="Q27" s="27">
        <v>-7.4000000000000003E-3</v>
      </c>
      <c r="R27" s="28">
        <v>1</v>
      </c>
      <c r="S27" s="12">
        <v>-3.2899999999999999E-2</v>
      </c>
      <c r="T27" s="13">
        <v>1</v>
      </c>
      <c r="U27" s="27">
        <v>-3.2300000000000002E-2</v>
      </c>
      <c r="V27" s="28">
        <v>1</v>
      </c>
      <c r="W27" s="12">
        <v>6.3100000000000003E-2</v>
      </c>
      <c r="X27" s="13">
        <v>1</v>
      </c>
      <c r="Y27" s="27">
        <v>4.0399999999999998E-2</v>
      </c>
      <c r="Z27" s="28">
        <v>1</v>
      </c>
    </row>
    <row r="28" spans="2:31" x14ac:dyDescent="0.25">
      <c r="B28" s="31" t="s">
        <v>39</v>
      </c>
      <c r="C28" s="43">
        <v>157442.05363000001</v>
      </c>
      <c r="D28" s="44"/>
      <c r="E28" s="41">
        <v>-70356.315390000105</v>
      </c>
      <c r="F28" s="42"/>
      <c r="G28" s="43">
        <v>57621.871299999897</v>
      </c>
      <c r="H28" s="44"/>
      <c r="I28" s="41">
        <v>106743.16687</v>
      </c>
      <c r="J28" s="42"/>
      <c r="K28" s="43">
        <v>83145.072310000003</v>
      </c>
      <c r="L28" s="44"/>
      <c r="M28" s="41">
        <v>157759.57329</v>
      </c>
      <c r="N28" s="42"/>
      <c r="O28" s="43">
        <v>196802.68896999999</v>
      </c>
      <c r="P28" s="44"/>
      <c r="Q28" s="41">
        <v>-30143.641470000199</v>
      </c>
      <c r="R28" s="42"/>
      <c r="S28" s="43">
        <v>-153100.75279999999</v>
      </c>
      <c r="T28" s="44"/>
      <c r="U28" s="41">
        <v>-151081.86520999999</v>
      </c>
      <c r="V28" s="42"/>
      <c r="W28" s="43">
        <v>291177.43154000101</v>
      </c>
      <c r="X28" s="44"/>
      <c r="Y28" s="41">
        <v>204413.02745999899</v>
      </c>
      <c r="Z28" s="42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39">
        <v>44927</v>
      </c>
      <c r="D32" s="40"/>
      <c r="E32" s="37">
        <v>44958</v>
      </c>
      <c r="F32" s="38"/>
      <c r="G32" s="39">
        <v>44986</v>
      </c>
      <c r="H32" s="40"/>
      <c r="I32" s="37">
        <v>45017</v>
      </c>
      <c r="J32" s="38"/>
      <c r="K32" s="39">
        <v>45047</v>
      </c>
      <c r="L32" s="40"/>
      <c r="M32" s="37">
        <v>45078</v>
      </c>
      <c r="N32" s="38"/>
      <c r="O32" s="39">
        <v>45108</v>
      </c>
      <c r="P32" s="40"/>
      <c r="Q32" s="37">
        <v>45139</v>
      </c>
      <c r="R32" s="38"/>
      <c r="S32" s="39">
        <v>45170</v>
      </c>
      <c r="T32" s="40"/>
      <c r="U32" s="37">
        <v>45200</v>
      </c>
      <c r="V32" s="38"/>
      <c r="W32" s="39">
        <v>45231</v>
      </c>
      <c r="X32" s="40"/>
      <c r="Y32" s="37">
        <v>45261</v>
      </c>
      <c r="Z32" s="38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3.8999999999999998E-3</v>
      </c>
      <c r="D34" s="17">
        <v>0.68864205599399197</v>
      </c>
      <c r="E34" s="29">
        <v>-2.0500000000000001E-2</v>
      </c>
      <c r="F34" s="30">
        <v>0.68368092084926801</v>
      </c>
      <c r="G34" s="16">
        <v>2E-3</v>
      </c>
      <c r="H34" s="17">
        <v>0.66072793416964404</v>
      </c>
      <c r="I34" s="29">
        <v>6.4999999999999997E-3</v>
      </c>
      <c r="J34" s="30">
        <v>0.65122195890122403</v>
      </c>
      <c r="K34" s="16">
        <v>6.6E-3</v>
      </c>
      <c r="L34" s="17">
        <v>0.64739850386508802</v>
      </c>
      <c r="M34" s="29">
        <v>1.01E-2</v>
      </c>
      <c r="N34" s="30">
        <v>0.67867986061944197</v>
      </c>
      <c r="O34" s="16">
        <v>1.2999999999999999E-2</v>
      </c>
      <c r="P34" s="17">
        <v>0.66670045324770399</v>
      </c>
      <c r="Q34" s="29">
        <v>-6.9999999999999999E-4</v>
      </c>
      <c r="R34" s="30">
        <v>0.68032235117010598</v>
      </c>
      <c r="S34" s="16">
        <v>6.9999999999999999E-4</v>
      </c>
      <c r="T34" s="17">
        <v>0.71456125130931403</v>
      </c>
      <c r="U34" s="29">
        <v>-2.3099999999999999E-2</v>
      </c>
      <c r="V34" s="30">
        <v>0.70215746163870996</v>
      </c>
      <c r="W34" s="16">
        <v>2.0899999999999998E-2</v>
      </c>
      <c r="X34" s="17">
        <v>0.67682190694768696</v>
      </c>
      <c r="Y34" s="29">
        <v>1.5100000000000001E-2</v>
      </c>
      <c r="Z34" s="30">
        <v>0.68239621027652797</v>
      </c>
    </row>
    <row r="35" spans="2:26" x14ac:dyDescent="0.25">
      <c r="B35" s="10" t="s">
        <v>35</v>
      </c>
      <c r="C35" s="8">
        <v>4.2900000000000001E-2</v>
      </c>
      <c r="D35" s="9">
        <v>0.31135794400600803</v>
      </c>
      <c r="E35" s="25">
        <v>8.99999999999999E-4</v>
      </c>
      <c r="F35" s="26">
        <v>0.31631907915073199</v>
      </c>
      <c r="G35" s="8">
        <v>1.4200000000000001E-2</v>
      </c>
      <c r="H35" s="9">
        <v>0.33927206583035602</v>
      </c>
      <c r="I35" s="25">
        <v>2.3099999999999999E-2</v>
      </c>
      <c r="J35" s="26">
        <v>0.34877804109877603</v>
      </c>
      <c r="K35" s="8">
        <v>1.5599999999999999E-2</v>
      </c>
      <c r="L35" s="9">
        <v>0.35260149613491198</v>
      </c>
      <c r="M35" s="25">
        <v>3.0599999999999999E-2</v>
      </c>
      <c r="N35" s="26">
        <v>0.32132013938055798</v>
      </c>
      <c r="O35" s="8">
        <v>3.4500000000000003E-2</v>
      </c>
      <c r="P35" s="9">
        <v>0.33329954675229601</v>
      </c>
      <c r="Q35" s="25">
        <v>-6.7000000000000002E-3</v>
      </c>
      <c r="R35" s="26">
        <v>0.31967764882989402</v>
      </c>
      <c r="S35" s="8">
        <v>-3.3599999999999998E-2</v>
      </c>
      <c r="T35" s="9">
        <v>0.28543874869068597</v>
      </c>
      <c r="U35" s="25">
        <v>-9.1999999999999998E-3</v>
      </c>
      <c r="V35" s="26">
        <v>0.29784253836128999</v>
      </c>
      <c r="W35" s="8">
        <v>4.2200000000000001E-2</v>
      </c>
      <c r="X35" s="9">
        <v>0.32317809305231299</v>
      </c>
      <c r="Y35" s="25">
        <v>2.53E-2</v>
      </c>
      <c r="Z35" s="26">
        <v>0.31760378972347197</v>
      </c>
    </row>
    <row r="36" spans="2:26" x14ac:dyDescent="0.25">
      <c r="B36" s="11" t="s">
        <v>33</v>
      </c>
      <c r="C36" s="12">
        <v>4.6800000000000001E-2</v>
      </c>
      <c r="D36" s="13">
        <v>1</v>
      </c>
      <c r="E36" s="27">
        <v>-1.9599999999999999E-2</v>
      </c>
      <c r="F36" s="28">
        <v>1</v>
      </c>
      <c r="G36" s="12">
        <v>1.6199999999999999E-2</v>
      </c>
      <c r="H36" s="13">
        <v>1</v>
      </c>
      <c r="I36" s="27">
        <v>2.9600000000000001E-2</v>
      </c>
      <c r="J36" s="28">
        <v>1</v>
      </c>
      <c r="K36" s="12">
        <v>2.2200000000000001E-2</v>
      </c>
      <c r="L36" s="13">
        <v>1</v>
      </c>
      <c r="M36" s="27">
        <v>4.07E-2</v>
      </c>
      <c r="N36" s="28">
        <v>1</v>
      </c>
      <c r="O36" s="12">
        <v>4.7500000000000001E-2</v>
      </c>
      <c r="P36" s="13">
        <v>1</v>
      </c>
      <c r="Q36" s="27">
        <v>-7.4000000000000003E-3</v>
      </c>
      <c r="R36" s="28">
        <v>1</v>
      </c>
      <c r="S36" s="12">
        <v>-3.2899999999999999E-2</v>
      </c>
      <c r="T36" s="13">
        <v>1</v>
      </c>
      <c r="U36" s="27">
        <v>-3.2300000000000002E-2</v>
      </c>
      <c r="V36" s="28">
        <v>1</v>
      </c>
      <c r="W36" s="12">
        <v>6.3100000000000003E-2</v>
      </c>
      <c r="X36" s="13">
        <v>1</v>
      </c>
      <c r="Y36" s="27">
        <v>4.0399999999999998E-2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39">
        <v>44927</v>
      </c>
      <c r="D39" s="40"/>
      <c r="E39" s="37">
        <v>44958</v>
      </c>
      <c r="F39" s="38"/>
      <c r="G39" s="39">
        <v>44986</v>
      </c>
      <c r="H39" s="40"/>
      <c r="I39" s="37">
        <v>45017</v>
      </c>
      <c r="J39" s="38"/>
      <c r="K39" s="39">
        <v>45047</v>
      </c>
      <c r="L39" s="40"/>
      <c r="M39" s="37">
        <v>45078</v>
      </c>
      <c r="N39" s="38"/>
      <c r="O39" s="39">
        <v>45108</v>
      </c>
      <c r="P39" s="40"/>
      <c r="Q39" s="37">
        <v>45139</v>
      </c>
      <c r="R39" s="38"/>
      <c r="S39" s="39">
        <v>45170</v>
      </c>
      <c r="T39" s="40"/>
      <c r="U39" s="37">
        <v>45200</v>
      </c>
      <c r="V39" s="38"/>
      <c r="W39" s="39">
        <v>45231</v>
      </c>
      <c r="X39" s="40"/>
      <c r="Y39" s="37">
        <v>45261</v>
      </c>
      <c r="Z39" s="38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4.5600000000000002E-2</v>
      </c>
      <c r="D41" s="17">
        <v>0.98673453353553398</v>
      </c>
      <c r="E41" s="29">
        <v>-1.37E-2</v>
      </c>
      <c r="F41" s="30">
        <v>0.974993159543178</v>
      </c>
      <c r="G41" s="16">
        <v>1.3599999999999999E-2</v>
      </c>
      <c r="H41" s="17">
        <v>0.98551331896575001</v>
      </c>
      <c r="I41" s="29">
        <v>3.1699999999999999E-2</v>
      </c>
      <c r="J41" s="30">
        <v>0.98360641464360599</v>
      </c>
      <c r="K41" s="16">
        <v>2.3E-2</v>
      </c>
      <c r="L41" s="17">
        <v>0.98379663823809405</v>
      </c>
      <c r="M41" s="29">
        <v>4.02E-2</v>
      </c>
      <c r="N41" s="30">
        <v>0.987115788014719</v>
      </c>
      <c r="O41" s="16">
        <v>4.8500000000000001E-2</v>
      </c>
      <c r="P41" s="17">
        <v>0.99421367748850398</v>
      </c>
      <c r="Q41" s="29">
        <v>-5.7000000000000002E-3</v>
      </c>
      <c r="R41" s="30">
        <v>0.99430900725121096</v>
      </c>
      <c r="S41" s="16">
        <v>-3.2399999999999998E-2</v>
      </c>
      <c r="T41" s="17">
        <v>0.99418499925154402</v>
      </c>
      <c r="U41" s="29">
        <v>-2.8500000000000001E-2</v>
      </c>
      <c r="V41" s="30">
        <v>0.99373321005918402</v>
      </c>
      <c r="W41" s="16">
        <v>5.7700000000000001E-2</v>
      </c>
      <c r="X41" s="17">
        <v>0.99470207064736405</v>
      </c>
      <c r="Y41" s="29">
        <v>3.9600000000000003E-2</v>
      </c>
      <c r="Z41" s="30">
        <v>0.99629362236394603</v>
      </c>
    </row>
    <row r="42" spans="2:26" x14ac:dyDescent="0.25">
      <c r="B42" s="10" t="s">
        <v>37</v>
      </c>
      <c r="C42" s="8">
        <v>1.1999999999999999E-3</v>
      </c>
      <c r="D42" s="9">
        <v>1.32654664644665E-2</v>
      </c>
      <c r="E42" s="25">
        <v>-5.8999999999999999E-3</v>
      </c>
      <c r="F42" s="26">
        <v>2.5006840456821701E-2</v>
      </c>
      <c r="G42" s="8">
        <v>2.5999999999999999E-3</v>
      </c>
      <c r="H42" s="9">
        <v>1.44866810342498E-2</v>
      </c>
      <c r="I42" s="25">
        <v>-2.0999999999999999E-3</v>
      </c>
      <c r="J42" s="26">
        <v>1.63935853563946E-2</v>
      </c>
      <c r="K42" s="8">
        <v>-7.9999999999999603E-4</v>
      </c>
      <c r="L42" s="9">
        <v>1.62033617619066E-2</v>
      </c>
      <c r="M42" s="25">
        <v>5.0000000000000305E-4</v>
      </c>
      <c r="N42" s="26">
        <v>1.28842119852812E-2</v>
      </c>
      <c r="O42" s="8">
        <v>-9.99999999999992E-4</v>
      </c>
      <c r="P42" s="9">
        <v>5.7863225114959897E-3</v>
      </c>
      <c r="Q42" s="25">
        <v>-1.6999999999999999E-3</v>
      </c>
      <c r="R42" s="26">
        <v>5.6909927487891398E-3</v>
      </c>
      <c r="S42" s="8">
        <v>-4.99999999999996E-4</v>
      </c>
      <c r="T42" s="9">
        <v>5.8150007484566498E-3</v>
      </c>
      <c r="U42" s="25">
        <v>-3.8E-3</v>
      </c>
      <c r="V42" s="26">
        <v>6.26678994081626E-3</v>
      </c>
      <c r="W42" s="8">
        <v>5.4000000000000003E-3</v>
      </c>
      <c r="X42" s="9">
        <v>5.2979293526360296E-3</v>
      </c>
      <c r="Y42" s="25">
        <v>8.0000000000000101E-4</v>
      </c>
      <c r="Z42" s="26">
        <v>3.7063776360543301E-3</v>
      </c>
    </row>
    <row r="43" spans="2:26" x14ac:dyDescent="0.25">
      <c r="B43" s="11" t="s">
        <v>33</v>
      </c>
      <c r="C43" s="12">
        <v>4.6800000000000001E-2</v>
      </c>
      <c r="D43" s="13">
        <v>1</v>
      </c>
      <c r="E43" s="27">
        <v>-1.9599999999999999E-2</v>
      </c>
      <c r="F43" s="28">
        <v>1</v>
      </c>
      <c r="G43" s="12">
        <v>1.6199999999999999E-2</v>
      </c>
      <c r="H43" s="13">
        <v>1</v>
      </c>
      <c r="I43" s="27">
        <v>2.9600000000000001E-2</v>
      </c>
      <c r="J43" s="28">
        <v>1</v>
      </c>
      <c r="K43" s="12">
        <v>2.2200000000000001E-2</v>
      </c>
      <c r="L43" s="13">
        <v>1</v>
      </c>
      <c r="M43" s="27">
        <v>4.07E-2</v>
      </c>
      <c r="N43" s="28">
        <v>1</v>
      </c>
      <c r="O43" s="12">
        <v>4.7500000000000001E-2</v>
      </c>
      <c r="P43" s="13">
        <v>1</v>
      </c>
      <c r="Q43" s="27">
        <v>-7.4000000000000003E-3</v>
      </c>
      <c r="R43" s="28">
        <v>1</v>
      </c>
      <c r="S43" s="12">
        <v>-3.2899999999999999E-2</v>
      </c>
      <c r="T43" s="13">
        <v>1</v>
      </c>
      <c r="U43" s="27">
        <v>-3.2300000000000002E-2</v>
      </c>
      <c r="V43" s="28">
        <v>1</v>
      </c>
      <c r="W43" s="12">
        <v>6.3100000000000003E-2</v>
      </c>
      <c r="X43" s="13">
        <v>1</v>
      </c>
      <c r="Y43" s="27">
        <v>4.0399999999999998E-2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9.9688832000000005E-4</v>
      </c>
      <c r="D48" s="9">
        <v>0.17517298065801401</v>
      </c>
      <c r="E48" s="25">
        <v>5.1063230476491306E-3</v>
      </c>
      <c r="F48" s="26">
        <v>0.19274905819902299</v>
      </c>
      <c r="G48" s="8">
        <v>1.024071206797772E-2</v>
      </c>
      <c r="H48" s="9">
        <v>0.17025702395540701</v>
      </c>
      <c r="I48" s="25">
        <v>9.8070637066183242E-3</v>
      </c>
      <c r="J48" s="26">
        <v>0.15989479949187299</v>
      </c>
    </row>
    <row r="49" spans="2:10" x14ac:dyDescent="0.25">
      <c r="B49" s="10" t="s">
        <v>7</v>
      </c>
      <c r="C49" s="8">
        <v>1.2999797360000453E-3</v>
      </c>
      <c r="D49" s="9">
        <v>0.23399737056883599</v>
      </c>
      <c r="E49" s="25">
        <v>3.7050126749824663E-3</v>
      </c>
      <c r="F49" s="26">
        <v>0.243351492403894</v>
      </c>
      <c r="G49" s="8">
        <v>6.8197011263002594E-3</v>
      </c>
      <c r="H49" s="9">
        <v>0.31234546766896398</v>
      </c>
      <c r="I49" s="25">
        <v>1.1054196163580388E-2</v>
      </c>
      <c r="J49" s="26">
        <v>0.296415550224569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2.0120181315936102E-6</v>
      </c>
      <c r="E53" s="25">
        <v>0</v>
      </c>
      <c r="F53" s="26">
        <v>1.7669267158905101E-6</v>
      </c>
      <c r="G53" s="8">
        <v>0</v>
      </c>
      <c r="H53" s="9">
        <v>1.57174021709435E-6</v>
      </c>
      <c r="I53" s="25">
        <v>0</v>
      </c>
      <c r="J53" s="26">
        <v>1.3354769906190999E-6</v>
      </c>
    </row>
    <row r="54" spans="2:10" x14ac:dyDescent="0.25">
      <c r="B54" s="10" t="s">
        <v>17</v>
      </c>
      <c r="C54" s="8">
        <v>-9.4356099640000579E-3</v>
      </c>
      <c r="D54" s="9">
        <v>0.20786109576217099</v>
      </c>
      <c r="E54" s="25">
        <v>7.1986607661185253E-3</v>
      </c>
      <c r="F54" s="26">
        <v>0.20282385747721399</v>
      </c>
      <c r="G54" s="8">
        <v>1.4309125151283686E-2</v>
      </c>
      <c r="H54" s="9">
        <v>0.20246512628025901</v>
      </c>
      <c r="I54" s="25">
        <v>2.0652745627965041E-2</v>
      </c>
      <c r="J54" s="26">
        <v>0.19019036427639999</v>
      </c>
    </row>
    <row r="55" spans="2:10" x14ac:dyDescent="0.25">
      <c r="B55" s="10" t="s">
        <v>44</v>
      </c>
      <c r="C55" s="8">
        <v>2.4859465120000212E-2</v>
      </c>
      <c r="D55" s="9">
        <v>0.34875686720118498</v>
      </c>
      <c r="E55" s="25">
        <v>6.9528600521800599E-2</v>
      </c>
      <c r="F55" s="26">
        <v>0.34137743990770503</v>
      </c>
      <c r="G55" s="8">
        <v>7.8200000000000006E-2</v>
      </c>
      <c r="H55" s="9">
        <v>0.32943766237655497</v>
      </c>
      <c r="I55" s="25">
        <v>9.9900000000000003E-2</v>
      </c>
      <c r="J55" s="26">
        <v>0.33732625565878999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-9.9999999999988987E-5</v>
      </c>
      <c r="D58" s="9">
        <v>4.0585785846815903E-6</v>
      </c>
      <c r="E58" s="25">
        <v>-9.9999999999988987E-5</v>
      </c>
      <c r="F58" s="26">
        <v>1.39604511626263E-6</v>
      </c>
      <c r="G58" s="8">
        <v>-1.0000000050247593E-8</v>
      </c>
      <c r="H58" s="9">
        <v>5.1522740950990395E-7</v>
      </c>
      <c r="I58" s="25">
        <v>9.9989998999960861E-5</v>
      </c>
      <c r="J58" s="26">
        <v>0</v>
      </c>
    </row>
    <row r="59" spans="2:10" x14ac:dyDescent="0.25">
      <c r="B59" s="10" t="s">
        <v>25</v>
      </c>
      <c r="C59" s="8">
        <v>2.4849807487999698E-2</v>
      </c>
      <c r="D59" s="9">
        <v>2.00560660120295E-2</v>
      </c>
      <c r="E59" s="25">
        <v>5.6375552538168172E-2</v>
      </c>
      <c r="F59" s="26">
        <v>6.4042711734072603E-3</v>
      </c>
      <c r="G59" s="8">
        <v>3.8379982114597366E-2</v>
      </c>
      <c r="H59" s="9">
        <v>-2.0127705999207501E-2</v>
      </c>
      <c r="I59" s="25">
        <v>8.7900000000000006E-2</v>
      </c>
      <c r="J59" s="26">
        <v>1.38709522728687E-2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-1.0000000050247593E-8</v>
      </c>
      <c r="D62" s="9">
        <v>5.4766157978123698E-3</v>
      </c>
      <c r="E62" s="25">
        <v>9.9989998999960861E-5</v>
      </c>
      <c r="F62" s="26">
        <v>4.9338805497003198E-3</v>
      </c>
      <c r="G62" s="8">
        <v>1.9999999799980017E-4</v>
      </c>
      <c r="H62" s="9">
        <v>4.51990338229428E-3</v>
      </c>
      <c r="I62" s="25">
        <v>3.0000999499923964E-4</v>
      </c>
      <c r="J62" s="26">
        <v>3.9111572883425002E-3</v>
      </c>
    </row>
    <row r="63" spans="2:10" x14ac:dyDescent="0.25">
      <c r="B63" s="10" t="s">
        <v>29</v>
      </c>
      <c r="C63" s="8">
        <v>9.9979999999888491E-5</v>
      </c>
      <c r="D63" s="9">
        <v>7.5812931241959801E-3</v>
      </c>
      <c r="E63" s="25">
        <v>9.9979999999888491E-5</v>
      </c>
      <c r="F63" s="26">
        <v>7.2728082684313296E-3</v>
      </c>
      <c r="G63" s="8">
        <v>9.9979999999888491E-5</v>
      </c>
      <c r="H63" s="9">
        <v>1.5084943864878301E-4</v>
      </c>
      <c r="I63" s="25">
        <v>9.996999900008241E-5</v>
      </c>
      <c r="J63" s="26">
        <v>-1.6104146898053399E-3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2.9981996000016942E-4</v>
      </c>
      <c r="D66" s="9">
        <v>1.0916402790412201E-3</v>
      </c>
      <c r="E66" s="25">
        <v>3.9954978002842978E-4</v>
      </c>
      <c r="F66" s="26">
        <v>1.0840290487928699E-3</v>
      </c>
      <c r="G66" s="8">
        <v>4.9936960708918399E-4</v>
      </c>
      <c r="H66" s="9">
        <v>9.4958592945249703E-4</v>
      </c>
      <c r="I66" s="25">
        <v>-3.0107982952309875E-4</v>
      </c>
      <c r="J66" s="26">
        <v>-2.8144953815451E-14</v>
      </c>
    </row>
    <row r="67" spans="2:10" x14ac:dyDescent="0.25">
      <c r="B67" s="11" t="s">
        <v>42</v>
      </c>
      <c r="C67" s="12">
        <v>4.2870320659999919E-2</v>
      </c>
      <c r="D67" s="13">
        <v>1</v>
      </c>
      <c r="E67" s="35">
        <v>0.14241366932774718</v>
      </c>
      <c r="F67" s="28">
        <v>1</v>
      </c>
      <c r="G67" s="12">
        <v>0.14874886006524785</v>
      </c>
      <c r="H67" s="13">
        <v>1</v>
      </c>
      <c r="I67" s="27">
        <v>0.22951289566163993</v>
      </c>
      <c r="J67" s="28">
        <v>1</v>
      </c>
    </row>
    <row r="68" spans="2:10" x14ac:dyDescent="0.25">
      <c r="B68" s="31" t="s">
        <v>39</v>
      </c>
      <c r="C68" s="43">
        <f>C28+E28+G28</f>
        <v>144707.6095399998</v>
      </c>
      <c r="D68" s="44"/>
      <c r="E68" s="41">
        <v>492355.42200999998</v>
      </c>
      <c r="F68" s="42"/>
      <c r="G68" s="43">
        <v>505913.71671000001</v>
      </c>
      <c r="H68" s="44"/>
      <c r="I68" s="41">
        <v>850422.31050000002</v>
      </c>
      <c r="J68" s="42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-1.4713309899999971E-2</v>
      </c>
      <c r="D73" s="17">
        <v>0.66072793416964404</v>
      </c>
      <c r="E73" s="25">
        <v>8.3184003061624878E-3</v>
      </c>
      <c r="F73" s="30">
        <v>0.67867986061944197</v>
      </c>
      <c r="G73" s="8">
        <f>(1+E73)*(1+S34)*(1+Q34)*(1+O34)-1</f>
        <v>2.1426039011138043E-2</v>
      </c>
      <c r="H73" s="17">
        <v>0.71456125130931403</v>
      </c>
      <c r="I73" s="25">
        <v>3.4067922536403117E-2</v>
      </c>
      <c r="J73" s="30">
        <v>0.68239621027652797</v>
      </c>
    </row>
    <row r="74" spans="2:10" x14ac:dyDescent="0.25">
      <c r="B74" s="10" t="s">
        <v>35</v>
      </c>
      <c r="C74" s="8">
        <v>5.7661118261999822E-2</v>
      </c>
      <c r="D74" s="9">
        <v>0.33927206583035602</v>
      </c>
      <c r="E74" s="25">
        <v>0.15410233881367499</v>
      </c>
      <c r="F74" s="26">
        <v>0.32132013938055798</v>
      </c>
      <c r="G74" s="8">
        <v>0.1273</v>
      </c>
      <c r="H74" s="9">
        <v>0.28543874869068597</v>
      </c>
      <c r="I74" s="25">
        <v>0.19539999999999999</v>
      </c>
      <c r="J74" s="26">
        <v>0.31760378972347197</v>
      </c>
    </row>
    <row r="75" spans="2:10" x14ac:dyDescent="0.25">
      <c r="B75" s="11" t="s">
        <v>42</v>
      </c>
      <c r="C75" s="12">
        <v>4.2947808361999851E-2</v>
      </c>
      <c r="D75" s="13">
        <v>1</v>
      </c>
      <c r="E75" s="35">
        <v>0.16242073911983748</v>
      </c>
      <c r="F75" s="28">
        <v>1</v>
      </c>
      <c r="G75" s="12">
        <v>0.14872603901113804</v>
      </c>
      <c r="H75" s="13">
        <v>1</v>
      </c>
      <c r="I75" s="27">
        <v>0.22946792253640311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4.5000623808000038E-2</v>
      </c>
      <c r="D80" s="17">
        <v>0.98551331896575001</v>
      </c>
      <c r="E80" s="25">
        <v>0.14696161541409777</v>
      </c>
      <c r="F80" s="30">
        <v>0.987115788014719</v>
      </c>
      <c r="G80" s="8">
        <v>0.15640000000000001</v>
      </c>
      <c r="H80" s="17">
        <v>0.99418499925154402</v>
      </c>
      <c r="I80" s="25">
        <v>0.23480000000000001</v>
      </c>
      <c r="J80" s="30">
        <v>0.99629362236394603</v>
      </c>
    </row>
    <row r="81" spans="2:10" x14ac:dyDescent="0.25">
      <c r="B81" s="10" t="s">
        <v>37</v>
      </c>
      <c r="C81" s="8">
        <v>-2.1193184080000593E-3</v>
      </c>
      <c r="D81" s="9">
        <v>1.44866810342498E-2</v>
      </c>
      <c r="E81" s="25">
        <v>-4.5140016930443894E-3</v>
      </c>
      <c r="F81" s="26">
        <v>1.28842119852812E-2</v>
      </c>
      <c r="G81" s="8">
        <v>-7.6965215014949129E-3</v>
      </c>
      <c r="H81" s="9">
        <v>5.8150007484566498E-3</v>
      </c>
      <c r="I81" s="25">
        <v>-5.334101361678778E-3</v>
      </c>
      <c r="J81" s="26">
        <v>3.7063776360543301E-3</v>
      </c>
    </row>
    <row r="82" spans="2:10" x14ac:dyDescent="0.25">
      <c r="B82" s="11" t="s">
        <v>42</v>
      </c>
      <c r="C82" s="12">
        <v>4.2881305399999979E-2</v>
      </c>
      <c r="D82" s="13">
        <v>1</v>
      </c>
      <c r="E82" s="35">
        <v>0.14244761372105338</v>
      </c>
      <c r="F82" s="28">
        <v>1</v>
      </c>
      <c r="G82" s="12">
        <v>0.1487034784985051</v>
      </c>
      <c r="H82" s="13">
        <v>1</v>
      </c>
      <c r="I82" s="27">
        <v>0.22946589863832123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M6:N6"/>
    <mergeCell ref="C28:D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39:N39"/>
    <mergeCell ref="O39:P39"/>
    <mergeCell ref="Q39:R39"/>
    <mergeCell ref="S39:T39"/>
    <mergeCell ref="U39:V39"/>
    <mergeCell ref="C70:J70"/>
    <mergeCell ref="C39:D39"/>
    <mergeCell ref="E39:F39"/>
    <mergeCell ref="G39:H39"/>
    <mergeCell ref="I39:J39"/>
    <mergeCell ref="C68:D6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G68:H68"/>
    <mergeCell ref="S28:T28"/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O28:P28"/>
    <mergeCell ref="U28:V28"/>
    <mergeCell ref="Q6:R6"/>
    <mergeCell ref="S6:T6"/>
    <mergeCell ref="Y28:Z28"/>
    <mergeCell ref="W28:X2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6:V6"/>
    <mergeCell ref="K39:L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