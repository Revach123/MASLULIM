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calcChain.xml><?xml version="1.0" encoding="utf-8"?>
<calcChain xmlns="http://schemas.openxmlformats.org/spreadsheetml/2006/main">
  <c r="C68" i="6" l="1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<sst xmlns="http://schemas.openxmlformats.org/spreadsheetml/2006/main" count="190" uniqueCount="50">
  <si>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</si>
  <si>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</si>
  <si>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</si>
  <si>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</si>
  <si>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</si>
  <si>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</si>
  <si>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</si>
  <si>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</si>
  <si>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</si>
  <si>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</si>
  <si>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</si>
  <si>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</si>
  <si>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</si>
  <si>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</si>
  <si>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</si>
  <si>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</si>
  <si>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</si>
  <si>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</si>
  <si>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</si>
  <si>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</si>
  <si>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</si>
  <si>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</si>
  <si>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</si>
  <si>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</si>
  <si>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</si>
  <si>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</si>
  <si>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</si>
  <si>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</si>
  <si>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</si>
  <si>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</si>
  <si>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</si>
  <si>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</si>
  <si>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</si>
  <si>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</si>
  <si>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</si>
  <si>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</si>
  <si>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</si>
  <si>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</si>
  <si>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</si>
  <si>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</si>
  <si>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</si>
  <si>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</si>
  <si>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</si>
  <si>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</si>
  <si>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</si>
  <si>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</si>
  <si>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</si>
  <si>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</si>
  <si>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</si>
  <si>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1998אנליסט השתלמות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</si>
</sst>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zoomScaleNormal="100" workbookViewId="0"/>
  </sheetViews>
  <sheetFormatPr defaultColWidth="9.140625" defaultRowHeight="15" x14ac:dyDescent="0.25"/>
  <cols>
    <col min="1" max="1" width="2.140625" style="1" customWidth="1"/>
    <col min="2" max="2" width="31.285156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45" t="s">
        <v>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7"/>
      <c r="AE5" s="3" t="s">
        <v>1</v>
      </c>
    </row>
    <row r="6" spans="2:31" ht="15.75" x14ac:dyDescent="0.25">
      <c r="B6" s="21" t="s">
        <v>41</v>
      </c>
      <c r="C6" s="39">
        <v>44927</v>
      </c>
      <c r="D6" s="40"/>
      <c r="E6" s="41">
        <v>44958</v>
      </c>
      <c r="F6" s="42"/>
      <c r="G6" s="39">
        <v>44986</v>
      </c>
      <c r="H6" s="40"/>
      <c r="I6" s="41">
        <v>45017</v>
      </c>
      <c r="J6" s="42"/>
      <c r="K6" s="39">
        <v>45047</v>
      </c>
      <c r="L6" s="40"/>
      <c r="M6" s="41">
        <v>45078</v>
      </c>
      <c r="N6" s="42"/>
      <c r="O6" s="39">
        <v>45108</v>
      </c>
      <c r="P6" s="40"/>
      <c r="Q6" s="41">
        <v>45139</v>
      </c>
      <c r="R6" s="42"/>
      <c r="S6" s="39">
        <v>45170</v>
      </c>
      <c r="T6" s="40"/>
      <c r="U6" s="41">
        <v>45200</v>
      </c>
      <c r="V6" s="42"/>
      <c r="W6" s="39">
        <v>45231</v>
      </c>
      <c r="X6" s="40"/>
      <c r="Y6" s="41">
        <v>45261</v>
      </c>
      <c r="Z6" s="42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8.0000000000000004E-4</v>
      </c>
      <c r="D8" s="9">
        <v>0.164027673413111</v>
      </c>
      <c r="E8" s="25">
        <v>6.9999999999999999E-4</v>
      </c>
      <c r="F8" s="26">
        <v>0.135267572609687</v>
      </c>
      <c r="G8" s="8">
        <v>-4.0000000000000002E-4</v>
      </c>
      <c r="H8" s="9">
        <v>0.10971617931305</v>
      </c>
      <c r="I8" s="25">
        <v>1.4E-3</v>
      </c>
      <c r="J8" s="26">
        <v>0.10792906865160801</v>
      </c>
      <c r="K8" s="8">
        <v>5.9999999999999995E-4</v>
      </c>
      <c r="L8" s="9">
        <v>8.4058828311023806E-2</v>
      </c>
      <c r="M8" s="25">
        <v>5.0000000000000001E-4</v>
      </c>
      <c r="N8" s="26">
        <v>8.1952699591716693E-2</v>
      </c>
      <c r="O8" s="8">
        <v>6.9999999999999999E-4</v>
      </c>
      <c r="P8" s="9">
        <v>0.100543158703948</v>
      </c>
      <c r="Q8" s="25">
        <v>1.1999999999999999E-3</v>
      </c>
      <c r="R8" s="26">
        <v>9.1075799799505003E-2</v>
      </c>
      <c r="S8" s="8">
        <v>5.0000000000000001E-4</v>
      </c>
      <c r="T8" s="9">
        <v>8.9869535159899705E-2</v>
      </c>
      <c r="U8" s="25">
        <v>1.5E-3</v>
      </c>
      <c r="V8" s="26">
        <v>0.10001037450733501</v>
      </c>
      <c r="W8" s="8">
        <v>-1.5E-3</v>
      </c>
      <c r="X8" s="9">
        <v>0.10497377466794799</v>
      </c>
      <c r="Y8" s="25">
        <v>2.0000000000000001E-4</v>
      </c>
      <c r="Z8" s="26">
        <v>0.123054337681426</v>
      </c>
      <c r="AE8" s="3" t="s">
        <v>8</v>
      </c>
    </row>
    <row r="9" spans="2:31" x14ac:dyDescent="0.25">
      <c r="B9" s="10" t="s">
        <v>7</v>
      </c>
      <c r="C9" s="8">
        <v>1.1999999999999999E-3</v>
      </c>
      <c r="D9" s="9">
        <v>0.19941583919678199</v>
      </c>
      <c r="E9" s="25">
        <v>-2.8E-3</v>
      </c>
      <c r="F9" s="26">
        <v>0.215594015891312</v>
      </c>
      <c r="G9" s="8">
        <v>2.5000000000000001E-3</v>
      </c>
      <c r="H9" s="9">
        <v>0.22303013034819399</v>
      </c>
      <c r="I9" s="25">
        <v>2.9999999999999997E-4</v>
      </c>
      <c r="J9" s="26">
        <v>0.22181089202979401</v>
      </c>
      <c r="K9" s="8">
        <v>1.1000000000000001E-3</v>
      </c>
      <c r="L9" s="9">
        <v>0.23558597519775801</v>
      </c>
      <c r="M9" s="25">
        <v>8.0000000000000004E-4</v>
      </c>
      <c r="N9" s="26">
        <v>0.24147275800290799</v>
      </c>
      <c r="O9" s="8">
        <v>6.9999999999999999E-4</v>
      </c>
      <c r="P9" s="9">
        <v>0.232398043355631</v>
      </c>
      <c r="Q9" s="25">
        <v>8.9999999999999998E-4</v>
      </c>
      <c r="R9" s="26">
        <v>0.24873573810546401</v>
      </c>
      <c r="S9" s="8">
        <v>-1E-3</v>
      </c>
      <c r="T9" s="9">
        <v>0.267689054067834</v>
      </c>
      <c r="U9" s="25">
        <v>1.2999999999999999E-3</v>
      </c>
      <c r="V9" s="26">
        <v>0.271707817118095</v>
      </c>
      <c r="W9" s="8">
        <v>1.5E-3</v>
      </c>
      <c r="X9" s="9">
        <v>0.27007117699901001</v>
      </c>
      <c r="Y9" s="25">
        <v>2E-3</v>
      </c>
      <c r="Z9" s="26">
        <v>0.25858651505437602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5.5491144438467701E-4</v>
      </c>
      <c r="E11" s="25">
        <v>0</v>
      </c>
      <c r="F11" s="26">
        <v>5.7453719860640895E-4</v>
      </c>
      <c r="G11" s="8">
        <v>0</v>
      </c>
      <c r="H11" s="9">
        <v>5.6846687528247595E-4</v>
      </c>
      <c r="I11" s="25">
        <v>0</v>
      </c>
      <c r="J11" s="26">
        <v>5.6337782633577899E-4</v>
      </c>
      <c r="K11" s="8">
        <v>0</v>
      </c>
      <c r="L11" s="9">
        <v>5.6181025925915E-4</v>
      </c>
      <c r="M11" s="25">
        <v>0</v>
      </c>
      <c r="N11" s="26">
        <v>5.5642160692113301E-4</v>
      </c>
      <c r="O11" s="8">
        <v>0</v>
      </c>
      <c r="P11" s="9">
        <v>5.3891378348050695E-4</v>
      </c>
      <c r="Q11" s="25">
        <v>0</v>
      </c>
      <c r="R11" s="26">
        <v>5.3421192730206601E-4</v>
      </c>
      <c r="S11" s="8">
        <v>0</v>
      </c>
      <c r="T11" s="9">
        <v>5.3207590813451704E-4</v>
      </c>
      <c r="U11" s="25">
        <v>0</v>
      </c>
      <c r="V11" s="26">
        <v>5.3439431185607698E-4</v>
      </c>
      <c r="W11" s="8">
        <v>0</v>
      </c>
      <c r="X11" s="9">
        <v>5.0430306018822203E-4</v>
      </c>
      <c r="Y11" s="25">
        <v>0</v>
      </c>
      <c r="Z11" s="26">
        <v>4.7797904952373999E-4</v>
      </c>
      <c r="AE11" s="3" t="s">
        <v>14</v>
      </c>
    </row>
    <row r="12" spans="2:31" x14ac:dyDescent="0.25">
      <c r="B12" s="10" t="s">
        <v>13</v>
      </c>
      <c r="C12" s="8">
        <v>4.4999999999999997E-3</v>
      </c>
      <c r="D12" s="9">
        <v>0.18281152514862301</v>
      </c>
      <c r="E12" s="25">
        <v>-3.3E-3</v>
      </c>
      <c r="F12" s="26">
        <v>0.19815573055837099</v>
      </c>
      <c r="G12" s="8">
        <v>2.8E-3</v>
      </c>
      <c r="H12" s="9">
        <v>0.21379806740451299</v>
      </c>
      <c r="I12" s="25">
        <v>2.7000000000000001E-3</v>
      </c>
      <c r="J12" s="26">
        <v>0.20820603747003799</v>
      </c>
      <c r="K12" s="8">
        <v>2.7000000000000001E-3</v>
      </c>
      <c r="L12" s="9">
        <v>0.208631777614979</v>
      </c>
      <c r="M12" s="25">
        <v>4.0000000000000002E-4</v>
      </c>
      <c r="N12" s="26">
        <v>0.209330526852508</v>
      </c>
      <c r="O12" s="8">
        <v>2.0999999999999999E-3</v>
      </c>
      <c r="P12" s="9">
        <v>0.209181919562373</v>
      </c>
      <c r="Q12" s="25">
        <v>2E-3</v>
      </c>
      <c r="R12" s="26">
        <v>0.20836351524983701</v>
      </c>
      <c r="S12" s="8">
        <v>-1E-4</v>
      </c>
      <c r="T12" s="9">
        <v>0.21491474812996</v>
      </c>
      <c r="U12" s="25">
        <v>-2.2000000000000001E-3</v>
      </c>
      <c r="V12" s="26">
        <v>0.22343689078894099</v>
      </c>
      <c r="W12" s="8">
        <v>4.3E-3</v>
      </c>
      <c r="X12" s="9">
        <v>0.21428064489576601</v>
      </c>
      <c r="Y12" s="25">
        <v>3.3E-3</v>
      </c>
      <c r="Z12" s="26">
        <v>0.21094848631746299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9.8622014378139302E-3</v>
      </c>
      <c r="E13" s="25">
        <v>-2.9999999999999997E-4</v>
      </c>
      <c r="F13" s="26">
        <v>8.7267303284139404E-3</v>
      </c>
      <c r="G13" s="8">
        <v>-8.0000000000000004E-4</v>
      </c>
      <c r="H13" s="9">
        <v>7.8666324360242099E-3</v>
      </c>
      <c r="I13" s="25">
        <v>2.9999999999999997E-4</v>
      </c>
      <c r="J13" s="26">
        <v>8.3765249013748305E-3</v>
      </c>
      <c r="K13" s="8">
        <v>2.9999999999999997E-4</v>
      </c>
      <c r="L13" s="9">
        <v>8.1108902565459606E-3</v>
      </c>
      <c r="M13" s="25">
        <v>1E-4</v>
      </c>
      <c r="N13" s="26">
        <v>7.9834772172504096E-3</v>
      </c>
      <c r="O13" s="8">
        <v>1E-4</v>
      </c>
      <c r="P13" s="9">
        <v>7.3673205470995498E-3</v>
      </c>
      <c r="Q13" s="25">
        <v>1E-4</v>
      </c>
      <c r="R13" s="26">
        <v>8.7645944175204996E-3</v>
      </c>
      <c r="S13" s="8">
        <v>-6.9999999999999999E-4</v>
      </c>
      <c r="T13" s="9">
        <v>7.7284911128897302E-3</v>
      </c>
      <c r="U13" s="25">
        <v>-2.0000000000000001E-4</v>
      </c>
      <c r="V13" s="26">
        <v>7.4313854156115603E-3</v>
      </c>
      <c r="W13" s="8">
        <v>2.9999999999999997E-4</v>
      </c>
      <c r="X13" s="9">
        <v>7.4737557220632802E-3</v>
      </c>
      <c r="Y13" s="25">
        <v>2.9999999999999997E-4</v>
      </c>
      <c r="Z13" s="26">
        <v>6.8735691570408104E-3</v>
      </c>
      <c r="AE13" s="3" t="s">
        <v>18</v>
      </c>
    </row>
    <row r="14" spans="2:31" x14ac:dyDescent="0.25">
      <c r="B14" s="10" t="s">
        <v>17</v>
      </c>
      <c r="C14" s="8">
        <v>3.8E-3</v>
      </c>
      <c r="D14" s="9">
        <v>0.21542908530108701</v>
      </c>
      <c r="E14" s="25">
        <v>-1.46E-2</v>
      </c>
      <c r="F14" s="26">
        <v>0.204417376765124</v>
      </c>
      <c r="G14" s="8">
        <v>-2.7000000000000001E-3</v>
      </c>
      <c r="H14" s="9">
        <v>0.203454393284005</v>
      </c>
      <c r="I14" s="25">
        <v>5.5999999999999999E-3</v>
      </c>
      <c r="J14" s="26">
        <v>0.20769959122697901</v>
      </c>
      <c r="K14" s="8">
        <v>4.1999999999999997E-3</v>
      </c>
      <c r="L14" s="9">
        <v>0.214611886100987</v>
      </c>
      <c r="M14" s="25">
        <v>6.7999999999999996E-3</v>
      </c>
      <c r="N14" s="26">
        <v>0.21861722306147599</v>
      </c>
      <c r="O14" s="8">
        <v>1.37E-2</v>
      </c>
      <c r="P14" s="9">
        <v>0.224834614351651</v>
      </c>
      <c r="Q14" s="25">
        <v>-2.5000000000000001E-3</v>
      </c>
      <c r="R14" s="26">
        <v>0.221686325351869</v>
      </c>
      <c r="S14" s="8">
        <v>-8.0000000000000004E-4</v>
      </c>
      <c r="T14" s="9">
        <v>0.218389068318288</v>
      </c>
      <c r="U14" s="25">
        <v>-2.64E-2</v>
      </c>
      <c r="V14" s="26">
        <v>0.19810919624586601</v>
      </c>
      <c r="W14" s="8">
        <v>1.7999999999999999E-2</v>
      </c>
      <c r="X14" s="9">
        <v>0.20460828969456499</v>
      </c>
      <c r="Y14" s="25">
        <v>1.3899999999999999E-2</v>
      </c>
      <c r="Z14" s="26">
        <v>0.20850179593165999</v>
      </c>
      <c r="AE14" s="3" t="s">
        <v>19</v>
      </c>
    </row>
    <row r="15" spans="2:31" x14ac:dyDescent="0.25">
      <c r="B15" s="10" t="s">
        <v>44</v>
      </c>
      <c r="C15" s="8">
        <v>7.7000000000000002E-3</v>
      </c>
      <c r="D15" s="9">
        <v>0.15340191958506499</v>
      </c>
      <c r="E15" s="25">
        <v>3.5999999999999999E-3</v>
      </c>
      <c r="F15" s="26">
        <v>0.16199690898074201</v>
      </c>
      <c r="G15" s="8">
        <v>1.5E-3</v>
      </c>
      <c r="H15" s="9">
        <v>0.16499282219149</v>
      </c>
      <c r="I15" s="25">
        <v>5.7000000000000002E-3</v>
      </c>
      <c r="J15" s="26">
        <v>0.16836845708450701</v>
      </c>
      <c r="K15" s="8">
        <v>3.8999999999999998E-3</v>
      </c>
      <c r="L15" s="9">
        <v>0.17087320704004899</v>
      </c>
      <c r="M15" s="25">
        <v>5.4999999999999997E-3</v>
      </c>
      <c r="N15" s="26">
        <v>0.173852999186355</v>
      </c>
      <c r="O15" s="8">
        <v>7.7000000000000002E-3</v>
      </c>
      <c r="P15" s="9">
        <v>0.174970758193084</v>
      </c>
      <c r="Q15" s="25">
        <v>5.0000000000000001E-4</v>
      </c>
      <c r="R15" s="26">
        <v>0.17305067802548199</v>
      </c>
      <c r="S15" s="8">
        <v>-5.1999999999999998E-3</v>
      </c>
      <c r="T15" s="9">
        <v>0.16359885284789</v>
      </c>
      <c r="U15" s="25">
        <v>2.5999999999999999E-3</v>
      </c>
      <c r="V15" s="26">
        <v>0.166199475218019</v>
      </c>
      <c r="W15" s="8">
        <v>1.8E-3</v>
      </c>
      <c r="X15" s="9">
        <v>0.15761231260907901</v>
      </c>
      <c r="Y15" s="25">
        <v>3.2000000000000002E-3</v>
      </c>
      <c r="Z15" s="26">
        <v>0.15135100980142399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4.0698734080989703E-3</v>
      </c>
      <c r="E17" s="25">
        <v>1E-4</v>
      </c>
      <c r="F17" s="26">
        <v>4.2922422983155397E-3</v>
      </c>
      <c r="G17" s="8">
        <v>0</v>
      </c>
      <c r="H17" s="9">
        <v>4.3710177175722799E-3</v>
      </c>
      <c r="I17" s="25">
        <v>2.9999999999999997E-4</v>
      </c>
      <c r="J17" s="26">
        <v>4.8520985091782499E-3</v>
      </c>
      <c r="K17" s="8">
        <v>0</v>
      </c>
      <c r="L17" s="9">
        <v>5.0635480966096701E-3</v>
      </c>
      <c r="M17" s="25">
        <v>1E-4</v>
      </c>
      <c r="N17" s="26">
        <v>5.2188636330802998E-3</v>
      </c>
      <c r="O17" s="8">
        <v>0</v>
      </c>
      <c r="P17" s="9">
        <v>5.2835013228963298E-3</v>
      </c>
      <c r="Q17" s="25">
        <v>1E-4</v>
      </c>
      <c r="R17" s="26">
        <v>5.5761613657058602E-3</v>
      </c>
      <c r="S17" s="8">
        <v>0</v>
      </c>
      <c r="T17" s="9">
        <v>5.7229439344899996E-3</v>
      </c>
      <c r="U17" s="25">
        <v>2.0000000000000001E-4</v>
      </c>
      <c r="V17" s="26">
        <v>6.0113497387905297E-3</v>
      </c>
      <c r="W17" s="8">
        <v>-2.0000000000000001E-4</v>
      </c>
      <c r="X17" s="9">
        <v>5.4851547193299202E-3</v>
      </c>
      <c r="Y17" s="25">
        <v>0</v>
      </c>
      <c r="Z17" s="26">
        <v>5.2006979239348997E-3</v>
      </c>
    </row>
    <row r="18" spans="2:31" x14ac:dyDescent="0.25">
      <c r="B18" s="10" t="s">
        <v>24</v>
      </c>
      <c r="C18" s="8">
        <v>0</v>
      </c>
      <c r="D18" s="9">
        <v>2.3887401483480301E-5</v>
      </c>
      <c r="E18" s="25">
        <v>0</v>
      </c>
      <c r="F18" s="26">
        <v>2.42741221170934E-5</v>
      </c>
      <c r="G18" s="8">
        <v>0</v>
      </c>
      <c r="H18" s="9">
        <v>1.6897929121842399E-5</v>
      </c>
      <c r="I18" s="25">
        <v>0</v>
      </c>
      <c r="J18" s="26">
        <v>1.60672236745517E-5</v>
      </c>
      <c r="K18" s="8">
        <v>0</v>
      </c>
      <c r="L18" s="9">
        <v>6.2495357408807996E-6</v>
      </c>
      <c r="M18" s="25">
        <v>0</v>
      </c>
      <c r="N18" s="26">
        <v>4.0984878462741498E-6</v>
      </c>
      <c r="O18" s="8">
        <v>0</v>
      </c>
      <c r="P18" s="9">
        <v>6.9503745507722999E-6</v>
      </c>
      <c r="Q18" s="25">
        <v>0</v>
      </c>
      <c r="R18" s="26">
        <v>9.5272994213350201E-7</v>
      </c>
      <c r="S18" s="8">
        <v>0</v>
      </c>
      <c r="T18" s="9">
        <v>2.0418985397988399E-5</v>
      </c>
      <c r="U18" s="25">
        <v>0</v>
      </c>
      <c r="V18" s="26">
        <v>1.13501398633467E-5</v>
      </c>
      <c r="W18" s="8">
        <v>0</v>
      </c>
      <c r="X18" s="9">
        <v>1.81549075776101E-5</v>
      </c>
      <c r="Y18" s="25">
        <v>1E-4</v>
      </c>
      <c r="Z18" s="26">
        <v>9.7149319363632803E-5</v>
      </c>
      <c r="AE18" s="3"/>
    </row>
    <row r="19" spans="2:31" x14ac:dyDescent="0.25">
      <c r="B19" s="10" t="s">
        <v>25</v>
      </c>
      <c r="C19" s="8">
        <v>7.7999999999999996E-3</v>
      </c>
      <c r="D19" s="9">
        <v>2.81780572242606E-3</v>
      </c>
      <c r="E19" s="25">
        <v>-4.7999999999999996E-3</v>
      </c>
      <c r="F19" s="26">
        <v>1.14268309237697E-3</v>
      </c>
      <c r="G19" s="8">
        <v>3.3999999999999998E-3</v>
      </c>
      <c r="H19" s="9">
        <v>6.4329712253805797E-3</v>
      </c>
      <c r="I19" s="25">
        <v>3.0999999999999999E-3</v>
      </c>
      <c r="J19" s="26">
        <v>9.6359244450022596E-3</v>
      </c>
      <c r="K19" s="8">
        <v>1.4E-3</v>
      </c>
      <c r="L19" s="9">
        <v>1.12587029280013E-2</v>
      </c>
      <c r="M19" s="25">
        <v>5.4999999999999997E-3</v>
      </c>
      <c r="N19" s="26">
        <v>2.1901279582317201E-3</v>
      </c>
      <c r="O19" s="8">
        <v>5.1999999999999998E-3</v>
      </c>
      <c r="P19" s="9">
        <v>7.2283343584436596E-3</v>
      </c>
      <c r="Q19" s="25">
        <v>-3.2000000000000002E-3</v>
      </c>
      <c r="R19" s="26">
        <v>4.5151347440583901E-3</v>
      </c>
      <c r="S19" s="8">
        <v>-6.6E-3</v>
      </c>
      <c r="T19" s="9">
        <v>-5.7474641203787199E-3</v>
      </c>
      <c r="U19" s="25">
        <v>-4.7999999999999996E-3</v>
      </c>
      <c r="V19" s="26">
        <v>-1.05898484943204E-2</v>
      </c>
      <c r="W19" s="8">
        <v>1.23E-2</v>
      </c>
      <c r="X19" s="9">
        <v>1.9519525283461299E-3</v>
      </c>
      <c r="Y19" s="25">
        <v>5.3E-3</v>
      </c>
      <c r="Z19" s="26">
        <v>4.1763977049080201E-3</v>
      </c>
      <c r="AE19" s="3"/>
    </row>
    <row r="20" spans="2:31" x14ac:dyDescent="0.25">
      <c r="B20" s="10" t="s">
        <v>26</v>
      </c>
      <c r="C20" s="8">
        <v>0</v>
      </c>
      <c r="D20" s="9">
        <v>9.9904808874308202E-5</v>
      </c>
      <c r="E20" s="25">
        <v>4.0000000000000002E-4</v>
      </c>
      <c r="F20" s="26">
        <v>3.9235017745207498E-4</v>
      </c>
      <c r="G20" s="8">
        <v>-2.9999999999999997E-4</v>
      </c>
      <c r="H20" s="9">
        <v>3.6031232039123201E-5</v>
      </c>
      <c r="I20" s="25">
        <v>-1E-4</v>
      </c>
      <c r="J20" s="26">
        <v>-2.4484527815095598E-4</v>
      </c>
      <c r="K20" s="8">
        <v>1E-4</v>
      </c>
      <c r="L20" s="9">
        <v>2.2827953386999001E-4</v>
      </c>
      <c r="M20" s="25">
        <v>0</v>
      </c>
      <c r="N20" s="26">
        <v>3.1440537904557299E-5</v>
      </c>
      <c r="O20" s="8">
        <v>-4.0000000000000002E-4</v>
      </c>
      <c r="P20" s="9">
        <v>1.1848397281792499E-4</v>
      </c>
      <c r="Q20" s="25">
        <v>1E-4</v>
      </c>
      <c r="R20" s="26">
        <v>-8.0654010806570998E-6</v>
      </c>
      <c r="S20" s="8">
        <v>0</v>
      </c>
      <c r="T20" s="9">
        <v>3.3363081859572803E-5</v>
      </c>
      <c r="U20" s="25">
        <v>6.9999999999999999E-4</v>
      </c>
      <c r="V20" s="26">
        <v>-3.3804262574451098E-5</v>
      </c>
      <c r="W20" s="8">
        <v>-4.0000000000000002E-4</v>
      </c>
      <c r="X20" s="9">
        <v>-1.94272668489078E-4</v>
      </c>
      <c r="Y20" s="25">
        <v>-5.0000000000000001E-4</v>
      </c>
      <c r="Z20" s="26">
        <v>-1.5727296550758601E-4</v>
      </c>
      <c r="AE20" s="3"/>
    </row>
    <row r="21" spans="2:31" x14ac:dyDescent="0.25">
      <c r="B21" s="10" t="s">
        <v>27</v>
      </c>
      <c r="C21" s="8">
        <v>0</v>
      </c>
      <c r="D21" s="9">
        <v>2.5290514366712499E-5</v>
      </c>
      <c r="E21" s="25">
        <v>0</v>
      </c>
      <c r="F21" s="26">
        <v>2.3484908875884398E-5</v>
      </c>
      <c r="G21" s="8">
        <v>0</v>
      </c>
      <c r="H21" s="9">
        <v>2.1227695127819301E-5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1.2756851369206399E-3</v>
      </c>
      <c r="S21" s="8">
        <v>0</v>
      </c>
      <c r="T21" s="9">
        <v>1.2136911608084801E-3</v>
      </c>
      <c r="U21" s="25">
        <v>0</v>
      </c>
      <c r="V21" s="26">
        <v>1.1616879735373399E-3</v>
      </c>
      <c r="W21" s="8">
        <v>0</v>
      </c>
      <c r="X21" s="9">
        <v>1.08977416007554E-3</v>
      </c>
      <c r="Y21" s="25">
        <v>0</v>
      </c>
      <c r="Z21" s="26">
        <v>9.3847813633653296E-4</v>
      </c>
    </row>
    <row r="22" spans="2:31" x14ac:dyDescent="0.25">
      <c r="B22" s="10" t="s">
        <v>28</v>
      </c>
      <c r="C22" s="8">
        <v>1E-4</v>
      </c>
      <c r="D22" s="9">
        <v>4.85536382942219E-2</v>
      </c>
      <c r="E22" s="25">
        <v>-1E-4</v>
      </c>
      <c r="F22" s="26">
        <v>4.7430488488001799E-2</v>
      </c>
      <c r="G22" s="8">
        <v>1E-4</v>
      </c>
      <c r="H22" s="9">
        <v>4.6143987546302098E-2</v>
      </c>
      <c r="I22" s="25">
        <v>2.9999999999999997E-4</v>
      </c>
      <c r="J22" s="26">
        <v>4.37355891013178E-2</v>
      </c>
      <c r="K22" s="8">
        <v>2.0000000000000001E-4</v>
      </c>
      <c r="L22" s="9">
        <v>4.1879723064413898E-2</v>
      </c>
      <c r="M22" s="25">
        <v>2.0000000000000001E-4</v>
      </c>
      <c r="N22" s="26">
        <v>4.0230502739179198E-2</v>
      </c>
      <c r="O22" s="8">
        <v>2.0000000000000001E-4</v>
      </c>
      <c r="P22" s="9">
        <v>3.7472517724000003E-2</v>
      </c>
      <c r="Q22" s="25">
        <v>2.0000000000000001E-4</v>
      </c>
      <c r="R22" s="26">
        <v>3.6256036366543898E-2</v>
      </c>
      <c r="S22" s="8">
        <v>2.0000000000000001E-4</v>
      </c>
      <c r="T22" s="9">
        <v>3.5684119877745099E-2</v>
      </c>
      <c r="U22" s="25">
        <v>-2.0000000000000001E-4</v>
      </c>
      <c r="V22" s="26">
        <v>3.4786672852136699E-2</v>
      </c>
      <c r="W22" s="8">
        <v>5.9999999999999995E-4</v>
      </c>
      <c r="X22" s="9">
        <v>3.2412609929131399E-2</v>
      </c>
      <c r="Y22" s="25">
        <v>2.0000000000000001E-4</v>
      </c>
      <c r="Z22" s="26">
        <v>3.0367508711753199E-2</v>
      </c>
    </row>
    <row r="23" spans="2:31" x14ac:dyDescent="0.25">
      <c r="B23" s="10" t="s">
        <v>29</v>
      </c>
      <c r="C23" s="8">
        <v>0</v>
      </c>
      <c r="D23" s="9">
        <v>1.8538019754600701E-2</v>
      </c>
      <c r="E23" s="25">
        <v>1E-4</v>
      </c>
      <c r="F23" s="26">
        <v>2.1287830737064101E-2</v>
      </c>
      <c r="G23" s="8">
        <v>0</v>
      </c>
      <c r="H23" s="9">
        <v>1.8640451446442701E-2</v>
      </c>
      <c r="I23" s="25">
        <v>0</v>
      </c>
      <c r="J23" s="26">
        <v>1.8878319389547999E-2</v>
      </c>
      <c r="K23" s="8">
        <v>0</v>
      </c>
      <c r="L23" s="9">
        <v>1.88365829938698E-2</v>
      </c>
      <c r="M23" s="25">
        <v>0</v>
      </c>
      <c r="N23" s="26">
        <v>1.8222615460579399E-2</v>
      </c>
      <c r="O23" s="8">
        <v>0</v>
      </c>
      <c r="P23" s="9">
        <v>-4.32441207717226E-5</v>
      </c>
      <c r="Q23" s="25">
        <v>0</v>
      </c>
      <c r="R23" s="26">
        <v>0</v>
      </c>
      <c r="S23" s="8">
        <v>0</v>
      </c>
      <c r="T23" s="9">
        <v>8.8295534108251896E-5</v>
      </c>
      <c r="U23" s="25">
        <v>0</v>
      </c>
      <c r="V23" s="26">
        <v>1.06709964042563E-3</v>
      </c>
      <c r="W23" s="8">
        <v>0</v>
      </c>
      <c r="X23" s="9">
        <v>-5.89562320260623E-4</v>
      </c>
      <c r="Y23" s="25">
        <v>0</v>
      </c>
      <c r="Z23" s="26">
        <v>-4.1665182369537399E-4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-6.0000000000000201E-4</v>
      </c>
      <c r="D26" s="9">
        <v>3.6842456906099397E-4</v>
      </c>
      <c r="E26" s="25">
        <v>3.0000000000000198E-4</v>
      </c>
      <c r="F26" s="26">
        <v>6.7377384353861603E-4</v>
      </c>
      <c r="G26" s="8">
        <v>2.99999999999999E-4</v>
      </c>
      <c r="H26" s="9">
        <v>9.1072335545514503E-4</v>
      </c>
      <c r="I26" s="25">
        <v>-7.0000000000000097E-4</v>
      </c>
      <c r="J26" s="26">
        <v>1.72897418793454E-4</v>
      </c>
      <c r="K26" s="8">
        <v>1.9999999999999901E-4</v>
      </c>
      <c r="L26" s="9">
        <v>2.92539066892828E-4</v>
      </c>
      <c r="M26" s="25">
        <v>9.9999999999997999E-5</v>
      </c>
      <c r="N26" s="26">
        <v>3.3624566404255802E-4</v>
      </c>
      <c r="O26" s="8">
        <v>-9.9999999999999707E-5</v>
      </c>
      <c r="P26" s="9">
        <v>9.8727870796685605E-5</v>
      </c>
      <c r="Q26" s="25">
        <v>2.0000000000000001E-4</v>
      </c>
      <c r="R26" s="26">
        <v>1.7323218092991401E-4</v>
      </c>
      <c r="S26" s="8">
        <v>9.9999999999999598E-5</v>
      </c>
      <c r="T26" s="9">
        <v>2.62806001073211E-4</v>
      </c>
      <c r="U26" s="25">
        <v>-1.99999999999997E-4</v>
      </c>
      <c r="V26" s="26">
        <v>1.5595880641776599E-4</v>
      </c>
      <c r="W26" s="8">
        <v>1.0000000000000099E-4</v>
      </c>
      <c r="X26" s="9">
        <v>3.0193109567006201E-4</v>
      </c>
      <c r="Y26" s="25">
        <v>-4.0000000000000202E-4</v>
      </c>
      <c r="Z26" s="26">
        <v>-7.4398581913215405E-15</v>
      </c>
    </row>
    <row r="27" spans="2:31" x14ac:dyDescent="0.25">
      <c r="B27" s="11" t="s">
        <v>33</v>
      </c>
      <c r="C27" s="12">
        <v>2.53E-2</v>
      </c>
      <c r="D27" s="13">
        <v>1</v>
      </c>
      <c r="E27" s="27">
        <v>-2.07E-2</v>
      </c>
      <c r="F27" s="28">
        <v>1</v>
      </c>
      <c r="G27" s="12">
        <v>6.4000000000000003E-3</v>
      </c>
      <c r="H27" s="13">
        <v>1</v>
      </c>
      <c r="I27" s="27">
        <v>1.89E-2</v>
      </c>
      <c r="J27" s="28">
        <v>1</v>
      </c>
      <c r="K27" s="12">
        <v>1.47E-2</v>
      </c>
      <c r="L27" s="13">
        <v>1</v>
      </c>
      <c r="M27" s="27">
        <v>0.02</v>
      </c>
      <c r="N27" s="28">
        <v>1</v>
      </c>
      <c r="O27" s="12">
        <v>2.9899999999999999E-2</v>
      </c>
      <c r="P27" s="13">
        <v>1</v>
      </c>
      <c r="Q27" s="27">
        <v>-4.0000000000000002E-4</v>
      </c>
      <c r="R27" s="28">
        <v>1</v>
      </c>
      <c r="S27" s="12">
        <v>-1.3599999999999999E-2</v>
      </c>
      <c r="T27" s="13">
        <v>1</v>
      </c>
      <c r="U27" s="27">
        <v>-2.7699999999999999E-2</v>
      </c>
      <c r="V27" s="28">
        <v>1</v>
      </c>
      <c r="W27" s="12">
        <v>3.6799999999999999E-2</v>
      </c>
      <c r="X27" s="13">
        <v>1</v>
      </c>
      <c r="Y27" s="27">
        <v>2.76E-2</v>
      </c>
      <c r="Z27" s="28">
        <v>1</v>
      </c>
    </row>
    <row r="28" spans="2:31" x14ac:dyDescent="0.25">
      <c r="B28" s="31" t="s">
        <v>39</v>
      </c>
      <c r="C28" s="43">
        <v>142961.12452999901</v>
      </c>
      <c r="D28" s="44"/>
      <c r="E28" s="37">
        <v>-119212.49981999899</v>
      </c>
      <c r="F28" s="38"/>
      <c r="G28" s="43">
        <v>35568.7981499991</v>
      </c>
      <c r="H28" s="44"/>
      <c r="I28" s="37">
        <v>105046.22714</v>
      </c>
      <c r="J28" s="38"/>
      <c r="K28" s="43">
        <v>82916.344770000404</v>
      </c>
      <c r="L28" s="44"/>
      <c r="M28" s="37">
        <v>113411.92157000001</v>
      </c>
      <c r="N28" s="38"/>
      <c r="O28" s="43">
        <v>172987.6789</v>
      </c>
      <c r="P28" s="44"/>
      <c r="Q28" s="37">
        <v>-2562.5898299999899</v>
      </c>
      <c r="R28" s="38"/>
      <c r="S28" s="43">
        <v>-82776.583419999894</v>
      </c>
      <c r="T28" s="44"/>
      <c r="U28" s="37">
        <v>-171381.00641999999</v>
      </c>
      <c r="V28" s="38"/>
      <c r="W28" s="43">
        <v>225827.21256000001</v>
      </c>
      <c r="X28" s="44"/>
      <c r="Y28" s="37">
        <v>180468.93778000001</v>
      </c>
      <c r="Z28" s="38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5" t="s">
        <v>0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7"/>
    </row>
    <row r="32" spans="2:31" ht="15.75" x14ac:dyDescent="0.25">
      <c r="B32" s="21" t="s">
        <v>41</v>
      </c>
      <c r="C32" s="39">
        <v>44927</v>
      </c>
      <c r="D32" s="40"/>
      <c r="E32" s="41">
        <v>44958</v>
      </c>
      <c r="F32" s="42"/>
      <c r="G32" s="39">
        <v>44986</v>
      </c>
      <c r="H32" s="40"/>
      <c r="I32" s="41">
        <v>45017</v>
      </c>
      <c r="J32" s="42"/>
      <c r="K32" s="39">
        <v>45047</v>
      </c>
      <c r="L32" s="40"/>
      <c r="M32" s="41">
        <v>45078</v>
      </c>
      <c r="N32" s="42"/>
      <c r="O32" s="39">
        <v>45108</v>
      </c>
      <c r="P32" s="40"/>
      <c r="Q32" s="41">
        <v>45139</v>
      </c>
      <c r="R32" s="42"/>
      <c r="S32" s="39">
        <v>45170</v>
      </c>
      <c r="T32" s="40"/>
      <c r="U32" s="41">
        <v>45200</v>
      </c>
      <c r="V32" s="42"/>
      <c r="W32" s="39">
        <v>45231</v>
      </c>
      <c r="X32" s="40"/>
      <c r="Y32" s="41">
        <v>45261</v>
      </c>
      <c r="Z32" s="42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8.0000000000000002E-3</v>
      </c>
      <c r="D34" s="17">
        <v>0.80603748263414599</v>
      </c>
      <c r="E34" s="29">
        <v>-2.3599999999999999E-2</v>
      </c>
      <c r="F34" s="30">
        <v>0.78639490695911596</v>
      </c>
      <c r="G34" s="16">
        <v>3.0999999999999999E-3</v>
      </c>
      <c r="H34" s="17">
        <v>0.76954976319620005</v>
      </c>
      <c r="I34" s="29">
        <v>8.0000000000000002E-3</v>
      </c>
      <c r="J34" s="30">
        <v>0.76190050388095798</v>
      </c>
      <c r="K34" s="16">
        <v>8.8999999999999999E-3</v>
      </c>
      <c r="L34" s="17">
        <v>0.75994996250892599</v>
      </c>
      <c r="M34" s="29">
        <v>8.3999999999999995E-3</v>
      </c>
      <c r="N34" s="30">
        <v>0.76548906687486196</v>
      </c>
      <c r="O34" s="16">
        <v>1.3899999999999999E-2</v>
      </c>
      <c r="P34" s="17">
        <v>0.75913790115232505</v>
      </c>
      <c r="Q34" s="29">
        <v>2.0000000000000001E-4</v>
      </c>
      <c r="R34" s="30">
        <v>0.75352576071158905</v>
      </c>
      <c r="S34" s="16">
        <v>-8.0000000000000004E-4</v>
      </c>
      <c r="T34" s="17">
        <v>0.76152808193005195</v>
      </c>
      <c r="U34" s="29">
        <v>-2.8899999999999999E-2</v>
      </c>
      <c r="V34" s="30">
        <v>0.75054788825582996</v>
      </c>
      <c r="W34" s="16">
        <v>2.7400000000000001E-2</v>
      </c>
      <c r="X34" s="17">
        <v>0.75702506988368301</v>
      </c>
      <c r="Y34" s="29">
        <v>1.7600000000000001E-2</v>
      </c>
      <c r="Z34" s="30">
        <v>0.76389407826373201</v>
      </c>
    </row>
    <row r="35" spans="2:26" x14ac:dyDescent="0.25">
      <c r="B35" s="10" t="s">
        <v>35</v>
      </c>
      <c r="C35" s="8">
        <v>1.7299999999999999E-2</v>
      </c>
      <c r="D35" s="9">
        <v>0.19396251736585399</v>
      </c>
      <c r="E35" s="25">
        <v>2.8999999999999998E-3</v>
      </c>
      <c r="F35" s="26">
        <v>0.21360509304088399</v>
      </c>
      <c r="G35" s="8">
        <v>3.3E-3</v>
      </c>
      <c r="H35" s="9">
        <v>0.2304502368038</v>
      </c>
      <c r="I35" s="25">
        <v>1.09E-2</v>
      </c>
      <c r="J35" s="26">
        <v>0.23809949611904199</v>
      </c>
      <c r="K35" s="8">
        <v>5.7999999999999996E-3</v>
      </c>
      <c r="L35" s="9">
        <v>0.24005003749107401</v>
      </c>
      <c r="M35" s="25">
        <v>1.1599999999999999E-2</v>
      </c>
      <c r="N35" s="26">
        <v>0.23451093312513799</v>
      </c>
      <c r="O35" s="8">
        <v>1.6E-2</v>
      </c>
      <c r="P35" s="9">
        <v>0.24086209884767501</v>
      </c>
      <c r="Q35" s="25">
        <v>-5.9999999999999995E-4</v>
      </c>
      <c r="R35" s="26">
        <v>0.246474239288411</v>
      </c>
      <c r="S35" s="8">
        <v>-1.2800000000000001E-2</v>
      </c>
      <c r="T35" s="9">
        <v>0.238471918069948</v>
      </c>
      <c r="U35" s="25">
        <v>1.1999999999999999E-3</v>
      </c>
      <c r="V35" s="26">
        <v>0.24945211174417001</v>
      </c>
      <c r="W35" s="8">
        <v>9.4000000000000004E-3</v>
      </c>
      <c r="X35" s="9">
        <v>0.24297493011631699</v>
      </c>
      <c r="Y35" s="25">
        <v>0.01</v>
      </c>
      <c r="Z35" s="26">
        <v>0.23610592173626799</v>
      </c>
    </row>
    <row r="36" spans="2:26" x14ac:dyDescent="0.25">
      <c r="B36" s="11" t="s">
        <v>33</v>
      </c>
      <c r="C36" s="12">
        <v>2.53E-2</v>
      </c>
      <c r="D36" s="13">
        <v>1</v>
      </c>
      <c r="E36" s="27">
        <v>-2.07E-2</v>
      </c>
      <c r="F36" s="28">
        <v>1</v>
      </c>
      <c r="G36" s="12">
        <v>6.4000000000000003E-3</v>
      </c>
      <c r="H36" s="13">
        <v>1</v>
      </c>
      <c r="I36" s="27">
        <v>1.89E-2</v>
      </c>
      <c r="J36" s="28">
        <v>1</v>
      </c>
      <c r="K36" s="12">
        <v>1.47E-2</v>
      </c>
      <c r="L36" s="13">
        <v>1</v>
      </c>
      <c r="M36" s="27">
        <v>0.02</v>
      </c>
      <c r="N36" s="28">
        <v>1</v>
      </c>
      <c r="O36" s="12">
        <v>2.9899999999999999E-2</v>
      </c>
      <c r="P36" s="13">
        <v>1</v>
      </c>
      <c r="Q36" s="27">
        <v>-4.0000000000000002E-4</v>
      </c>
      <c r="R36" s="28">
        <v>1</v>
      </c>
      <c r="S36" s="12">
        <v>-1.3599999999999999E-2</v>
      </c>
      <c r="T36" s="13">
        <v>1</v>
      </c>
      <c r="U36" s="27">
        <v>-2.7699999999999999E-2</v>
      </c>
      <c r="V36" s="28">
        <v>1</v>
      </c>
      <c r="W36" s="12">
        <v>3.6799999999999999E-2</v>
      </c>
      <c r="X36" s="13">
        <v>1</v>
      </c>
      <c r="Y36" s="27">
        <v>2.76E-2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5" t="s">
        <v>0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7"/>
    </row>
    <row r="39" spans="2:26" ht="15.75" x14ac:dyDescent="0.25">
      <c r="B39" s="21" t="s">
        <v>41</v>
      </c>
      <c r="C39" s="39">
        <v>44927</v>
      </c>
      <c r="D39" s="40"/>
      <c r="E39" s="41">
        <v>44958</v>
      </c>
      <c r="F39" s="42"/>
      <c r="G39" s="39">
        <v>44986</v>
      </c>
      <c r="H39" s="40"/>
      <c r="I39" s="41">
        <v>45017</v>
      </c>
      <c r="J39" s="42"/>
      <c r="K39" s="39">
        <v>45047</v>
      </c>
      <c r="L39" s="40"/>
      <c r="M39" s="41">
        <v>45078</v>
      </c>
      <c r="N39" s="42"/>
      <c r="O39" s="39">
        <v>45108</v>
      </c>
      <c r="P39" s="40"/>
      <c r="Q39" s="41">
        <v>45139</v>
      </c>
      <c r="R39" s="42"/>
      <c r="S39" s="39">
        <v>45170</v>
      </c>
      <c r="T39" s="40"/>
      <c r="U39" s="41">
        <v>45200</v>
      </c>
      <c r="V39" s="42"/>
      <c r="W39" s="39">
        <v>45231</v>
      </c>
      <c r="X39" s="40"/>
      <c r="Y39" s="41">
        <v>45261</v>
      </c>
      <c r="Z39" s="42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2.5399999999999999E-2</v>
      </c>
      <c r="D41" s="17">
        <v>0.91819253987373095</v>
      </c>
      <c r="E41" s="29">
        <v>-1.89E-2</v>
      </c>
      <c r="F41" s="30">
        <v>0.91607436076759996</v>
      </c>
      <c r="G41" s="16">
        <v>6.7000000000000002E-3</v>
      </c>
      <c r="H41" s="17">
        <v>0.92058721467678795</v>
      </c>
      <c r="I41" s="29">
        <v>1.89E-2</v>
      </c>
      <c r="J41" s="30">
        <v>0.92246807865157199</v>
      </c>
      <c r="K41" s="16">
        <v>1.43E-2</v>
      </c>
      <c r="L41" s="17">
        <v>0.92427280061097605</v>
      </c>
      <c r="M41" s="29">
        <v>1.95E-2</v>
      </c>
      <c r="N41" s="30">
        <v>0.92676635779931604</v>
      </c>
      <c r="O41" s="16">
        <v>2.9899999999999999E-2</v>
      </c>
      <c r="P41" s="17">
        <v>0.94830105489720395</v>
      </c>
      <c r="Q41" s="29">
        <v>-4.0000000000000002E-4</v>
      </c>
      <c r="R41" s="30">
        <v>0.94645650035985396</v>
      </c>
      <c r="S41" s="16">
        <v>-8.0000000000000004E-4</v>
      </c>
      <c r="T41" s="17">
        <v>0.76152808193005195</v>
      </c>
      <c r="U41" s="29">
        <v>-2.6700000000000002E-2</v>
      </c>
      <c r="V41" s="30">
        <v>0.94875700341552405</v>
      </c>
      <c r="W41" s="16">
        <v>3.5000000000000003E-2</v>
      </c>
      <c r="X41" s="17">
        <v>0.95214283792600396</v>
      </c>
      <c r="Y41" s="29">
        <v>2.7300000000000001E-2</v>
      </c>
      <c r="Z41" s="30">
        <v>0.955893230238262</v>
      </c>
    </row>
    <row r="42" spans="2:26" x14ac:dyDescent="0.25">
      <c r="B42" s="10" t="s">
        <v>37</v>
      </c>
      <c r="C42" s="8">
        <v>-1.00000000000002E-4</v>
      </c>
      <c r="D42" s="9">
        <v>8.1807460126268605E-2</v>
      </c>
      <c r="E42" s="25">
        <v>-1.8E-3</v>
      </c>
      <c r="F42" s="26">
        <v>8.3925639232399901E-2</v>
      </c>
      <c r="G42" s="8">
        <v>-2.9999999999999997E-4</v>
      </c>
      <c r="H42" s="9">
        <v>7.9412785323212401E-2</v>
      </c>
      <c r="I42" s="25">
        <v>-1.11022302462516E-18</v>
      </c>
      <c r="J42" s="26">
        <v>7.7531921348427596E-2</v>
      </c>
      <c r="K42" s="8">
        <v>3.9999999999999899E-4</v>
      </c>
      <c r="L42" s="9">
        <v>7.57271993890241E-2</v>
      </c>
      <c r="M42" s="25">
        <v>5.0000000000000001E-4</v>
      </c>
      <c r="N42" s="26">
        <v>7.3233642200683693E-2</v>
      </c>
      <c r="O42" s="8">
        <v>0</v>
      </c>
      <c r="P42" s="9">
        <v>5.1698945102795997E-2</v>
      </c>
      <c r="Q42" s="25">
        <v>-3.46944695195361E-20</v>
      </c>
      <c r="R42" s="26">
        <v>5.3543499640146E-2</v>
      </c>
      <c r="S42" s="8">
        <v>-1.2800000000000001E-2</v>
      </c>
      <c r="T42" s="9">
        <v>0.238471918069948</v>
      </c>
      <c r="U42" s="25">
        <v>-1E-3</v>
      </c>
      <c r="V42" s="26">
        <v>5.1242996584475897E-2</v>
      </c>
      <c r="W42" s="8">
        <v>1.8E-3</v>
      </c>
      <c r="X42" s="9">
        <v>4.7857162073995797E-2</v>
      </c>
      <c r="Y42" s="25">
        <v>2.9999999999999802E-4</v>
      </c>
      <c r="Z42" s="26">
        <v>4.4106769761738197E-2</v>
      </c>
    </row>
    <row r="43" spans="2:26" x14ac:dyDescent="0.25">
      <c r="B43" s="11" t="s">
        <v>33</v>
      </c>
      <c r="C43" s="12">
        <v>2.53E-2</v>
      </c>
      <c r="D43" s="13">
        <v>1</v>
      </c>
      <c r="E43" s="27">
        <v>-2.07E-2</v>
      </c>
      <c r="F43" s="28">
        <v>1</v>
      </c>
      <c r="G43" s="12">
        <v>6.4000000000000003E-3</v>
      </c>
      <c r="H43" s="13">
        <v>1</v>
      </c>
      <c r="I43" s="27">
        <v>1.89E-2</v>
      </c>
      <c r="J43" s="28">
        <v>1</v>
      </c>
      <c r="K43" s="12">
        <v>1.47E-2</v>
      </c>
      <c r="L43" s="13">
        <v>1</v>
      </c>
      <c r="M43" s="27">
        <v>0.02</v>
      </c>
      <c r="N43" s="28">
        <v>1</v>
      </c>
      <c r="O43" s="12">
        <v>2.9899999999999999E-2</v>
      </c>
      <c r="P43" s="13">
        <v>1</v>
      </c>
      <c r="Q43" s="27">
        <v>-4.0000000000000002E-4</v>
      </c>
      <c r="R43" s="28">
        <v>1</v>
      </c>
      <c r="S43" s="12">
        <v>-1.3599999999999999E-2</v>
      </c>
      <c r="T43" s="13">
        <v>1</v>
      </c>
      <c r="U43" s="27">
        <v>-2.7699999999999999E-2</v>
      </c>
      <c r="V43" s="28">
        <v>1</v>
      </c>
      <c r="W43" s="12">
        <v>3.6799999999999999E-2</v>
      </c>
      <c r="X43" s="13">
        <v>1</v>
      </c>
      <c r="Y43" s="27">
        <v>2.76E-2</v>
      </c>
      <c r="Z43" s="28">
        <v>1</v>
      </c>
    </row>
    <row r="45" spans="2:26" ht="15.75" x14ac:dyDescent="0.25">
      <c r="C45" s="45" t="s">
        <v>0</v>
      </c>
      <c r="D45" s="46"/>
      <c r="E45" s="46"/>
      <c r="F45" s="46"/>
      <c r="G45" s="46"/>
      <c r="H45" s="46"/>
      <c r="I45" s="46"/>
      <c r="J45" s="47"/>
    </row>
    <row r="46" spans="2:26" ht="15.75" x14ac:dyDescent="0.25">
      <c r="B46" s="21" t="s">
        <v>38</v>
      </c>
      <c r="C46" s="48" t="s">
        <v>45</v>
      </c>
      <c r="D46" s="49"/>
      <c r="E46" s="50" t="s">
        <v>46</v>
      </c>
      <c r="F46" s="51"/>
      <c r="G46" s="48" t="s">
        <v>47</v>
      </c>
      <c r="H46" s="49"/>
      <c r="I46" s="50" t="s">
        <v>48</v>
      </c>
      <c r="J46" s="51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1.0999597759997481E-3</v>
      </c>
      <c r="D48" s="9">
        <v>0.10971617931305</v>
      </c>
      <c r="E48" s="25">
        <v>3.6045521198275754E-3</v>
      </c>
      <c r="F48" s="26">
        <v>8.1952699591716693E-2</v>
      </c>
      <c r="G48" s="8">
        <v>6.0149999185774572E-3</v>
      </c>
      <c r="H48" s="9">
        <v>8.9869535159899705E-2</v>
      </c>
      <c r="I48" s="25">
        <v>6.2139389321045346E-3</v>
      </c>
      <c r="J48" s="26">
        <v>0.123054337681426</v>
      </c>
    </row>
    <row r="49" spans="2:10" x14ac:dyDescent="0.25">
      <c r="B49" s="10" t="s">
        <v>7</v>
      </c>
      <c r="C49" s="8">
        <v>8.9263159999997121E-4</v>
      </c>
      <c r="D49" s="9">
        <v>0.22303013034819399</v>
      </c>
      <c r="E49" s="25">
        <v>3.0960469480714181E-3</v>
      </c>
      <c r="F49" s="26">
        <v>0.24147275800290799</v>
      </c>
      <c r="G49" s="8">
        <v>3.6969309411241102E-3</v>
      </c>
      <c r="H49" s="9">
        <v>0.267689054067834</v>
      </c>
      <c r="I49" s="25">
        <v>8.5222580358883526E-3</v>
      </c>
      <c r="J49" s="26">
        <v>0.25858651505437602</v>
      </c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v>0</v>
      </c>
      <c r="D51" s="9">
        <v>5.6846687528247595E-4</v>
      </c>
      <c r="E51" s="25">
        <v>0</v>
      </c>
      <c r="F51" s="26">
        <v>5.5642160692113301E-4</v>
      </c>
      <c r="G51" s="8">
        <v>0</v>
      </c>
      <c r="H51" s="9">
        <v>5.3207590813451704E-4</v>
      </c>
      <c r="I51" s="25">
        <v>0</v>
      </c>
      <c r="J51" s="26">
        <v>4.7797904952373999E-4</v>
      </c>
    </row>
    <row r="52" spans="2:10" x14ac:dyDescent="0.25">
      <c r="B52" s="10" t="s">
        <v>13</v>
      </c>
      <c r="C52" s="8">
        <v>3.98846841999978E-3</v>
      </c>
      <c r="D52" s="9">
        <v>0.21379806740451299</v>
      </c>
      <c r="E52" s="25">
        <v>9.82109215549265E-3</v>
      </c>
      <c r="F52" s="26">
        <v>0.209330526852508</v>
      </c>
      <c r="G52" s="8">
        <v>1.3864203321929169E-2</v>
      </c>
      <c r="H52" s="9">
        <v>0.21491474812996</v>
      </c>
      <c r="I52" s="25">
        <v>1.9336473292620449E-2</v>
      </c>
      <c r="J52" s="26">
        <v>0.21094848631746299</v>
      </c>
    </row>
    <row r="53" spans="2:10" x14ac:dyDescent="0.25">
      <c r="B53" s="10" t="s">
        <v>15</v>
      </c>
      <c r="C53" s="8">
        <v>-1.0997600000000052E-3</v>
      </c>
      <c r="D53" s="9">
        <v>7.8666324360242099E-3</v>
      </c>
      <c r="E53" s="25">
        <v>-4.0037998797382013E-4</v>
      </c>
      <c r="F53" s="26">
        <v>7.9834772172504096E-3</v>
      </c>
      <c r="G53" s="8">
        <v>-9.003097529276527E-4</v>
      </c>
      <c r="H53" s="9">
        <v>7.7284911128897302E-3</v>
      </c>
      <c r="I53" s="25">
        <v>-5.0069986780343356E-4</v>
      </c>
      <c r="J53" s="26">
        <v>6.8735691570408104E-3</v>
      </c>
    </row>
    <row r="54" spans="2:10" x14ac:dyDescent="0.25">
      <c r="B54" s="10" t="s">
        <v>17</v>
      </c>
      <c r="C54" s="8">
        <v>-1.3526170203999932E-2</v>
      </c>
      <c r="D54" s="9">
        <v>0.203454393284005</v>
      </c>
      <c r="E54" s="25">
        <v>2.9383936237865615E-3</v>
      </c>
      <c r="F54" s="26">
        <v>0.21861722306147599</v>
      </c>
      <c r="G54" s="8">
        <v>1.3325643429997536E-2</v>
      </c>
      <c r="H54" s="9">
        <v>0.218389068318288</v>
      </c>
      <c r="I54" s="25">
        <v>1.8292392921371636E-2</v>
      </c>
      <c r="J54" s="26">
        <v>0.20850179593165999</v>
      </c>
    </row>
    <row r="55" spans="2:10" x14ac:dyDescent="0.25">
      <c r="B55" s="10" t="s">
        <v>44</v>
      </c>
      <c r="C55" s="8">
        <v>1.2344711580000112E-2</v>
      </c>
      <c r="D55" s="9">
        <v>0.16499282219149</v>
      </c>
      <c r="E55" s="25">
        <v>2.9007196722894344E-2</v>
      </c>
      <c r="F55" s="26">
        <v>0.173852999186355</v>
      </c>
      <c r="G55" s="8">
        <v>3.2599999999999997E-2</v>
      </c>
      <c r="H55" s="9">
        <v>0.16359885284789</v>
      </c>
      <c r="I55" s="25">
        <v>4.2599999999999999E-2</v>
      </c>
      <c r="J55" s="26">
        <v>0.15135100980142399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9.9999999999988987E-5</v>
      </c>
      <c r="D57" s="9">
        <v>4.3710177175722799E-3</v>
      </c>
      <c r="E57" s="25">
        <v>5.0007000300000826E-4</v>
      </c>
      <c r="F57" s="26">
        <v>5.2188636330802998E-3</v>
      </c>
      <c r="G57" s="8">
        <v>6.0012001000031567E-4</v>
      </c>
      <c r="H57" s="9">
        <v>5.7229439344899996E-3</v>
      </c>
      <c r="I57" s="25">
        <v>6.0007998599553858E-4</v>
      </c>
      <c r="J57" s="26">
        <v>5.2006979239348997E-3</v>
      </c>
    </row>
    <row r="58" spans="2:10" x14ac:dyDescent="0.25">
      <c r="B58" s="10" t="s">
        <v>24</v>
      </c>
      <c r="C58" s="8">
        <v>0</v>
      </c>
      <c r="D58" s="9">
        <v>1.6897929121842399E-5</v>
      </c>
      <c r="E58" s="25">
        <v>0</v>
      </c>
      <c r="F58" s="26">
        <v>4.0984878462741498E-6</v>
      </c>
      <c r="G58" s="8">
        <v>0</v>
      </c>
      <c r="H58" s="9">
        <v>2.0418985397988399E-5</v>
      </c>
      <c r="I58" s="25">
        <v>9.9999999999988987E-5</v>
      </c>
      <c r="J58" s="26">
        <v>9.7149319363632803E-5</v>
      </c>
    </row>
    <row r="59" spans="2:10" x14ac:dyDescent="0.25">
      <c r="B59" s="10" t="s">
        <v>25</v>
      </c>
      <c r="C59" s="8">
        <v>6.3726327040001252E-3</v>
      </c>
      <c r="D59" s="9">
        <v>6.4329712253805797E-3</v>
      </c>
      <c r="E59" s="25">
        <v>1.6465658433040709E-2</v>
      </c>
      <c r="F59" s="26">
        <v>2.1901279582317201E-3</v>
      </c>
      <c r="G59" s="8">
        <v>1.1759696701325595E-2</v>
      </c>
      <c r="H59" s="9">
        <v>-5.7474641203787199E-3</v>
      </c>
      <c r="I59" s="25">
        <v>2.4690387382803269E-2</v>
      </c>
      <c r="J59" s="26">
        <v>4.1763977049080201E-3</v>
      </c>
    </row>
    <row r="60" spans="2:10" x14ac:dyDescent="0.25">
      <c r="B60" s="10" t="s">
        <v>26</v>
      </c>
      <c r="C60" s="8">
        <v>9.9880000000052149E-5</v>
      </c>
      <c r="D60" s="9">
        <v>3.6031232039123201E-5</v>
      </c>
      <c r="E60" s="25">
        <v>9.9869999001134246E-5</v>
      </c>
      <c r="F60" s="26">
        <v>3.1440537904557299E-5</v>
      </c>
      <c r="G60" s="8">
        <v>-2.0019996599329737E-4</v>
      </c>
      <c r="H60" s="9">
        <v>3.3363081859572803E-5</v>
      </c>
      <c r="I60" s="25">
        <v>-4.0058969994216653E-4</v>
      </c>
      <c r="J60" s="26">
        <v>-1.5727296550758601E-4</v>
      </c>
    </row>
    <row r="61" spans="2:10" x14ac:dyDescent="0.25">
      <c r="B61" s="10" t="s">
        <v>27</v>
      </c>
      <c r="C61" s="8">
        <v>0</v>
      </c>
      <c r="D61" s="9">
        <v>2.1227695127819301E-5</v>
      </c>
      <c r="E61" s="25">
        <v>0</v>
      </c>
      <c r="F61" s="26">
        <v>0</v>
      </c>
      <c r="G61" s="8">
        <v>0</v>
      </c>
      <c r="H61" s="9">
        <v>1.2136911608084801E-3</v>
      </c>
      <c r="I61" s="25">
        <v>0</v>
      </c>
      <c r="J61" s="26">
        <v>9.3847813633653296E-4</v>
      </c>
    </row>
    <row r="62" spans="2:10" x14ac:dyDescent="0.25">
      <c r="B62" s="10" t="s">
        <v>28</v>
      </c>
      <c r="C62" s="8">
        <v>9.9989998999960861E-5</v>
      </c>
      <c r="D62" s="9">
        <v>4.6143987546302098E-2</v>
      </c>
      <c r="E62" s="25">
        <v>8.002200199985765E-4</v>
      </c>
      <c r="F62" s="26">
        <v>4.0230502739179198E-2</v>
      </c>
      <c r="G62" s="8">
        <v>1.400820256043378E-3</v>
      </c>
      <c r="H62" s="9">
        <v>3.5684119877745099E-2</v>
      </c>
      <c r="I62" s="25">
        <v>2.0016206681305881E-3</v>
      </c>
      <c r="J62" s="26">
        <v>3.0367508711753199E-2</v>
      </c>
    </row>
    <row r="63" spans="2:10" x14ac:dyDescent="0.25">
      <c r="B63" s="10" t="s">
        <v>29</v>
      </c>
      <c r="C63" s="8">
        <v>9.9999999999988987E-5</v>
      </c>
      <c r="D63" s="9">
        <v>1.8640451446442701E-2</v>
      </c>
      <c r="E63" s="25">
        <v>9.9999999999988987E-5</v>
      </c>
      <c r="F63" s="26">
        <v>1.8222615460579399E-2</v>
      </c>
      <c r="G63" s="8">
        <v>9.9999999999988987E-5</v>
      </c>
      <c r="H63" s="9">
        <v>8.8295534108251896E-5</v>
      </c>
      <c r="I63" s="25">
        <v>9.9999999999988987E-5</v>
      </c>
      <c r="J63" s="26">
        <v>-4.1665182369537399E-4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-2.7005400016211212E-7</v>
      </c>
      <c r="D66" s="9">
        <v>9.1072335545514503E-4</v>
      </c>
      <c r="E66" s="25">
        <v>-4.0045995992721295E-4</v>
      </c>
      <c r="F66" s="26">
        <v>3.3624566404255802E-4</v>
      </c>
      <c r="G66" s="8">
        <v>-2.0055004991381686E-4</v>
      </c>
      <c r="H66" s="9">
        <v>2.62806001073211E-4</v>
      </c>
      <c r="I66" s="25">
        <v>-7.0042977090134517E-4</v>
      </c>
      <c r="J66" s="26">
        <v>-7.4398581913215405E-15</v>
      </c>
    </row>
    <row r="67" spans="2:10" x14ac:dyDescent="0.25">
      <c r="B67" s="11" t="s">
        <v>42</v>
      </c>
      <c r="C67" s="12">
        <v>1.0472073820999628E-2</v>
      </c>
      <c r="D67" s="13">
        <v>1</v>
      </c>
      <c r="E67" s="35">
        <v>6.5632260077211929E-2</v>
      </c>
      <c r="F67" s="28">
        <v>1</v>
      </c>
      <c r="G67" s="12">
        <v>8.2061354810162773E-2</v>
      </c>
      <c r="H67" s="13">
        <v>1</v>
      </c>
      <c r="I67" s="27">
        <v>0.1208554318802674</v>
      </c>
      <c r="J67" s="28">
        <v>1</v>
      </c>
    </row>
    <row r="68" spans="2:10" x14ac:dyDescent="0.25">
      <c r="B68" s="31" t="s">
        <v>39</v>
      </c>
      <c r="C68" s="43">
        <f>C28+E28+G28</f>
        <v>59317.422859999118</v>
      </c>
      <c r="D68" s="44"/>
      <c r="E68" s="37">
        <v>360691.91634</v>
      </c>
      <c r="F68" s="38"/>
      <c r="G68" s="43">
        <v>448340.42199</v>
      </c>
      <c r="H68" s="44"/>
      <c r="I68" s="37">
        <v>683255.56591</v>
      </c>
      <c r="J68" s="38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5" t="s">
        <v>0</v>
      </c>
      <c r="D70" s="46"/>
      <c r="E70" s="46"/>
      <c r="F70" s="46"/>
      <c r="G70" s="46"/>
      <c r="H70" s="46"/>
      <c r="I70" s="46"/>
      <c r="J70" s="47"/>
    </row>
    <row r="71" spans="2:10" ht="15.75" x14ac:dyDescent="0.25">
      <c r="B71" s="21" t="s">
        <v>38</v>
      </c>
      <c r="C71" s="48" t="s">
        <v>45</v>
      </c>
      <c r="D71" s="49"/>
      <c r="E71" s="50" t="s">
        <v>46</v>
      </c>
      <c r="F71" s="51"/>
      <c r="G71" s="48" t="s">
        <v>47</v>
      </c>
      <c r="H71" s="49"/>
      <c r="I71" s="50" t="s">
        <v>48</v>
      </c>
      <c r="J71" s="51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-1.2737745279999824E-2</v>
      </c>
      <c r="D73" s="17">
        <v>0.76954976319620005</v>
      </c>
      <c r="E73" s="25">
        <v>1.2451025048441311E-2</v>
      </c>
      <c r="F73" s="30">
        <v>0.76548906687486196</v>
      </c>
      <c r="G73" s="8">
        <v>2.59080155961815E-2</v>
      </c>
      <c r="H73" s="17">
        <v>0.76152808193005195</v>
      </c>
      <c r="I73" s="25">
        <v>4.1571377345264837E-2</v>
      </c>
      <c r="J73" s="30">
        <v>0.76389407826373201</v>
      </c>
    </row>
    <row r="74" spans="2:10" x14ac:dyDescent="0.25">
      <c r="B74" s="10" t="s">
        <v>35</v>
      </c>
      <c r="C74" s="8">
        <v>2.3216995560999942E-2</v>
      </c>
      <c r="D74" s="9">
        <v>0.2304502368038</v>
      </c>
      <c r="E74" s="25">
        <v>5.3137692288445747E-2</v>
      </c>
      <c r="F74" s="26">
        <v>0.23451093312513799</v>
      </c>
      <c r="G74" s="8">
        <v>5.62E-2</v>
      </c>
      <c r="H74" s="9">
        <v>0.238471918069948</v>
      </c>
      <c r="I74" s="25">
        <v>7.9299999999999995E-2</v>
      </c>
      <c r="J74" s="26">
        <v>0.23610592173626799</v>
      </c>
    </row>
    <row r="75" spans="2:10" x14ac:dyDescent="0.25">
      <c r="B75" s="11" t="s">
        <v>42</v>
      </c>
      <c r="C75" s="12">
        <v>1.0479250281000118E-2</v>
      </c>
      <c r="D75" s="13">
        <v>1</v>
      </c>
      <c r="E75" s="35">
        <v>6.5588717336887065E-2</v>
      </c>
      <c r="F75" s="28">
        <v>1</v>
      </c>
      <c r="G75" s="12">
        <v>8.2108015596181499E-2</v>
      </c>
      <c r="H75" s="13">
        <v>1</v>
      </c>
      <c r="I75" s="27">
        <v>0.12087137734526483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5" t="s">
        <v>0</v>
      </c>
      <c r="D77" s="46"/>
      <c r="E77" s="46"/>
      <c r="F77" s="46"/>
      <c r="G77" s="46"/>
      <c r="H77" s="46"/>
      <c r="I77" s="46"/>
      <c r="J77" s="47"/>
    </row>
    <row r="78" spans="2:10" ht="15.75" x14ac:dyDescent="0.25">
      <c r="B78" s="21" t="s">
        <v>38</v>
      </c>
      <c r="C78" s="48" t="s">
        <v>45</v>
      </c>
      <c r="D78" s="49"/>
      <c r="E78" s="50" t="s">
        <v>46</v>
      </c>
      <c r="F78" s="51"/>
      <c r="G78" s="48" t="s">
        <v>47</v>
      </c>
      <c r="H78" s="49"/>
      <c r="I78" s="50" t="s">
        <v>48</v>
      </c>
      <c r="J78" s="51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1.2660273597999917E-2</v>
      </c>
      <c r="D80" s="17">
        <v>0.92058721467678795</v>
      </c>
      <c r="E80" s="25">
        <v>6.6862094957883964E-2</v>
      </c>
      <c r="F80" s="30">
        <v>0.92676635779931604</v>
      </c>
      <c r="G80" s="8">
        <v>9.6199999999999994E-2</v>
      </c>
      <c r="H80" s="17">
        <v>0.94796347381882096</v>
      </c>
      <c r="I80" s="25">
        <v>0.13389999999999999</v>
      </c>
      <c r="J80" s="30">
        <v>0.955893230238262</v>
      </c>
    </row>
    <row r="81" spans="2:10" x14ac:dyDescent="0.25">
      <c r="B81" s="10" t="s">
        <v>37</v>
      </c>
      <c r="C81" s="8">
        <v>-2.1992500540000126E-3</v>
      </c>
      <c r="D81" s="9">
        <v>7.9412785323212401E-2</v>
      </c>
      <c r="E81" s="25">
        <v>-1.3010298188987912E-3</v>
      </c>
      <c r="F81" s="26">
        <v>7.3233642200683693E-2</v>
      </c>
      <c r="G81" s="8">
        <v>-1.4084376637216955E-2</v>
      </c>
      <c r="H81" s="9">
        <v>5.2036526181179203E-2</v>
      </c>
      <c r="I81" s="25">
        <v>-1.3001408012284887E-2</v>
      </c>
      <c r="J81" s="26">
        <v>4.4106769761738197E-2</v>
      </c>
    </row>
    <row r="82" spans="2:10" x14ac:dyDescent="0.25">
      <c r="B82" s="11" t="s">
        <v>42</v>
      </c>
      <c r="C82" s="12">
        <v>1.0461023543999904E-2</v>
      </c>
      <c r="D82" s="13">
        <v>1</v>
      </c>
      <c r="E82" s="35">
        <v>6.5561065138985172E-2</v>
      </c>
      <c r="F82" s="28">
        <v>1</v>
      </c>
      <c r="G82" s="12">
        <v>8.2115623362783038E-2</v>
      </c>
      <c r="H82" s="13">
        <v>1</v>
      </c>
      <c r="I82" s="27">
        <v>0.1208985919877151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5:Z5"/>
    <mergeCell ref="I28:J28"/>
    <mergeCell ref="K28:L28"/>
    <mergeCell ref="Q28:R28"/>
    <mergeCell ref="E28:F28"/>
    <mergeCell ref="M28:N28"/>
    <mergeCell ref="C6:D6"/>
    <mergeCell ref="E6:F6"/>
    <mergeCell ref="G6:H6"/>
    <mergeCell ref="I6:J6"/>
    <mergeCell ref="K6:L6"/>
    <mergeCell ref="O6:P6"/>
    <mergeCell ref="Q6:R6"/>
    <mergeCell ref="C28:D28"/>
    <mergeCell ref="C31:Z31"/>
    <mergeCell ref="C38:Z38"/>
    <mergeCell ref="C45:J45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U6:V6"/>
    <mergeCell ref="C46:D46"/>
    <mergeCell ref="E46:F46"/>
    <mergeCell ref="G46:H46"/>
    <mergeCell ref="I46:J46"/>
    <mergeCell ref="Y39:Z39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70:J70"/>
    <mergeCell ref="W6:X6"/>
    <mergeCell ref="C39:D39"/>
    <mergeCell ref="E39:F39"/>
    <mergeCell ref="G39:H39"/>
    <mergeCell ref="I39:J39"/>
    <mergeCell ref="K39:L39"/>
    <mergeCell ref="W39:X39"/>
    <mergeCell ref="M39:N39"/>
    <mergeCell ref="O39:P39"/>
    <mergeCell ref="Q39:R39"/>
    <mergeCell ref="S39:T39"/>
    <mergeCell ref="U39:V39"/>
    <mergeCell ref="U28:V28"/>
    <mergeCell ref="C68:D68"/>
    <mergeCell ref="E68:F68"/>
    <mergeCell ref="I68:J68"/>
    <mergeCell ref="W32:X32"/>
    <mergeCell ref="Y32:Z32"/>
    <mergeCell ref="G28:H28"/>
    <mergeCell ref="M6:N6"/>
    <mergeCell ref="O28:P28"/>
    <mergeCell ref="Y28:Z28"/>
    <mergeCell ref="W28:X28"/>
    <mergeCell ref="S6:T6"/>
    <mergeCell ref="G68:H68"/>
    <mergeCell ref="S28:T2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2024-01-23T13:43:38Z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