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C68" i="6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<sst xmlns="http://schemas.openxmlformats.org/spreadsheetml/2006/main" count="190" uniqueCount="50">
  <si>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</si>
  <si>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</si>
  <si>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</si>
  <si>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</si>
  <si>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</si>
  <si>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</si>
  <si>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</si>
  <si>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</si>
  <si>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</si>
  <si>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</si>
  <si>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</si>
  <si>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</si>
  <si>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</si>
  <si>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</si>
  <si>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</si>
  <si>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</si>
  <si>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</si>
  <si>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</si>
  <si>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</si>
  <si>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</si>
  <si>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</si>
  <si>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</si>
  <si>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</si>
  <si>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</si>
  <si>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</si>
  <si>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</si>
  <si>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</si>
  <si>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</si>
  <si>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</si>
  <si>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</si>
  <si>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</si>
  <si>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</si>
  <si>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</si>
  <si>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</si>
  <si>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</si>
  <si>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</si>
  <si>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</si>
  <si>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</si>
  <si>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</si>
  <si>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</si>
  <si>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</si>
  <si>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</si>
  <si>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</si>
  <si>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</si>
  <si>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</si>
  <si>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</si>
  <si>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</si>
  <si>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</si>
  <si>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</si>
  <si>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2011אנליסט מסלולית קופת גמל להשקעה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</si>
</sst>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10" fontId="2" fillId="4" borderId="5" xfId="421" applyNumberFormat="1" applyFont="1" applyFill="1" applyBorder="1" applyAlignment="1">
      <alignment horizontal="right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>
      <selection activeCell="Y27" sqref="Y27"/>
    </sheetView>
  </sheetViews>
  <sheetFormatPr defaultColWidth="9.140625" defaultRowHeight="15" x14ac:dyDescent="0.25"/>
  <cols>
    <col min="1" max="1" width="2.140625" style="1" customWidth="1"/>
    <col min="2" max="2" width="49.14062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4" t="s">
        <v>0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6"/>
      <c r="AE5" s="3" t="s">
        <v>1</v>
      </c>
    </row>
    <row r="6" spans="2:31" ht="15.75" x14ac:dyDescent="0.25">
      <c r="B6" s="21" t="s">
        <v>41</v>
      </c>
      <c r="C6" s="40">
        <v>44927</v>
      </c>
      <c r="D6" s="41"/>
      <c r="E6" s="38">
        <v>44958</v>
      </c>
      <c r="F6" s="39"/>
      <c r="G6" s="40">
        <v>44986</v>
      </c>
      <c r="H6" s="41"/>
      <c r="I6" s="38">
        <v>45017</v>
      </c>
      <c r="J6" s="39"/>
      <c r="K6" s="40">
        <v>45047</v>
      </c>
      <c r="L6" s="41"/>
      <c r="M6" s="38">
        <v>45078</v>
      </c>
      <c r="N6" s="39"/>
      <c r="O6" s="40">
        <v>45108</v>
      </c>
      <c r="P6" s="41"/>
      <c r="Q6" s="38">
        <v>45139</v>
      </c>
      <c r="R6" s="39"/>
      <c r="S6" s="40">
        <v>45170</v>
      </c>
      <c r="T6" s="41"/>
      <c r="U6" s="38">
        <v>45200</v>
      </c>
      <c r="V6" s="39"/>
      <c r="W6" s="40">
        <v>45231</v>
      </c>
      <c r="X6" s="41"/>
      <c r="Y6" s="38">
        <v>45261</v>
      </c>
      <c r="Z6" s="39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6.9999999999999999E-4</v>
      </c>
      <c r="D8" s="9">
        <v>0.17521775544065599</v>
      </c>
      <c r="E8" s="25">
        <v>1.1999999999999999E-3</v>
      </c>
      <c r="F8" s="26">
        <v>0.16116308276421501</v>
      </c>
      <c r="G8" s="8">
        <v>-5.0000000000000001E-4</v>
      </c>
      <c r="H8" s="9">
        <v>0.12908993833708099</v>
      </c>
      <c r="I8" s="25">
        <v>1.8E-3</v>
      </c>
      <c r="J8" s="26">
        <v>0.103688764407107</v>
      </c>
      <c r="K8" s="8">
        <v>1E-3</v>
      </c>
      <c r="L8" s="9">
        <v>9.4526768250060206E-2</v>
      </c>
      <c r="M8" s="25">
        <v>5.9999999999999995E-4</v>
      </c>
      <c r="N8" s="26">
        <v>0.105696475468446</v>
      </c>
      <c r="O8" s="8">
        <v>5.9999999999999995E-4</v>
      </c>
      <c r="P8" s="9">
        <v>0.118797211821886</v>
      </c>
      <c r="Q8" s="25">
        <v>1.6999999999999999E-3</v>
      </c>
      <c r="R8" s="26">
        <v>0.10471717864572</v>
      </c>
      <c r="S8" s="8">
        <v>8.0000000000000004E-4</v>
      </c>
      <c r="T8" s="9">
        <v>0.114289860374887</v>
      </c>
      <c r="U8" s="37">
        <v>1.9E-3</v>
      </c>
      <c r="V8" s="26">
        <v>0.12997582918667699</v>
      </c>
      <c r="W8" s="8">
        <v>-2.3999999999999998E-3</v>
      </c>
      <c r="X8" s="9">
        <v>0.12075442646194599</v>
      </c>
      <c r="Y8" s="25">
        <v>2.0000000000000001E-4</v>
      </c>
      <c r="Z8" s="26">
        <v>0.17313889915035099</v>
      </c>
      <c r="AE8" s="3" t="s">
        <v>8</v>
      </c>
    </row>
    <row r="9" spans="2:31" x14ac:dyDescent="0.25">
      <c r="B9" s="10" t="s">
        <v>7</v>
      </c>
      <c r="C9" s="8">
        <v>1.6000000000000001E-3</v>
      </c>
      <c r="D9" s="9">
        <v>0.247190027590968</v>
      </c>
      <c r="E9" s="25">
        <v>-2.8E-3</v>
      </c>
      <c r="F9" s="26">
        <v>0.24535956719697399</v>
      </c>
      <c r="G9" s="8">
        <v>2.3999999999999998E-3</v>
      </c>
      <c r="H9" s="9">
        <v>0.25782105621857798</v>
      </c>
      <c r="I9" s="25">
        <v>2.9999999999999997E-4</v>
      </c>
      <c r="J9" s="26">
        <v>0.27576303760267401</v>
      </c>
      <c r="K9" s="8">
        <v>1.4E-3</v>
      </c>
      <c r="L9" s="9">
        <v>0.27934134576970099</v>
      </c>
      <c r="M9" s="25">
        <v>1.1000000000000001E-3</v>
      </c>
      <c r="N9" s="26">
        <v>0.27378265999173401</v>
      </c>
      <c r="O9" s="8">
        <v>6.9999999999999999E-4</v>
      </c>
      <c r="P9" s="9">
        <v>0.27425558781534798</v>
      </c>
      <c r="Q9" s="25">
        <v>1E-3</v>
      </c>
      <c r="R9" s="26">
        <v>0.29038338922428197</v>
      </c>
      <c r="S9" s="8">
        <v>-1.1999999999999999E-3</v>
      </c>
      <c r="T9" s="9">
        <v>0.29796372527184101</v>
      </c>
      <c r="U9" s="25">
        <v>2.0000000000000001E-4</v>
      </c>
      <c r="V9" s="26">
        <v>0.29286500356243</v>
      </c>
      <c r="W9" s="8">
        <v>2E-3</v>
      </c>
      <c r="X9" s="9">
        <v>0.296146054787986</v>
      </c>
      <c r="Y9" s="25">
        <v>2.3999999999999998E-3</v>
      </c>
      <c r="Z9" s="26">
        <v>0.272957942955042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2.8E-3</v>
      </c>
      <c r="D12" s="9">
        <v>0.19088076383191099</v>
      </c>
      <c r="E12" s="25">
        <v>-5.8999999999999999E-3</v>
      </c>
      <c r="F12" s="26">
        <v>0.20986530536437201</v>
      </c>
      <c r="G12" s="8">
        <v>3.8E-3</v>
      </c>
      <c r="H12" s="9">
        <v>0.22479487943102</v>
      </c>
      <c r="I12" s="25">
        <v>2.3999999999999998E-3</v>
      </c>
      <c r="J12" s="26">
        <v>0.22338957089537201</v>
      </c>
      <c r="K12" s="8">
        <v>2.7000000000000001E-3</v>
      </c>
      <c r="L12" s="9">
        <v>0.22316815347633501</v>
      </c>
      <c r="M12" s="25">
        <v>2.0000000000000001E-4</v>
      </c>
      <c r="N12" s="26">
        <v>0.22252100451495599</v>
      </c>
      <c r="O12" s="8">
        <v>1.5E-3</v>
      </c>
      <c r="P12" s="9">
        <v>0.215401686690676</v>
      </c>
      <c r="Q12" s="25">
        <v>1.4E-3</v>
      </c>
      <c r="R12" s="26">
        <v>0.214435811663856</v>
      </c>
      <c r="S12" s="8">
        <v>-1E-3</v>
      </c>
      <c r="T12" s="9">
        <v>0.21990974412870901</v>
      </c>
      <c r="U12" s="25">
        <v>-3.3E-3</v>
      </c>
      <c r="V12" s="26">
        <v>0.228144697051432</v>
      </c>
      <c r="W12" s="8">
        <v>5.8999999999999999E-3</v>
      </c>
      <c r="X12" s="9">
        <v>0.22171522110585301</v>
      </c>
      <c r="Y12" s="25">
        <v>3.3999999999999998E-3</v>
      </c>
      <c r="Z12" s="26">
        <v>0.20974334058046501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2.6553077091841402E-3</v>
      </c>
      <c r="E13" s="25">
        <v>-1E-4</v>
      </c>
      <c r="F13" s="26">
        <v>2.5616232475933602E-3</v>
      </c>
      <c r="G13" s="8">
        <v>-5.9999999999999995E-4</v>
      </c>
      <c r="H13" s="9">
        <v>1.9283962894225599E-3</v>
      </c>
      <c r="I13" s="25">
        <v>1E-4</v>
      </c>
      <c r="J13" s="26">
        <v>1.9639841299741701E-3</v>
      </c>
      <c r="K13" s="8">
        <v>1E-4</v>
      </c>
      <c r="L13" s="9">
        <v>1.9247548356454501E-3</v>
      </c>
      <c r="M13" s="25">
        <v>0</v>
      </c>
      <c r="N13" s="26">
        <v>1.9050224623850501E-3</v>
      </c>
      <c r="O13" s="8">
        <v>0</v>
      </c>
      <c r="P13" s="9">
        <v>1.8024620171682099E-3</v>
      </c>
      <c r="Q13" s="25">
        <v>0</v>
      </c>
      <c r="R13" s="26">
        <v>3.26695814389875E-3</v>
      </c>
      <c r="S13" s="8">
        <v>-5.9999999999999995E-4</v>
      </c>
      <c r="T13" s="9">
        <v>2.6236689327752099E-3</v>
      </c>
      <c r="U13" s="25">
        <v>-1E-4</v>
      </c>
      <c r="V13" s="26">
        <v>2.5690385806361299E-3</v>
      </c>
      <c r="W13" s="8">
        <v>1E-4</v>
      </c>
      <c r="X13" s="9">
        <v>2.55320908325412E-3</v>
      </c>
      <c r="Y13" s="25">
        <v>1E-4</v>
      </c>
      <c r="Z13" s="26">
        <v>2.2119537715232199E-3</v>
      </c>
      <c r="AE13" s="3" t="s">
        <v>18</v>
      </c>
    </row>
    <row r="14" spans="2:31" x14ac:dyDescent="0.25">
      <c r="B14" s="10" t="s">
        <v>17</v>
      </c>
      <c r="C14" s="8">
        <v>1.5E-3</v>
      </c>
      <c r="D14" s="9">
        <v>0.14326172891445299</v>
      </c>
      <c r="E14" s="25">
        <v>-8.2000000000000007E-3</v>
      </c>
      <c r="F14" s="26">
        <v>0.13733596845756199</v>
      </c>
      <c r="G14" s="8">
        <v>2.9999999999999997E-4</v>
      </c>
      <c r="H14" s="9">
        <v>0.13636930069723299</v>
      </c>
      <c r="I14" s="25">
        <v>3.0000000000000001E-3</v>
      </c>
      <c r="J14" s="26">
        <v>0.13781607629371001</v>
      </c>
      <c r="K14" s="8">
        <v>3.0000000000000001E-3</v>
      </c>
      <c r="L14" s="9">
        <v>0.141081483587913</v>
      </c>
      <c r="M14" s="25">
        <v>4.5999999999999999E-3</v>
      </c>
      <c r="N14" s="26">
        <v>0.14623241862376701</v>
      </c>
      <c r="O14" s="8">
        <v>8.5000000000000006E-3</v>
      </c>
      <c r="P14" s="9">
        <v>0.14991488391429</v>
      </c>
      <c r="Q14" s="25">
        <v>-1.4E-3</v>
      </c>
      <c r="R14" s="26">
        <v>0.15186047000090999</v>
      </c>
      <c r="S14" s="8">
        <v>-1.2999999999999999E-3</v>
      </c>
      <c r="T14" s="9">
        <v>0.15131614957466899</v>
      </c>
      <c r="U14" s="25">
        <v>-1.6899999999999998E-2</v>
      </c>
      <c r="V14" s="26">
        <v>0.13722497236620801</v>
      </c>
      <c r="W14" s="8">
        <v>1.29E-2</v>
      </c>
      <c r="X14" s="9">
        <v>0.14303430707567499</v>
      </c>
      <c r="Y14" s="25">
        <v>9.4000000000000004E-3</v>
      </c>
      <c r="Z14" s="26">
        <v>0.13937243696614099</v>
      </c>
      <c r="AE14" s="3" t="s">
        <v>19</v>
      </c>
    </row>
    <row r="15" spans="2:31" x14ac:dyDescent="0.25">
      <c r="B15" s="10" t="s">
        <v>44</v>
      </c>
      <c r="C15" s="8">
        <v>7.4999999999999997E-3</v>
      </c>
      <c r="D15" s="9">
        <v>0.17900863365788999</v>
      </c>
      <c r="E15" s="25">
        <v>1.5E-3</v>
      </c>
      <c r="F15" s="26">
        <v>0.18342986944436501</v>
      </c>
      <c r="G15" s="8">
        <v>8.0000000000000004E-4</v>
      </c>
      <c r="H15" s="9">
        <v>0.18499636152580901</v>
      </c>
      <c r="I15" s="25">
        <v>6.4000000000000003E-3</v>
      </c>
      <c r="J15" s="26">
        <v>0.18985919076256499</v>
      </c>
      <c r="K15" s="8">
        <v>4.7999999999999996E-3</v>
      </c>
      <c r="L15" s="9">
        <v>0.19140056818840101</v>
      </c>
      <c r="M15" s="25">
        <v>7.3000000000000001E-3</v>
      </c>
      <c r="N15" s="26">
        <v>0.19466929587874501</v>
      </c>
      <c r="O15" s="8">
        <v>9.1999999999999998E-3</v>
      </c>
      <c r="P15" s="9">
        <v>0.196440647524948</v>
      </c>
      <c r="Q15" s="25">
        <v>1.1000000000000001E-3</v>
      </c>
      <c r="R15" s="26">
        <v>0.19460582175185401</v>
      </c>
      <c r="S15" s="8">
        <v>-5.3E-3</v>
      </c>
      <c r="T15" s="9">
        <v>0.186477656765975</v>
      </c>
      <c r="U15" s="25">
        <v>-1.1999999999999999E-3</v>
      </c>
      <c r="V15" s="26">
        <v>0.187651274157211</v>
      </c>
      <c r="W15" s="8">
        <v>3.8E-3</v>
      </c>
      <c r="X15" s="9">
        <v>0.18200503546267999</v>
      </c>
      <c r="Y15" s="25">
        <v>4.4999999999999997E-3</v>
      </c>
      <c r="Z15" s="26">
        <v>0.16977163914498899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3.2038921114850099E-3</v>
      </c>
      <c r="E17" s="25">
        <v>1E-4</v>
      </c>
      <c r="F17" s="26">
        <v>3.3605891695418799E-3</v>
      </c>
      <c r="G17" s="8">
        <v>0</v>
      </c>
      <c r="H17" s="9">
        <v>3.3981685293383102E-3</v>
      </c>
      <c r="I17" s="25">
        <v>2.9999999999999997E-4</v>
      </c>
      <c r="J17" s="26">
        <v>3.8647044913961998E-3</v>
      </c>
      <c r="K17" s="8">
        <v>0</v>
      </c>
      <c r="L17" s="9">
        <v>4.03283788520159E-3</v>
      </c>
      <c r="M17" s="25">
        <v>1E-4</v>
      </c>
      <c r="N17" s="26">
        <v>4.10034892576981E-3</v>
      </c>
      <c r="O17" s="8">
        <v>0</v>
      </c>
      <c r="P17" s="9">
        <v>4.1484921995934201E-3</v>
      </c>
      <c r="Q17" s="25">
        <v>1E-4</v>
      </c>
      <c r="R17" s="26">
        <v>4.3783691685572801E-3</v>
      </c>
      <c r="S17" s="8">
        <v>0</v>
      </c>
      <c r="T17" s="9">
        <v>4.4987395009763098E-3</v>
      </c>
      <c r="U17" s="25">
        <v>2.0000000000000001E-4</v>
      </c>
      <c r="V17" s="26">
        <v>4.7602841864992796E-3</v>
      </c>
      <c r="W17" s="8">
        <v>-1E-4</v>
      </c>
      <c r="X17" s="9">
        <v>4.3698163672553003E-3</v>
      </c>
      <c r="Y17" s="25">
        <v>0</v>
      </c>
      <c r="Z17" s="26">
        <v>3.9687968655369704E-3</v>
      </c>
    </row>
    <row r="18" spans="2:31" x14ac:dyDescent="0.25">
      <c r="B18" s="10" t="s">
        <v>24</v>
      </c>
      <c r="C18" s="8">
        <v>0</v>
      </c>
      <c r="D18" s="9">
        <v>6.7848568893213904E-6</v>
      </c>
      <c r="E18" s="25">
        <v>0</v>
      </c>
      <c r="F18" s="26">
        <v>7.0405936870136403E-6</v>
      </c>
      <c r="G18" s="8">
        <v>0</v>
      </c>
      <c r="H18" s="9">
        <v>4.81228836050964E-6</v>
      </c>
      <c r="I18" s="25">
        <v>0</v>
      </c>
      <c r="J18" s="26">
        <v>4.5936627028915803E-6</v>
      </c>
      <c r="K18" s="8">
        <v>0</v>
      </c>
      <c r="L18" s="9">
        <v>1.65734527916606E-6</v>
      </c>
      <c r="M18" s="25">
        <v>0</v>
      </c>
      <c r="N18" s="26">
        <v>1.29367977139868E-6</v>
      </c>
      <c r="O18" s="8">
        <v>0</v>
      </c>
      <c r="P18" s="9">
        <v>2.21598808460574E-6</v>
      </c>
      <c r="Q18" s="25">
        <v>0</v>
      </c>
      <c r="R18" s="26">
        <v>3.8208480456658198E-7</v>
      </c>
      <c r="S18" s="8">
        <v>0</v>
      </c>
      <c r="T18" s="9">
        <v>2.03229322777372E-5</v>
      </c>
      <c r="U18" s="25">
        <v>0</v>
      </c>
      <c r="V18" s="26">
        <v>1.12955369737131E-5</v>
      </c>
      <c r="W18" s="8">
        <v>0</v>
      </c>
      <c r="X18" s="9">
        <v>1.8471016302878199E-5</v>
      </c>
      <c r="Y18" s="25">
        <v>0</v>
      </c>
      <c r="Z18" s="26">
        <v>3.7016226287430701E-5</v>
      </c>
      <c r="AE18" s="3"/>
    </row>
    <row r="19" spans="2:31" x14ac:dyDescent="0.25">
      <c r="B19" s="10" t="s">
        <v>25</v>
      </c>
      <c r="C19" s="8">
        <v>9.1000000000000004E-3</v>
      </c>
      <c r="D19" s="9">
        <v>4.5006541569351096E-3</v>
      </c>
      <c r="E19" s="25">
        <v>-3.8E-3</v>
      </c>
      <c r="F19" s="26">
        <v>1.7132918483602499E-3</v>
      </c>
      <c r="G19" s="8">
        <v>3.8999999999999998E-3</v>
      </c>
      <c r="H19" s="9">
        <v>8.0209054574814208E-3</v>
      </c>
      <c r="I19" s="25">
        <v>4.0000000000000001E-3</v>
      </c>
      <c r="J19" s="26">
        <v>1.1918006538786999E-2</v>
      </c>
      <c r="K19" s="8">
        <v>2.5999999999999999E-3</v>
      </c>
      <c r="L19" s="9">
        <v>1.4453368776709601E-2</v>
      </c>
      <c r="M19" s="25">
        <v>6.6E-3</v>
      </c>
      <c r="N19" s="26">
        <v>3.0474673605749899E-3</v>
      </c>
      <c r="O19" s="8">
        <v>6.6E-3</v>
      </c>
      <c r="P19" s="9">
        <v>9.0524982336456696E-3</v>
      </c>
      <c r="Q19" s="25">
        <v>-3.3E-3</v>
      </c>
      <c r="R19" s="26">
        <v>5.7244824109375404E-3</v>
      </c>
      <c r="S19" s="8">
        <v>-8.0000000000000002E-3</v>
      </c>
      <c r="T19" s="9">
        <v>-7.0363448207536004E-3</v>
      </c>
      <c r="U19" s="25">
        <v>-4.7999999999999996E-3</v>
      </c>
      <c r="V19" s="26">
        <v>-1.2026766065264E-2</v>
      </c>
      <c r="W19" s="8">
        <v>1.3599999999999999E-2</v>
      </c>
      <c r="X19" s="9">
        <v>1.6112610004351299E-3</v>
      </c>
      <c r="Y19" s="25">
        <v>6.1000000000000004E-3</v>
      </c>
      <c r="Z19" s="26">
        <v>4.5507602587727403E-3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4.4083239550485803E-6</v>
      </c>
      <c r="E21" s="25">
        <v>0</v>
      </c>
      <c r="F21" s="26">
        <v>4.0311142989682597E-6</v>
      </c>
      <c r="G21" s="8">
        <v>0</v>
      </c>
      <c r="H21" s="9">
        <v>3.6259004087859802E-6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1.27540812742448E-3</v>
      </c>
      <c r="S21" s="8">
        <v>0</v>
      </c>
      <c r="T21" s="9">
        <v>1.2119598511536401E-3</v>
      </c>
      <c r="U21" s="25">
        <v>0</v>
      </c>
      <c r="V21" s="26">
        <v>1.1728280958688401E-3</v>
      </c>
      <c r="W21" s="8">
        <v>0</v>
      </c>
      <c r="X21" s="9">
        <v>1.1148400790910199E-3</v>
      </c>
      <c r="Y21" s="25">
        <v>0</v>
      </c>
      <c r="Z21" s="26">
        <v>9.19394776266603E-4</v>
      </c>
    </row>
    <row r="22" spans="2:31" x14ac:dyDescent="0.25">
      <c r="B22" s="10" t="s">
        <v>28</v>
      </c>
      <c r="C22" s="8">
        <v>1E-4</v>
      </c>
      <c r="D22" s="9">
        <v>3.7159391977769102E-2</v>
      </c>
      <c r="E22" s="25">
        <v>-1E-4</v>
      </c>
      <c r="F22" s="26">
        <v>3.6924896931274702E-2</v>
      </c>
      <c r="G22" s="8">
        <v>1E-4</v>
      </c>
      <c r="H22" s="9">
        <v>3.5563569304440802E-2</v>
      </c>
      <c r="I22" s="25">
        <v>4.0000000000000002E-4</v>
      </c>
      <c r="J22" s="26">
        <v>3.4695267579154497E-2</v>
      </c>
      <c r="K22" s="8">
        <v>2.9999999999999997E-4</v>
      </c>
      <c r="L22" s="9">
        <v>3.3076032013499602E-2</v>
      </c>
      <c r="M22" s="25">
        <v>0</v>
      </c>
      <c r="N22" s="26">
        <v>3.1232091696687302E-2</v>
      </c>
      <c r="O22" s="8">
        <v>2.9999999999999997E-4</v>
      </c>
      <c r="P22" s="9">
        <v>2.9998942143701999E-2</v>
      </c>
      <c r="Q22" s="25">
        <v>1E-4</v>
      </c>
      <c r="R22" s="26">
        <v>2.8986114095735101E-2</v>
      </c>
      <c r="S22" s="8">
        <v>0</v>
      </c>
      <c r="T22" s="9">
        <v>2.8204972360601099E-2</v>
      </c>
      <c r="U22" s="25">
        <v>0</v>
      </c>
      <c r="V22" s="26">
        <v>2.7370258957246402E-2</v>
      </c>
      <c r="W22" s="8">
        <v>5.0000000000000001E-4</v>
      </c>
      <c r="X22" s="9">
        <v>2.61470333802039E-2</v>
      </c>
      <c r="Y22" s="25">
        <v>2.0000000000000001E-4</v>
      </c>
      <c r="Z22" s="26">
        <v>2.3327819302012501E-2</v>
      </c>
    </row>
    <row r="23" spans="2:31" x14ac:dyDescent="0.25">
      <c r="B23" s="10" t="s">
        <v>29</v>
      </c>
      <c r="C23" s="8">
        <v>0</v>
      </c>
      <c r="D23" s="9">
        <v>1.65038085578148E-2</v>
      </c>
      <c r="E23" s="25">
        <v>0</v>
      </c>
      <c r="F23" s="26">
        <v>1.75213470480629E-2</v>
      </c>
      <c r="G23" s="8">
        <v>0</v>
      </c>
      <c r="H23" s="9">
        <v>1.6952443029429599E-2</v>
      </c>
      <c r="I23" s="25">
        <v>0</v>
      </c>
      <c r="J23" s="26">
        <v>1.6857898210761502E-2</v>
      </c>
      <c r="K23" s="8">
        <v>0</v>
      </c>
      <c r="L23" s="9">
        <v>1.6694443755132699E-2</v>
      </c>
      <c r="M23" s="25">
        <v>0</v>
      </c>
      <c r="N23" s="26">
        <v>1.6393552058630498E-2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-4.0000000000000099E-4</v>
      </c>
      <c r="D26" s="9">
        <v>4.06842870088515E-4</v>
      </c>
      <c r="E26" s="25">
        <v>2.9999999999999997E-4</v>
      </c>
      <c r="F26" s="26">
        <v>7.5338681969256696E-4</v>
      </c>
      <c r="G26" s="8">
        <v>2.0000000000000101E-4</v>
      </c>
      <c r="H26" s="9">
        <v>1.05654299139625E-3</v>
      </c>
      <c r="I26" s="25">
        <v>-1E-3</v>
      </c>
      <c r="J26" s="26">
        <v>1.78905425795266E-4</v>
      </c>
      <c r="K26" s="8">
        <v>2.0000000000000199E-4</v>
      </c>
      <c r="L26" s="9">
        <v>2.9858611612154602E-4</v>
      </c>
      <c r="M26" s="25">
        <v>1.0000000000000099E-4</v>
      </c>
      <c r="N26" s="26">
        <v>4.1836933853414601E-4</v>
      </c>
      <c r="O26" s="8">
        <v>-1.00000000000002E-4</v>
      </c>
      <c r="P26" s="9">
        <v>1.8537165065812E-4</v>
      </c>
      <c r="Q26" s="25">
        <v>2.9999999999999997E-4</v>
      </c>
      <c r="R26" s="26">
        <v>3.6561468201984002E-4</v>
      </c>
      <c r="S26" s="8">
        <v>2.0000000000000101E-4</v>
      </c>
      <c r="T26" s="9">
        <v>5.1954512688938295E-4</v>
      </c>
      <c r="U26" s="25">
        <v>-4.0000000000000002E-4</v>
      </c>
      <c r="V26" s="26">
        <v>2.81284384081613E-4</v>
      </c>
      <c r="W26" s="8">
        <v>2.9999999999999997E-4</v>
      </c>
      <c r="X26" s="9">
        <v>5.3032417931705295E-4</v>
      </c>
      <c r="Y26" s="25">
        <v>-4.9999999999999903E-4</v>
      </c>
      <c r="Z26" s="26">
        <v>2.6116385356406102E-12</v>
      </c>
    </row>
    <row r="27" spans="2:31" x14ac:dyDescent="0.25">
      <c r="B27" s="11" t="s">
        <v>33</v>
      </c>
      <c r="C27" s="12">
        <v>2.29E-2</v>
      </c>
      <c r="D27" s="13">
        <v>1</v>
      </c>
      <c r="E27" s="27">
        <v>-1.78E-2</v>
      </c>
      <c r="F27" s="28">
        <v>1</v>
      </c>
      <c r="G27" s="12">
        <v>1.04E-2</v>
      </c>
      <c r="H27" s="13">
        <v>1</v>
      </c>
      <c r="I27" s="27">
        <v>1.77E-2</v>
      </c>
      <c r="J27" s="28">
        <v>1</v>
      </c>
      <c r="K27" s="12">
        <v>1.61E-2</v>
      </c>
      <c r="L27" s="13">
        <v>1</v>
      </c>
      <c r="M27" s="27">
        <v>2.06E-2</v>
      </c>
      <c r="N27" s="28">
        <v>1</v>
      </c>
      <c r="O27" s="12">
        <v>2.7300000000000001E-2</v>
      </c>
      <c r="P27" s="13">
        <v>1</v>
      </c>
      <c r="Q27" s="27">
        <v>1E-3</v>
      </c>
      <c r="R27" s="28">
        <v>1</v>
      </c>
      <c r="S27" s="12">
        <v>-1.6400000000000001E-2</v>
      </c>
      <c r="T27" s="13">
        <v>1</v>
      </c>
      <c r="U27" s="27">
        <v>-2.4400000000000002E-2</v>
      </c>
      <c r="V27" s="28">
        <v>1</v>
      </c>
      <c r="W27" s="12">
        <v>3.6600000000000001E-2</v>
      </c>
      <c r="X27" s="13">
        <v>1</v>
      </c>
      <c r="Y27" s="27">
        <v>2.58E-2</v>
      </c>
      <c r="Z27" s="28">
        <v>1</v>
      </c>
    </row>
    <row r="28" spans="2:31" x14ac:dyDescent="0.25">
      <c r="B28" s="31" t="s">
        <v>39</v>
      </c>
      <c r="C28" s="42">
        <v>26101.431519999798</v>
      </c>
      <c r="D28" s="43"/>
      <c r="E28" s="47">
        <v>-21032.604549999902</v>
      </c>
      <c r="F28" s="48"/>
      <c r="G28" s="42">
        <v>11935.1728</v>
      </c>
      <c r="H28" s="43"/>
      <c r="I28" s="47">
        <v>20295.4578700001</v>
      </c>
      <c r="J28" s="48"/>
      <c r="K28" s="42">
        <v>18632.413469999799</v>
      </c>
      <c r="L28" s="43"/>
      <c r="M28" s="47">
        <v>24269.818830000098</v>
      </c>
      <c r="N28" s="48"/>
      <c r="O28" s="42">
        <v>32911.928740000098</v>
      </c>
      <c r="P28" s="43"/>
      <c r="Q28" s="47">
        <v>1401.97304999995</v>
      </c>
      <c r="R28" s="48"/>
      <c r="S28" s="42">
        <v>-20898.6191700001</v>
      </c>
      <c r="T28" s="43"/>
      <c r="U28" s="47">
        <v>-31332.3057999999</v>
      </c>
      <c r="V28" s="48"/>
      <c r="W28" s="42">
        <v>46334.415999999903</v>
      </c>
      <c r="X28" s="43"/>
      <c r="Y28" s="47">
        <v>34599.754460000098</v>
      </c>
      <c r="Z28" s="4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4" t="s">
        <v>0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6"/>
    </row>
    <row r="32" spans="2:31" ht="15.75" x14ac:dyDescent="0.25">
      <c r="B32" s="21" t="s">
        <v>41</v>
      </c>
      <c r="C32" s="40">
        <v>44927</v>
      </c>
      <c r="D32" s="41"/>
      <c r="E32" s="38">
        <v>44958</v>
      </c>
      <c r="F32" s="39"/>
      <c r="G32" s="40">
        <v>44986</v>
      </c>
      <c r="H32" s="41"/>
      <c r="I32" s="38">
        <v>45017</v>
      </c>
      <c r="J32" s="39"/>
      <c r="K32" s="40">
        <v>45047</v>
      </c>
      <c r="L32" s="41"/>
      <c r="M32" s="38">
        <v>45078</v>
      </c>
      <c r="N32" s="39"/>
      <c r="O32" s="40">
        <v>45108</v>
      </c>
      <c r="P32" s="41"/>
      <c r="Q32" s="38">
        <v>45139</v>
      </c>
      <c r="R32" s="39"/>
      <c r="S32" s="40">
        <v>45170</v>
      </c>
      <c r="T32" s="41"/>
      <c r="U32" s="38">
        <v>45200</v>
      </c>
      <c r="V32" s="39"/>
      <c r="W32" s="40">
        <v>45231</v>
      </c>
      <c r="X32" s="41"/>
      <c r="Y32" s="38">
        <v>45261</v>
      </c>
      <c r="Z32" s="39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5.7000000000000002E-3</v>
      </c>
      <c r="D34" s="17">
        <v>0.826380313125327</v>
      </c>
      <c r="E34" s="29">
        <v>-1.9900000000000001E-2</v>
      </c>
      <c r="F34" s="30">
        <v>0.81128894284465003</v>
      </c>
      <c r="G34" s="16">
        <v>4.7000000000000002E-3</v>
      </c>
      <c r="H34" s="17">
        <v>0.79268445582773195</v>
      </c>
      <c r="I34" s="29">
        <v>6.7000000000000002E-3</v>
      </c>
      <c r="J34" s="30">
        <v>0.78326914327542796</v>
      </c>
      <c r="K34" s="16">
        <v>8.6E-3</v>
      </c>
      <c r="L34" s="17">
        <v>0.77842720775729601</v>
      </c>
      <c r="M34" s="29">
        <v>8.0000000000000002E-3</v>
      </c>
      <c r="N34" s="30">
        <v>0.78820697565566999</v>
      </c>
      <c r="O34" s="16">
        <v>1.15E-2</v>
      </c>
      <c r="P34" s="17">
        <v>0.78125489857380603</v>
      </c>
      <c r="Q34" s="29">
        <v>1.8E-3</v>
      </c>
      <c r="R34" s="30">
        <v>0.77552061023365404</v>
      </c>
      <c r="S34" s="16">
        <v>-2.5999999999999999E-3</v>
      </c>
      <c r="T34" s="17">
        <v>0.78516531187530303</v>
      </c>
      <c r="U34" s="29">
        <v>-2.4799999999999999E-2</v>
      </c>
      <c r="V34" s="30">
        <v>0.77261042672788405</v>
      </c>
      <c r="W34" s="16">
        <v>2.4299999999999999E-2</v>
      </c>
      <c r="X34" s="17">
        <v>0.77211517679109698</v>
      </c>
      <c r="Y34" s="29">
        <v>1.5900000000000001E-2</v>
      </c>
      <c r="Z34" s="30">
        <v>0.78791675223890201</v>
      </c>
    </row>
    <row r="35" spans="2:26" x14ac:dyDescent="0.25">
      <c r="B35" s="10" t="s">
        <v>35</v>
      </c>
      <c r="C35" s="8">
        <v>1.72E-2</v>
      </c>
      <c r="D35" s="9">
        <v>0.173619686874673</v>
      </c>
      <c r="E35" s="25">
        <v>2.0999999999999999E-3</v>
      </c>
      <c r="F35" s="26">
        <v>0.18871105715535</v>
      </c>
      <c r="G35" s="8">
        <v>5.7000000000000002E-3</v>
      </c>
      <c r="H35" s="9">
        <v>0.207315544172268</v>
      </c>
      <c r="I35" s="25">
        <v>1.0999999999999999E-2</v>
      </c>
      <c r="J35" s="26">
        <v>0.21673085672457201</v>
      </c>
      <c r="K35" s="8">
        <v>7.4999999999999997E-3</v>
      </c>
      <c r="L35" s="9">
        <v>0.22157279224270399</v>
      </c>
      <c r="M35" s="25">
        <v>1.26E-2</v>
      </c>
      <c r="N35" s="26">
        <v>0.21179302434433001</v>
      </c>
      <c r="O35" s="8">
        <v>1.5800000000000002E-2</v>
      </c>
      <c r="P35" s="9">
        <v>0.21874510142619499</v>
      </c>
      <c r="Q35" s="25">
        <v>-8.0000000000000004E-4</v>
      </c>
      <c r="R35" s="26">
        <v>0.22447938976634499</v>
      </c>
      <c r="S35" s="8">
        <v>-1.38E-2</v>
      </c>
      <c r="T35" s="9">
        <v>0.214834688124697</v>
      </c>
      <c r="U35" s="25">
        <v>3.9999999999999801E-4</v>
      </c>
      <c r="V35" s="26">
        <v>0.22738957327211601</v>
      </c>
      <c r="W35" s="8">
        <v>1.23E-2</v>
      </c>
      <c r="X35" s="9">
        <v>0.22788482320890299</v>
      </c>
      <c r="Y35" s="25">
        <v>9.9000000000000008E-3</v>
      </c>
      <c r="Z35" s="26">
        <v>0.21208324776109699</v>
      </c>
    </row>
    <row r="36" spans="2:26" x14ac:dyDescent="0.25">
      <c r="B36" s="11" t="s">
        <v>33</v>
      </c>
      <c r="C36" s="12">
        <v>2.29E-2</v>
      </c>
      <c r="D36" s="13">
        <v>1</v>
      </c>
      <c r="E36" s="27">
        <v>-1.78E-2</v>
      </c>
      <c r="F36" s="28">
        <v>1</v>
      </c>
      <c r="G36" s="12">
        <v>1.04E-2</v>
      </c>
      <c r="H36" s="13">
        <v>1</v>
      </c>
      <c r="I36" s="27">
        <v>1.77E-2</v>
      </c>
      <c r="J36" s="28">
        <v>1</v>
      </c>
      <c r="K36" s="12">
        <v>1.61E-2</v>
      </c>
      <c r="L36" s="13">
        <v>1</v>
      </c>
      <c r="M36" s="27">
        <v>2.06E-2</v>
      </c>
      <c r="N36" s="28">
        <v>1</v>
      </c>
      <c r="O36" s="12">
        <v>2.7300000000000001E-2</v>
      </c>
      <c r="P36" s="13">
        <v>1</v>
      </c>
      <c r="Q36" s="27">
        <v>1E-3</v>
      </c>
      <c r="R36" s="28">
        <v>1</v>
      </c>
      <c r="S36" s="12">
        <v>-1.6400000000000001E-2</v>
      </c>
      <c r="T36" s="13">
        <v>1</v>
      </c>
      <c r="U36" s="27">
        <v>-2.4400000000000002E-2</v>
      </c>
      <c r="V36" s="28">
        <v>1</v>
      </c>
      <c r="W36" s="12">
        <v>3.6600000000000001E-2</v>
      </c>
      <c r="X36" s="13">
        <v>1</v>
      </c>
      <c r="Y36" s="27">
        <v>2.58E-2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4" t="s">
        <v>0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6"/>
    </row>
    <row r="39" spans="2:26" ht="15.75" x14ac:dyDescent="0.25">
      <c r="B39" s="21" t="s">
        <v>41</v>
      </c>
      <c r="C39" s="40">
        <v>44927</v>
      </c>
      <c r="D39" s="41"/>
      <c r="E39" s="38">
        <v>44958</v>
      </c>
      <c r="F39" s="39"/>
      <c r="G39" s="40">
        <v>44986</v>
      </c>
      <c r="H39" s="41"/>
      <c r="I39" s="38">
        <v>45017</v>
      </c>
      <c r="J39" s="39"/>
      <c r="K39" s="40">
        <v>45047</v>
      </c>
      <c r="L39" s="41"/>
      <c r="M39" s="38">
        <v>45078</v>
      </c>
      <c r="N39" s="39"/>
      <c r="O39" s="40">
        <v>45108</v>
      </c>
      <c r="P39" s="41"/>
      <c r="Q39" s="38">
        <v>45139</v>
      </c>
      <c r="R39" s="39"/>
      <c r="S39" s="40">
        <v>45170</v>
      </c>
      <c r="T39" s="41"/>
      <c r="U39" s="38">
        <v>45200</v>
      </c>
      <c r="V39" s="39"/>
      <c r="W39" s="40">
        <v>45231</v>
      </c>
      <c r="X39" s="41"/>
      <c r="Y39" s="38">
        <v>45261</v>
      </c>
      <c r="Z39" s="39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2.3199999999999998E-2</v>
      </c>
      <c r="D41" s="17">
        <v>0.93998713508171905</v>
      </c>
      <c r="E41" s="29">
        <v>-1.72E-2</v>
      </c>
      <c r="F41" s="30">
        <v>0.93841569266779201</v>
      </c>
      <c r="G41" s="16">
        <v>1.0999999999999999E-2</v>
      </c>
      <c r="H41" s="17">
        <v>0.94060945373507998</v>
      </c>
      <c r="I41" s="29">
        <v>1.7899999999999999E-2</v>
      </c>
      <c r="J41" s="30">
        <v>0.94195162103048102</v>
      </c>
      <c r="K41" s="16">
        <v>1.5699999999999999E-2</v>
      </c>
      <c r="L41" s="17">
        <v>0.94347774442043597</v>
      </c>
      <c r="M41" s="29">
        <v>2.0400000000000001E-2</v>
      </c>
      <c r="N41" s="30">
        <v>0.94546792391040402</v>
      </c>
      <c r="O41" s="16">
        <v>2.7199999999999998E-2</v>
      </c>
      <c r="P41" s="17">
        <v>0.96339952467182899</v>
      </c>
      <c r="Q41" s="29">
        <v>5.0000000000000001E-4</v>
      </c>
      <c r="R41" s="30">
        <v>0.96125531507670003</v>
      </c>
      <c r="S41" s="16">
        <v>-1.5900000000000001E-2</v>
      </c>
      <c r="T41" s="17">
        <v>0.96246736501584695</v>
      </c>
      <c r="U41" s="29">
        <v>-2.4199999999999999E-2</v>
      </c>
      <c r="V41" s="30">
        <v>0.96334604947862801</v>
      </c>
      <c r="W41" s="16">
        <v>3.61E-2</v>
      </c>
      <c r="X41" s="17">
        <v>0.96501255616793502</v>
      </c>
      <c r="Y41" s="29">
        <v>2.6200000000000001E-2</v>
      </c>
      <c r="Z41" s="30">
        <v>0.969395874956958</v>
      </c>
    </row>
    <row r="42" spans="2:26" x14ac:dyDescent="0.25">
      <c r="B42" s="10" t="s">
        <v>37</v>
      </c>
      <c r="C42" s="8">
        <v>-2.9999999999999602E-4</v>
      </c>
      <c r="D42" s="9">
        <v>6.0012864918281297E-2</v>
      </c>
      <c r="E42" s="25">
        <v>-6.0000000000000201E-4</v>
      </c>
      <c r="F42" s="26">
        <v>6.1584307332207898E-2</v>
      </c>
      <c r="G42" s="8">
        <v>-5.9999999999999995E-4</v>
      </c>
      <c r="H42" s="9">
        <v>5.9390546264919797E-2</v>
      </c>
      <c r="I42" s="25">
        <v>-2.0000000000000001E-4</v>
      </c>
      <c r="J42" s="26">
        <v>5.8048378969518998E-2</v>
      </c>
      <c r="K42" s="8">
        <v>4.0000000000000099E-4</v>
      </c>
      <c r="L42" s="9">
        <v>5.65222555795638E-2</v>
      </c>
      <c r="M42" s="25">
        <v>1.99999999999998E-4</v>
      </c>
      <c r="N42" s="26">
        <v>5.45320760895961E-2</v>
      </c>
      <c r="O42" s="8">
        <v>9.9999999999995695E-5</v>
      </c>
      <c r="P42" s="9">
        <v>3.6600475328170602E-2</v>
      </c>
      <c r="Q42" s="25">
        <v>5.0000000000000001E-4</v>
      </c>
      <c r="R42" s="26">
        <v>3.8744684923299799E-2</v>
      </c>
      <c r="S42" s="8">
        <v>-4.9999999999999903E-4</v>
      </c>
      <c r="T42" s="9">
        <v>3.7532634984153199E-2</v>
      </c>
      <c r="U42" s="25">
        <v>-2.0000000000000001E-4</v>
      </c>
      <c r="V42" s="26">
        <v>3.6653950521372103E-2</v>
      </c>
      <c r="W42" s="8">
        <v>5.0000000000000305E-4</v>
      </c>
      <c r="X42" s="9">
        <v>3.4987443832064702E-2</v>
      </c>
      <c r="Y42" s="25">
        <v>-3.9999999999999801E-4</v>
      </c>
      <c r="Z42" s="26">
        <v>3.0604125043042399E-2</v>
      </c>
    </row>
    <row r="43" spans="2:26" x14ac:dyDescent="0.25">
      <c r="B43" s="11" t="s">
        <v>33</v>
      </c>
      <c r="C43" s="12">
        <v>2.29E-2</v>
      </c>
      <c r="D43" s="13">
        <v>1</v>
      </c>
      <c r="E43" s="27">
        <v>-1.78E-2</v>
      </c>
      <c r="F43" s="28">
        <v>1</v>
      </c>
      <c r="G43" s="12">
        <v>1.04E-2</v>
      </c>
      <c r="H43" s="13">
        <v>1</v>
      </c>
      <c r="I43" s="27">
        <v>1.77E-2</v>
      </c>
      <c r="J43" s="28">
        <v>1</v>
      </c>
      <c r="K43" s="12">
        <v>1.61E-2</v>
      </c>
      <c r="L43" s="13">
        <v>1</v>
      </c>
      <c r="M43" s="27">
        <v>2.06E-2</v>
      </c>
      <c r="N43" s="28">
        <v>1</v>
      </c>
      <c r="O43" s="12">
        <v>2.7300000000000001E-2</v>
      </c>
      <c r="P43" s="13">
        <v>1</v>
      </c>
      <c r="Q43" s="27">
        <v>1E-3</v>
      </c>
      <c r="R43" s="28">
        <v>1</v>
      </c>
      <c r="S43" s="12">
        <v>-1.6400000000000001E-2</v>
      </c>
      <c r="T43" s="13">
        <v>1</v>
      </c>
      <c r="U43" s="27">
        <v>-2.4400000000000002E-2</v>
      </c>
      <c r="V43" s="28">
        <v>1</v>
      </c>
      <c r="W43" s="12">
        <v>3.6600000000000001E-2</v>
      </c>
      <c r="X43" s="13">
        <v>1</v>
      </c>
      <c r="Y43" s="27">
        <v>2.58E-2</v>
      </c>
      <c r="Z43" s="28">
        <v>1</v>
      </c>
    </row>
    <row r="45" spans="2:26" ht="15.75" x14ac:dyDescent="0.25">
      <c r="C45" s="44" t="s">
        <v>0</v>
      </c>
      <c r="D45" s="45"/>
      <c r="E45" s="45"/>
      <c r="F45" s="45"/>
      <c r="G45" s="45"/>
      <c r="H45" s="45"/>
      <c r="I45" s="45"/>
      <c r="J45" s="46"/>
    </row>
    <row r="46" spans="2:26" ht="15.75" x14ac:dyDescent="0.25">
      <c r="B46" s="21" t="s">
        <v>38</v>
      </c>
      <c r="C46" s="49" t="s">
        <v>45</v>
      </c>
      <c r="D46" s="50"/>
      <c r="E46" s="51" t="s">
        <v>46</v>
      </c>
      <c r="F46" s="52"/>
      <c r="G46" s="49" t="s">
        <v>47</v>
      </c>
      <c r="H46" s="50"/>
      <c r="I46" s="51" t="s">
        <v>48</v>
      </c>
      <c r="J46" s="52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1.3998895800000355E-3</v>
      </c>
      <c r="D48" s="9">
        <v>0.12908993833708099</v>
      </c>
      <c r="E48" s="25">
        <v>4.8081351576994003E-3</v>
      </c>
      <c r="F48" s="26">
        <v>0.105696475468446</v>
      </c>
      <c r="G48" s="8">
        <v>7.9259149478780877E-3</v>
      </c>
      <c r="H48" s="9">
        <v>0.114289860374887</v>
      </c>
      <c r="I48" s="25">
        <v>7.6188393194016601E-3</v>
      </c>
      <c r="J48" s="26">
        <v>0.17313889915035099</v>
      </c>
    </row>
    <row r="49" spans="2:10" x14ac:dyDescent="0.25">
      <c r="B49" s="10" t="s">
        <v>7</v>
      </c>
      <c r="C49" s="8">
        <v>1.19262924800001E-3</v>
      </c>
      <c r="D49" s="9">
        <v>0.25782105621857798</v>
      </c>
      <c r="E49" s="25">
        <v>3.9982618035665496E-3</v>
      </c>
      <c r="F49" s="26">
        <v>0.27378265999173401</v>
      </c>
      <c r="G49" s="8">
        <v>4.4989147334386637E-3</v>
      </c>
      <c r="H49" s="9">
        <v>0.29796372527184101</v>
      </c>
      <c r="I49" s="25">
        <v>9.1253162593669668E-3</v>
      </c>
      <c r="J49" s="26">
        <v>0.272957942955042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6.7163722399987691E-4</v>
      </c>
      <c r="D52" s="9">
        <v>0.22479487943102</v>
      </c>
      <c r="E52" s="25">
        <v>5.9827032354367038E-3</v>
      </c>
      <c r="F52" s="26">
        <v>0.22252100451495599</v>
      </c>
      <c r="G52" s="8">
        <v>7.8932634728579032E-3</v>
      </c>
      <c r="H52" s="9">
        <v>0.21990974412870901</v>
      </c>
      <c r="I52" s="25">
        <v>1.3929842427786276E-2</v>
      </c>
      <c r="J52" s="26">
        <v>0.20974334058046501</v>
      </c>
    </row>
    <row r="53" spans="2:10" x14ac:dyDescent="0.25">
      <c r="B53" s="10" t="s">
        <v>15</v>
      </c>
      <c r="C53" s="8">
        <v>-6.9994000000006551E-4</v>
      </c>
      <c r="D53" s="9">
        <v>1.9283962894225599E-3</v>
      </c>
      <c r="E53" s="25">
        <v>-5.000699949995191E-4</v>
      </c>
      <c r="F53" s="26">
        <v>1.9050224623850501E-3</v>
      </c>
      <c r="G53" s="8">
        <v>-1.0997699530025384E-3</v>
      </c>
      <c r="H53" s="9">
        <v>2.6236689327752099E-3</v>
      </c>
      <c r="I53" s="25">
        <v>-9.9988991999899746E-4</v>
      </c>
      <c r="J53" s="26">
        <v>2.2119537715232199E-3</v>
      </c>
    </row>
    <row r="54" spans="2:10" x14ac:dyDescent="0.25">
      <c r="B54" s="10" t="s">
        <v>17</v>
      </c>
      <c r="C54" s="8">
        <v>-6.4143136899998954E-3</v>
      </c>
      <c r="D54" s="9">
        <v>0.13636930069723299</v>
      </c>
      <c r="E54" s="25">
        <v>4.1541009554524333E-3</v>
      </c>
      <c r="F54" s="26">
        <v>0.14623241862376701</v>
      </c>
      <c r="G54" s="8">
        <v>9.9569924991047554E-3</v>
      </c>
      <c r="H54" s="9">
        <v>0.15131614957466899</v>
      </c>
      <c r="I54" s="25">
        <v>1.5150535452942204E-2</v>
      </c>
      <c r="J54" s="26">
        <v>0.13937243696614099</v>
      </c>
    </row>
    <row r="55" spans="2:10" x14ac:dyDescent="0.25">
      <c r="B55" s="10" t="s">
        <v>44</v>
      </c>
      <c r="C55" s="8">
        <v>9.4184590000001133E-3</v>
      </c>
      <c r="D55" s="9">
        <v>0.18499636152580901</v>
      </c>
      <c r="E55" s="25">
        <v>2.8206466247914452E-2</v>
      </c>
      <c r="F55" s="26">
        <v>0.19466929587874501</v>
      </c>
      <c r="G55" s="8">
        <v>3.3700000000000001E-2</v>
      </c>
      <c r="H55" s="9">
        <v>0.186477656765975</v>
      </c>
      <c r="I55" s="25">
        <v>4.3299999999999998E-2</v>
      </c>
      <c r="J55" s="26">
        <v>0.16977163914498899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9.9999999999988987E-5</v>
      </c>
      <c r="D57" s="9">
        <v>3.3981685293383102E-3</v>
      </c>
      <c r="E57" s="25">
        <v>5.0007000300000826E-4</v>
      </c>
      <c r="F57" s="26">
        <v>4.10034892576981E-3</v>
      </c>
      <c r="G57" s="8">
        <v>6.0012001000031567E-4</v>
      </c>
      <c r="H57" s="9">
        <v>4.4987395009763098E-3</v>
      </c>
      <c r="I57" s="25">
        <v>7.0016000999895134E-4</v>
      </c>
      <c r="J57" s="26">
        <v>3.9687968655369704E-3</v>
      </c>
    </row>
    <row r="58" spans="2:10" x14ac:dyDescent="0.25">
      <c r="B58" s="10" t="s">
        <v>24</v>
      </c>
      <c r="C58" s="8">
        <v>0</v>
      </c>
      <c r="D58" s="9">
        <v>4.81228836050964E-6</v>
      </c>
      <c r="E58" s="25">
        <v>0</v>
      </c>
      <c r="F58" s="26">
        <v>1.29367977139868E-6</v>
      </c>
      <c r="G58" s="8">
        <v>0</v>
      </c>
      <c r="H58" s="9">
        <v>2.03229322777372E-5</v>
      </c>
      <c r="I58" s="25">
        <v>0</v>
      </c>
      <c r="J58" s="26">
        <v>3.7016226287430701E-5</v>
      </c>
    </row>
    <row r="59" spans="2:10" x14ac:dyDescent="0.25">
      <c r="B59" s="10" t="s">
        <v>25</v>
      </c>
      <c r="C59" s="8">
        <v>9.1859551380002458E-3</v>
      </c>
      <c r="D59" s="9">
        <v>8.0209054574814208E-3</v>
      </c>
      <c r="E59" s="25">
        <v>2.406173469048517E-2</v>
      </c>
      <c r="F59" s="26">
        <v>3.0474673605749899E-3</v>
      </c>
      <c r="G59" s="8">
        <v>1.919948367557911E-2</v>
      </c>
      <c r="H59" s="9">
        <v>-7.0363448207536004E-3</v>
      </c>
      <c r="I59" s="25">
        <v>3.4373327414946697E-2</v>
      </c>
      <c r="J59" s="26">
        <v>4.5507602587727403E-3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3.6259004087859802E-6</v>
      </c>
      <c r="E61" s="25">
        <v>0</v>
      </c>
      <c r="F61" s="26">
        <v>0</v>
      </c>
      <c r="G61" s="8">
        <v>0</v>
      </c>
      <c r="H61" s="9">
        <v>1.2119598511536401E-3</v>
      </c>
      <c r="I61" s="25">
        <v>0</v>
      </c>
      <c r="J61" s="26">
        <v>9.19394776266603E-4</v>
      </c>
    </row>
    <row r="62" spans="2:10" x14ac:dyDescent="0.25">
      <c r="B62" s="10" t="s">
        <v>28</v>
      </c>
      <c r="C62" s="8">
        <v>9.9989998999960861E-5</v>
      </c>
      <c r="D62" s="9">
        <v>3.5563569304440802E-2</v>
      </c>
      <c r="E62" s="25">
        <v>8.0018000399784128E-4</v>
      </c>
      <c r="F62" s="26">
        <v>3.1232091696687302E-2</v>
      </c>
      <c r="G62" s="8">
        <v>1.2005301000048707E-3</v>
      </c>
      <c r="H62" s="9">
        <v>2.8204972360601099E-2</v>
      </c>
      <c r="I62" s="25">
        <v>1.9014705911279961E-3</v>
      </c>
      <c r="J62" s="26">
        <v>2.3327819302012501E-2</v>
      </c>
    </row>
    <row r="63" spans="2:10" x14ac:dyDescent="0.25">
      <c r="B63" s="10" t="s">
        <v>29</v>
      </c>
      <c r="C63" s="8">
        <v>0</v>
      </c>
      <c r="D63" s="9">
        <v>1.6952443029429599E-2</v>
      </c>
      <c r="E63" s="25">
        <v>0</v>
      </c>
      <c r="F63" s="26">
        <v>1.6393552058630498E-2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9.9859976000038486E-5</v>
      </c>
      <c r="D66" s="9">
        <v>1.05654299139625E-3</v>
      </c>
      <c r="E66" s="25">
        <v>-6.0048997394579473E-4</v>
      </c>
      <c r="F66" s="26">
        <v>4.1836933853414601E-4</v>
      </c>
      <c r="G66" s="8">
        <v>-2.0072018193662E-4</v>
      </c>
      <c r="H66" s="9">
        <v>5.1954512688938295E-4</v>
      </c>
      <c r="I66" s="25">
        <v>-8.0066967578906745E-4</v>
      </c>
      <c r="J66" s="26">
        <v>2.6116385356406102E-12</v>
      </c>
    </row>
    <row r="67" spans="2:10" x14ac:dyDescent="0.25">
      <c r="B67" s="11" t="s">
        <v>42</v>
      </c>
      <c r="C67" s="12">
        <v>1.5054166475000309E-2</v>
      </c>
      <c r="D67" s="13">
        <v>1</v>
      </c>
      <c r="E67" s="35">
        <v>7.1411092128607245E-2</v>
      </c>
      <c r="F67" s="28">
        <v>1</v>
      </c>
      <c r="G67" s="12">
        <v>8.3674729303924555E-2</v>
      </c>
      <c r="H67" s="13">
        <v>1</v>
      </c>
      <c r="I67" s="27">
        <v>0.12429893187978269</v>
      </c>
      <c r="J67" s="28">
        <v>1</v>
      </c>
    </row>
    <row r="68" spans="2:10" x14ac:dyDescent="0.25">
      <c r="B68" s="31" t="s">
        <v>39</v>
      </c>
      <c r="C68" s="42">
        <f>C28+E28+G28</f>
        <v>17003.999769999897</v>
      </c>
      <c r="D68" s="43"/>
      <c r="E68" s="47">
        <v>80201.689939999895</v>
      </c>
      <c r="F68" s="48"/>
      <c r="G68" s="42">
        <v>93616.972559999806</v>
      </c>
      <c r="H68" s="43"/>
      <c r="I68" s="47">
        <v>143218.83721999999</v>
      </c>
      <c r="J68" s="48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4" t="s">
        <v>0</v>
      </c>
      <c r="D70" s="45"/>
      <c r="E70" s="45"/>
      <c r="F70" s="45"/>
      <c r="G70" s="45"/>
      <c r="H70" s="45"/>
      <c r="I70" s="45"/>
      <c r="J70" s="46"/>
    </row>
    <row r="71" spans="2:10" ht="15.75" x14ac:dyDescent="0.25">
      <c r="B71" s="21" t="s">
        <v>38</v>
      </c>
      <c r="C71" s="49" t="s">
        <v>45</v>
      </c>
      <c r="D71" s="50"/>
      <c r="E71" s="51" t="s">
        <v>46</v>
      </c>
      <c r="F71" s="52"/>
      <c r="G71" s="49" t="s">
        <v>47</v>
      </c>
      <c r="H71" s="50"/>
      <c r="I71" s="51" t="s">
        <v>48</v>
      </c>
      <c r="J71" s="52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-9.6807031210000005E-3</v>
      </c>
      <c r="D73" s="17">
        <v>0.79268445582773195</v>
      </c>
      <c r="E73" s="25">
        <v>1.3572470273687687E-2</v>
      </c>
      <c r="F73" s="30">
        <v>0.78820697565566999</v>
      </c>
      <c r="G73" s="8">
        <v>2.4403572769258419E-2</v>
      </c>
      <c r="H73" s="17">
        <v>0.78516531187530303</v>
      </c>
      <c r="I73" s="25">
        <v>3.9544081401959197E-2</v>
      </c>
      <c r="J73" s="30">
        <v>0.78791675223890201</v>
      </c>
    </row>
    <row r="74" spans="2:10" x14ac:dyDescent="0.25">
      <c r="B74" s="10" t="s">
        <v>35</v>
      </c>
      <c r="C74" s="8">
        <v>2.474633588400028E-2</v>
      </c>
      <c r="D74" s="9">
        <v>0.207315544172268</v>
      </c>
      <c r="E74" s="25">
        <v>5.7840422097413899E-2</v>
      </c>
      <c r="F74" s="26">
        <v>0.21179302434433001</v>
      </c>
      <c r="G74" s="8">
        <v>5.9299999999999999E-2</v>
      </c>
      <c r="H74" s="9">
        <v>0.214834688124697</v>
      </c>
      <c r="I74" s="25">
        <v>8.48E-2</v>
      </c>
      <c r="J74" s="26">
        <v>0.21208324776109699</v>
      </c>
    </row>
    <row r="75" spans="2:10" x14ac:dyDescent="0.25">
      <c r="B75" s="11" t="s">
        <v>42</v>
      </c>
      <c r="C75" s="12">
        <v>1.506563276300028E-2</v>
      </c>
      <c r="D75" s="13">
        <v>1</v>
      </c>
      <c r="E75" s="35">
        <v>7.1412892371101586E-2</v>
      </c>
      <c r="F75" s="28">
        <v>1</v>
      </c>
      <c r="G75" s="12">
        <v>8.3703572769258411E-2</v>
      </c>
      <c r="H75" s="13">
        <v>1</v>
      </c>
      <c r="I75" s="27">
        <v>0.1243440814019592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4" t="s">
        <v>0</v>
      </c>
      <c r="D77" s="45"/>
      <c r="E77" s="45"/>
      <c r="F77" s="45"/>
      <c r="G77" s="45"/>
      <c r="H77" s="45"/>
      <c r="I77" s="45"/>
      <c r="J77" s="46"/>
    </row>
    <row r="78" spans="2:10" ht="15.75" x14ac:dyDescent="0.25">
      <c r="B78" s="21" t="s">
        <v>38</v>
      </c>
      <c r="C78" s="49" t="s">
        <v>45</v>
      </c>
      <c r="D78" s="50"/>
      <c r="E78" s="51" t="s">
        <v>46</v>
      </c>
      <c r="F78" s="52"/>
      <c r="G78" s="49" t="s">
        <v>47</v>
      </c>
      <c r="H78" s="50"/>
      <c r="I78" s="51" t="s">
        <v>48</v>
      </c>
      <c r="J78" s="52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1.656257056000009E-2</v>
      </c>
      <c r="D80" s="17">
        <v>0.94060945373507998</v>
      </c>
      <c r="E80" s="25">
        <v>7.2545254563224817E-2</v>
      </c>
      <c r="F80" s="30">
        <v>0.94546792391040402</v>
      </c>
      <c r="G80" s="8">
        <v>8.4743262148879506E-2</v>
      </c>
      <c r="H80" s="17">
        <v>0.96246736501584695</v>
      </c>
      <c r="I80" s="25">
        <v>0.12543769976303865</v>
      </c>
      <c r="J80" s="30">
        <v>0.969395874956958</v>
      </c>
    </row>
    <row r="81" spans="2:10" x14ac:dyDescent="0.25">
      <c r="B81" s="10" t="s">
        <v>37</v>
      </c>
      <c r="C81" s="8">
        <v>-1.4992801080000451E-3</v>
      </c>
      <c r="D81" s="9">
        <v>5.9390546264919797E-2</v>
      </c>
      <c r="E81" s="25">
        <v>-1.0999197760481749E-3</v>
      </c>
      <c r="F81" s="26">
        <v>5.45320760895961E-2</v>
      </c>
      <c r="G81" s="8">
        <v>-1.0002795180182877E-3</v>
      </c>
      <c r="H81" s="9">
        <v>3.7532634984153199E-2</v>
      </c>
      <c r="I81" s="25">
        <v>-1.1003992300449017E-3</v>
      </c>
      <c r="J81" s="26">
        <v>3.0604125043042399E-2</v>
      </c>
    </row>
    <row r="82" spans="2:10" x14ac:dyDescent="0.25">
      <c r="B82" s="11" t="s">
        <v>42</v>
      </c>
      <c r="C82" s="12">
        <v>1.5063290452000045E-2</v>
      </c>
      <c r="D82" s="13">
        <v>1</v>
      </c>
      <c r="E82" s="35">
        <v>7.1445334787176643E-2</v>
      </c>
      <c r="F82" s="28">
        <v>1</v>
      </c>
      <c r="G82" s="12">
        <v>8.3742982630861218E-2</v>
      </c>
      <c r="H82" s="13">
        <v>1</v>
      </c>
      <c r="I82" s="27">
        <v>0.12433730053299374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5:Z5"/>
    <mergeCell ref="I28:J28"/>
    <mergeCell ref="K28:L28"/>
    <mergeCell ref="Q28:R28"/>
    <mergeCell ref="Y28:Z28"/>
    <mergeCell ref="E28:F28"/>
    <mergeCell ref="M28:N28"/>
    <mergeCell ref="C6:D6"/>
    <mergeCell ref="E6:F6"/>
    <mergeCell ref="G6:H6"/>
    <mergeCell ref="I6:J6"/>
    <mergeCell ref="K6:L6"/>
    <mergeCell ref="O6:P6"/>
    <mergeCell ref="Q6:R6"/>
    <mergeCell ref="S6:T6"/>
    <mergeCell ref="U6:V6"/>
    <mergeCell ref="E68:F68"/>
    <mergeCell ref="I68:J68"/>
    <mergeCell ref="C28:D28"/>
    <mergeCell ref="C31:Z31"/>
    <mergeCell ref="C38:Z38"/>
    <mergeCell ref="C45:J45"/>
    <mergeCell ref="C46:D46"/>
    <mergeCell ref="E46:F46"/>
    <mergeCell ref="G46:H46"/>
    <mergeCell ref="I46:J46"/>
    <mergeCell ref="Y39:Z39"/>
    <mergeCell ref="S28:T28"/>
    <mergeCell ref="G68:H68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70:J70"/>
    <mergeCell ref="W6:X6"/>
    <mergeCell ref="C39:D39"/>
    <mergeCell ref="E39:F39"/>
    <mergeCell ref="G39:H39"/>
    <mergeCell ref="I39:J39"/>
    <mergeCell ref="K39:L39"/>
    <mergeCell ref="W39:X39"/>
    <mergeCell ref="M39:N39"/>
    <mergeCell ref="O39:P39"/>
    <mergeCell ref="Q39:R39"/>
    <mergeCell ref="S39:T39"/>
    <mergeCell ref="U39:V39"/>
    <mergeCell ref="C68:D68"/>
    <mergeCell ref="U28:V28"/>
    <mergeCell ref="W28:X28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G28:H28"/>
    <mergeCell ref="M6:N6"/>
    <mergeCell ref="O28:P2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2024-01-23T13:54:26Z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