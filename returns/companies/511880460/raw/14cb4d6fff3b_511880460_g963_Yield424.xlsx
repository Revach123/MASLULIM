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74" i="6" l="1"/>
</calcChain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<sst xmlns="http://schemas.openxmlformats.org/spreadsheetml/2006/main" count="194" uniqueCount="51">
  <si>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</si>
  <si>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</si>
  <si>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</si>
  <si>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</si>
  <si>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</si>
  <si>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</si>
  <si>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</si>
  <si>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</si>
  <si>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</si>
  <si>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</si>
  <si>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</si>
  <si>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</si>
  <si>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</si>
  <si>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</si>
  <si>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</si>
  <si>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</si>
  <si>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</si>
  <si>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</si>
  <si>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</si>
  <si>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</si>
  <si>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</si>
  <si>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</si>
  <si>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</si>
  <si>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</si>
  <si>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</si>
  <si>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</si>
  <si>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</si>
  <si>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</si>
  <si>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</si>
  <si>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</si>
  <si>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</si>
  <si>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</si>
  <si>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</si>
  <si>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</si>
  <si>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</si>
  <si>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</si>
  <si>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</si>
  <si>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</si>
  <si>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</si>
  <si>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</si>
  <si>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</si>
  <si>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</si>
  <si>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</si>
  <si>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</si>
  <si>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</si>
  <si>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</si>
  <si>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</si>
  <si>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</si>
  <si>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</si>
  <si>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</si>
  <si>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השתלמות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</si>
</sst>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5" width="9.140625" style="1" customWidth="1"/>
    <col min="6" max="6" width="8.28515625" style="1" bestFit="1" customWidth="1"/>
    <col min="7" max="7" width="9.140625" style="1" bestFit="1" customWidth="1"/>
    <col min="8" max="8" width="9.140625" style="1" customWidth="1"/>
    <col min="9" max="9" width="9.140625" style="1" bestFit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8" t="s">
        <v>49</v>
      </c>
    </row>
    <row r="2" spans="2:31" ht="18.75" x14ac:dyDescent="0.3">
      <c r="B2" s="19" t="s">
        <v>43</v>
      </c>
      <c r="F2" s="36"/>
      <c r="G2" s="37"/>
      <c r="AA2" s="58"/>
    </row>
    <row r="3" spans="2:31" ht="18.75" x14ac:dyDescent="0.3">
      <c r="B3" s="20" t="s">
        <v>50</v>
      </c>
      <c r="C3" s="22" t="s">
        <v>40</v>
      </c>
      <c r="F3" s="36"/>
      <c r="AA3" s="58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8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A5" s="58"/>
      <c r="AE5" s="3" t="s">
        <v>1</v>
      </c>
    </row>
    <row r="6" spans="2:31" ht="15.75" x14ac:dyDescent="0.25">
      <c r="B6" s="21" t="s">
        <v>41</v>
      </c>
      <c r="C6" s="47">
        <v>45292</v>
      </c>
      <c r="D6" s="48"/>
      <c r="E6" s="49">
        <v>45323</v>
      </c>
      <c r="F6" s="50"/>
      <c r="G6" s="47">
        <v>45352</v>
      </c>
      <c r="H6" s="48"/>
      <c r="I6" s="49">
        <v>45383</v>
      </c>
      <c r="J6" s="50"/>
      <c r="K6" s="47">
        <v>45413</v>
      </c>
      <c r="L6" s="48"/>
      <c r="M6" s="49">
        <v>45444</v>
      </c>
      <c r="N6" s="50"/>
      <c r="O6" s="47">
        <v>45474</v>
      </c>
      <c r="P6" s="48"/>
      <c r="Q6" s="49">
        <v>45505</v>
      </c>
      <c r="R6" s="50"/>
      <c r="S6" s="47">
        <v>45536</v>
      </c>
      <c r="T6" s="48"/>
      <c r="U6" s="49">
        <v>45566</v>
      </c>
      <c r="V6" s="50"/>
      <c r="W6" s="47">
        <v>45597</v>
      </c>
      <c r="X6" s="48"/>
      <c r="Y6" s="49">
        <v>45627</v>
      </c>
      <c r="Z6" s="50"/>
      <c r="AA6" s="5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8"/>
      <c r="AE7" s="3" t="s">
        <v>6</v>
      </c>
    </row>
    <row r="8" spans="2:31" x14ac:dyDescent="0.25">
      <c r="B8" s="7" t="s">
        <v>5</v>
      </c>
      <c r="C8" s="8">
        <v>6.9999999999999999E-4</v>
      </c>
      <c r="D8" s="9">
        <v>0.15955534859066001</v>
      </c>
      <c r="E8" s="25">
        <v>2.0000000000000001E-4</v>
      </c>
      <c r="F8" s="26">
        <v>0.15189271347545399</v>
      </c>
      <c r="G8" s="8">
        <v>1.1999999999999999E-3</v>
      </c>
      <c r="H8" s="9">
        <v>0.18485301184789099</v>
      </c>
      <c r="I8" s="25">
        <v>8.0000000000000004E-4</v>
      </c>
      <c r="J8" s="26">
        <v>0.12318398148601201</v>
      </c>
      <c r="K8" s="8">
        <v>1E-4</v>
      </c>
      <c r="L8" s="9">
        <v>0.145646947606936</v>
      </c>
      <c r="M8" s="25">
        <v>1.5E-3</v>
      </c>
      <c r="N8" s="26">
        <v>0.132146267955811</v>
      </c>
      <c r="O8" s="8">
        <v>5.0000000000000001E-4</v>
      </c>
      <c r="P8" s="9">
        <v>0.16780339379988499</v>
      </c>
      <c r="Q8" s="25">
        <v>-1.6999999999999999E-3</v>
      </c>
      <c r="R8" s="26">
        <v>0.168802622184128</v>
      </c>
      <c r="S8" s="8">
        <v>2E-3</v>
      </c>
      <c r="T8" s="9">
        <v>0.16568952413549801</v>
      </c>
      <c r="U8" s="25">
        <v>-2.9999999999999997E-4</v>
      </c>
      <c r="V8" s="26">
        <v>0.16874058929931399</v>
      </c>
      <c r="W8" s="8">
        <v>-1.4E-3</v>
      </c>
      <c r="X8" s="9">
        <v>0.17040764167394001</v>
      </c>
      <c r="Y8" s="25">
        <v>2.0999999999999999E-3</v>
      </c>
      <c r="Z8" s="26">
        <v>0.172178682965933</v>
      </c>
      <c r="AA8" s="58"/>
      <c r="AE8" s="3" t="s">
        <v>8</v>
      </c>
    </row>
    <row r="9" spans="2:31" x14ac:dyDescent="0.25">
      <c r="B9" s="10" t="s">
        <v>7</v>
      </c>
      <c r="C9" s="8">
        <v>1.1000000000000001E-3</v>
      </c>
      <c r="D9" s="9">
        <v>0.28779421140435402</v>
      </c>
      <c r="E9" s="25">
        <v>5.9999999999999995E-4</v>
      </c>
      <c r="F9" s="26">
        <v>0.27950842625822397</v>
      </c>
      <c r="G9" s="8">
        <v>1.4E-3</v>
      </c>
      <c r="H9" s="9">
        <v>0.28771771106995397</v>
      </c>
      <c r="I9" s="25">
        <v>1.2999999999999999E-3</v>
      </c>
      <c r="J9" s="26">
        <v>0.34790444948636901</v>
      </c>
      <c r="K9" s="8">
        <v>8.9999999999999998E-4</v>
      </c>
      <c r="L9" s="9">
        <v>0.34101289815143099</v>
      </c>
      <c r="M9" s="25">
        <v>2E-3</v>
      </c>
      <c r="N9" s="26">
        <v>0.36975854441114903</v>
      </c>
      <c r="O9" s="8">
        <v>1.6000000000000001E-3</v>
      </c>
      <c r="P9" s="9">
        <v>0.35697308836272901</v>
      </c>
      <c r="Q9" s="25">
        <v>-4.0000000000000002E-4</v>
      </c>
      <c r="R9" s="26">
        <v>0.351421790808707</v>
      </c>
      <c r="S9" s="8">
        <v>1.9E-3</v>
      </c>
      <c r="T9" s="9">
        <v>0.35107556224384201</v>
      </c>
      <c r="U9" s="25">
        <v>1.4E-3</v>
      </c>
      <c r="V9" s="26">
        <v>0.35436894413848402</v>
      </c>
      <c r="W9" s="8">
        <v>5.0000000000000001E-4</v>
      </c>
      <c r="X9" s="9">
        <v>0.33371658667564802</v>
      </c>
      <c r="Y9" s="25">
        <v>1.9E-3</v>
      </c>
      <c r="Z9" s="26">
        <v>0.37125490486101698</v>
      </c>
      <c r="AA9" s="58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8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8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8"/>
      <c r="AE12" s="3" t="s">
        <v>16</v>
      </c>
    </row>
    <row r="13" spans="2:31" x14ac:dyDescent="0.25">
      <c r="B13" s="10" t="s">
        <v>15</v>
      </c>
      <c r="C13" s="8">
        <v>0</v>
      </c>
      <c r="D13" s="9">
        <v>1.2540947963791499E-6</v>
      </c>
      <c r="E13" s="25">
        <v>0</v>
      </c>
      <c r="F13" s="26">
        <v>1.1387473375097801E-6</v>
      </c>
      <c r="G13" s="8">
        <v>0</v>
      </c>
      <c r="H13" s="9">
        <v>1.0369958166204E-6</v>
      </c>
      <c r="I13" s="25">
        <v>0</v>
      </c>
      <c r="J13" s="26">
        <v>1.2769556164347599E-6</v>
      </c>
      <c r="K13" s="8">
        <v>0</v>
      </c>
      <c r="L13" s="9">
        <v>1.18382940010349E-6</v>
      </c>
      <c r="M13" s="25">
        <v>0</v>
      </c>
      <c r="N13" s="26">
        <v>1.11631317662678E-6</v>
      </c>
      <c r="O13" s="8">
        <v>0</v>
      </c>
      <c r="P13" s="9">
        <v>1.05014428567465E-6</v>
      </c>
      <c r="Q13" s="25">
        <v>0</v>
      </c>
      <c r="R13" s="26">
        <v>1.0243851721743301E-6</v>
      </c>
      <c r="S13" s="8">
        <v>0</v>
      </c>
      <c r="T13" s="9">
        <v>9.7503319954424008E-7</v>
      </c>
      <c r="U13" s="25">
        <v>0</v>
      </c>
      <c r="V13" s="26">
        <v>9.5511504729966609E-7</v>
      </c>
      <c r="W13" s="8">
        <v>0</v>
      </c>
      <c r="X13" s="9">
        <v>9.0019543328912297E-7</v>
      </c>
      <c r="Y13" s="25">
        <v>0</v>
      </c>
      <c r="Z13" s="26">
        <v>8.6775023705366905E-7</v>
      </c>
      <c r="AA13" s="58"/>
      <c r="AE13" s="3" t="s">
        <v>18</v>
      </c>
    </row>
    <row r="14" spans="2:31" x14ac:dyDescent="0.25">
      <c r="B14" s="10" t="s">
        <v>17</v>
      </c>
      <c r="C14" s="8">
        <v>-1.2999999999999999E-3</v>
      </c>
      <c r="D14" s="9">
        <v>0.179523015758938</v>
      </c>
      <c r="E14" s="25">
        <v>1.04E-2</v>
      </c>
      <c r="F14" s="26">
        <v>0.186603266781004</v>
      </c>
      <c r="G14" s="8">
        <v>5.3E-3</v>
      </c>
      <c r="H14" s="9">
        <v>0.18083325220013299</v>
      </c>
      <c r="I14" s="25">
        <v>-7.0000000000000001E-3</v>
      </c>
      <c r="J14" s="26">
        <v>0.18023919976966399</v>
      </c>
      <c r="K14" s="8">
        <v>1E-3</v>
      </c>
      <c r="L14" s="9">
        <v>0.17219756425747301</v>
      </c>
      <c r="M14" s="25">
        <v>-3.2000000000000002E-3</v>
      </c>
      <c r="N14" s="26">
        <v>0.16016992548423201</v>
      </c>
      <c r="O14" s="8">
        <v>3.5999999999999999E-3</v>
      </c>
      <c r="P14" s="9">
        <v>0.16180262851615901</v>
      </c>
      <c r="Q14" s="25">
        <v>7.1000000000000004E-3</v>
      </c>
      <c r="R14" s="26">
        <v>0.172834313761484</v>
      </c>
      <c r="S14" s="8">
        <v>3.7000000000000002E-3</v>
      </c>
      <c r="T14" s="9">
        <v>0.17461404994544599</v>
      </c>
      <c r="U14" s="25">
        <v>8.2000000000000007E-3</v>
      </c>
      <c r="V14" s="26">
        <v>0.18436516046964799</v>
      </c>
      <c r="W14" s="8">
        <v>9.5999999999999992E-3</v>
      </c>
      <c r="X14" s="9">
        <v>0.189979007416026</v>
      </c>
      <c r="Y14" s="25">
        <v>9.5999999999999992E-3</v>
      </c>
      <c r="Z14" s="26">
        <v>0.199751804665521</v>
      </c>
      <c r="AA14" s="58"/>
      <c r="AE14" s="3" t="s">
        <v>19</v>
      </c>
    </row>
    <row r="15" spans="2:31" x14ac:dyDescent="0.25">
      <c r="B15" s="10" t="s">
        <v>44</v>
      </c>
      <c r="C15" s="8">
        <v>4.3E-3</v>
      </c>
      <c r="D15" s="9">
        <v>0.35217773301719302</v>
      </c>
      <c r="E15" s="25">
        <v>1.4500000000000001E-2</v>
      </c>
      <c r="F15" s="26">
        <v>0.343478759135249</v>
      </c>
      <c r="G15" s="8">
        <v>1.7100000000000001E-2</v>
      </c>
      <c r="H15" s="9">
        <v>0.33288219721988499</v>
      </c>
      <c r="I15" s="25">
        <v>-8.6E-3</v>
      </c>
      <c r="J15" s="26">
        <v>0.32499474319516303</v>
      </c>
      <c r="K15" s="8">
        <v>1.03E-2</v>
      </c>
      <c r="L15" s="9">
        <v>0.31439600078632501</v>
      </c>
      <c r="M15" s="25">
        <v>1.2E-2</v>
      </c>
      <c r="N15" s="26">
        <v>0.31181302579210202</v>
      </c>
      <c r="O15" s="8">
        <v>4.1999999999999997E-3</v>
      </c>
      <c r="P15" s="9">
        <v>0.30493512597030897</v>
      </c>
      <c r="Q15" s="25">
        <v>-2.5000000000000001E-3</v>
      </c>
      <c r="R15" s="26">
        <v>0.29465353589010801</v>
      </c>
      <c r="S15" s="8">
        <v>1.2999999999999999E-2</v>
      </c>
      <c r="T15" s="9">
        <v>0.292721302986726</v>
      </c>
      <c r="U15" s="25">
        <v>2.0000000000000001E-4</v>
      </c>
      <c r="V15" s="26">
        <v>0.286277953689827</v>
      </c>
      <c r="W15" s="8">
        <v>9.4999999999999998E-3</v>
      </c>
      <c r="X15" s="9">
        <v>0.27861214088928998</v>
      </c>
      <c r="Y15" s="25">
        <v>5.0000000000000001E-4</v>
      </c>
      <c r="Z15" s="26">
        <v>0.26872648121391102</v>
      </c>
      <c r="AA15" s="58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8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8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5.5363068612469296E-6</v>
      </c>
      <c r="I18" s="25">
        <v>0</v>
      </c>
      <c r="J18" s="26">
        <v>4.5717056963527004E-6</v>
      </c>
      <c r="K18" s="8">
        <v>0</v>
      </c>
      <c r="L18" s="9">
        <v>5.3670016998639702E-6</v>
      </c>
      <c r="M18" s="25">
        <v>0</v>
      </c>
      <c r="N18" s="26">
        <v>7.5688631660266503E-6</v>
      </c>
      <c r="O18" s="8">
        <v>0</v>
      </c>
      <c r="P18" s="9">
        <v>1.05357994957011E-5</v>
      </c>
      <c r="Q18" s="25">
        <v>-1E-4</v>
      </c>
      <c r="R18" s="26">
        <v>9.5986063372590001E-6</v>
      </c>
      <c r="S18" s="8">
        <v>0</v>
      </c>
      <c r="T18" s="9">
        <v>8.5856905303321301E-6</v>
      </c>
      <c r="U18" s="25">
        <v>0</v>
      </c>
      <c r="V18" s="26">
        <v>9.2302679669745305E-6</v>
      </c>
      <c r="W18" s="8">
        <v>0</v>
      </c>
      <c r="X18" s="9">
        <v>1.0535615960370999E-5</v>
      </c>
      <c r="Y18" s="25">
        <v>-2.0000000000000001E-4</v>
      </c>
      <c r="Z18" s="26">
        <v>1.6115604422450601E-5</v>
      </c>
      <c r="AA18" s="58"/>
      <c r="AE18" s="3"/>
    </row>
    <row r="19" spans="2:31" x14ac:dyDescent="0.25">
      <c r="B19" s="10" t="s">
        <v>25</v>
      </c>
      <c r="C19" s="8">
        <v>4.0000000000000001E-3</v>
      </c>
      <c r="D19" s="9">
        <v>1.80165104723095E-2</v>
      </c>
      <c r="E19" s="25">
        <v>2.07E-2</v>
      </c>
      <c r="F19" s="26">
        <v>3.5551794122038398E-2</v>
      </c>
      <c r="G19" s="8">
        <v>1.3299999999999999E-2</v>
      </c>
      <c r="H19" s="9">
        <v>9.2228349415365007E-3</v>
      </c>
      <c r="I19" s="25">
        <v>-2.1600000000000001E-2</v>
      </c>
      <c r="J19" s="26">
        <v>-1.06779033625136E-2</v>
      </c>
      <c r="K19" s="8">
        <v>1.7000000000000001E-2</v>
      </c>
      <c r="L19" s="9">
        <v>5.8746821873322096E-3</v>
      </c>
      <c r="M19" s="25">
        <v>1.5800000000000002E-2</v>
      </c>
      <c r="N19" s="26">
        <v>1.95207226301379E-3</v>
      </c>
      <c r="O19" s="8">
        <v>2.5000000000000001E-3</v>
      </c>
      <c r="P19" s="9">
        <v>3.9950368058352202E-3</v>
      </c>
      <c r="Q19" s="25">
        <v>5.1999999999999998E-3</v>
      </c>
      <c r="R19" s="26">
        <v>9.2351410623818502E-3</v>
      </c>
      <c r="S19" s="8">
        <v>1.2800000000000001E-2</v>
      </c>
      <c r="T19" s="9">
        <v>1.3383362201761201E-2</v>
      </c>
      <c r="U19" s="25">
        <v>-6.8999999999999999E-3</v>
      </c>
      <c r="V19" s="26">
        <v>4.5471890631417402E-3</v>
      </c>
      <c r="W19" s="8">
        <v>2.24E-2</v>
      </c>
      <c r="X19" s="9">
        <v>2.5330756120459201E-2</v>
      </c>
      <c r="Y19" s="25">
        <v>-1.04E-2</v>
      </c>
      <c r="Z19" s="26">
        <v>-1.7463233382971899E-2</v>
      </c>
      <c r="AA19" s="58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8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8"/>
    </row>
    <row r="22" spans="2:31" x14ac:dyDescent="0.25">
      <c r="B22" s="10" t="s">
        <v>28</v>
      </c>
      <c r="C22" s="8">
        <v>0</v>
      </c>
      <c r="D22" s="9">
        <v>3.8082466232423899E-3</v>
      </c>
      <c r="E22" s="25">
        <v>1E-4</v>
      </c>
      <c r="F22" s="26">
        <v>3.8463525311097399E-3</v>
      </c>
      <c r="G22" s="8">
        <v>0</v>
      </c>
      <c r="H22" s="9">
        <v>3.6436392436378002E-3</v>
      </c>
      <c r="I22" s="25">
        <v>0</v>
      </c>
      <c r="J22" s="26">
        <v>3.77146332305428E-3</v>
      </c>
      <c r="K22" s="8">
        <v>1E-4</v>
      </c>
      <c r="L22" s="9">
        <v>3.86992148771108E-3</v>
      </c>
      <c r="M22" s="25">
        <v>0</v>
      </c>
      <c r="N22" s="26">
        <v>3.8386628906923299E-3</v>
      </c>
      <c r="O22" s="8">
        <v>0</v>
      </c>
      <c r="P22" s="9">
        <v>4.1535439094432802E-3</v>
      </c>
      <c r="Q22" s="25">
        <v>0</v>
      </c>
      <c r="R22" s="26">
        <v>4.4793472444396697E-3</v>
      </c>
      <c r="S22" s="8">
        <v>0</v>
      </c>
      <c r="T22" s="9">
        <v>4.4509388069007396E-3</v>
      </c>
      <c r="U22" s="25">
        <v>0</v>
      </c>
      <c r="V22" s="26">
        <v>4.6274791894264696E-3</v>
      </c>
      <c r="W22" s="8">
        <v>1E-4</v>
      </c>
      <c r="X22" s="9">
        <v>4.6528784835385096E-3</v>
      </c>
      <c r="Y22" s="25">
        <v>-2.0000000000000001E-4</v>
      </c>
      <c r="Z22" s="26">
        <v>4.9312666894676203E-3</v>
      </c>
      <c r="AA22" s="58"/>
    </row>
    <row r="23" spans="2:31" x14ac:dyDescent="0.25">
      <c r="B23" s="10" t="s">
        <v>29</v>
      </c>
      <c r="C23" s="8">
        <v>-1E-4</v>
      </c>
      <c r="D23" s="9">
        <v>-1.1746006627789999E-3</v>
      </c>
      <c r="E23" s="25">
        <v>1E-4</v>
      </c>
      <c r="F23" s="26">
        <v>-1.5095557377625901E-3</v>
      </c>
      <c r="G23" s="8">
        <v>0</v>
      </c>
      <c r="H23" s="9">
        <v>8.4078017439929498E-4</v>
      </c>
      <c r="I23" s="25">
        <v>-1E-4</v>
      </c>
      <c r="J23" s="26">
        <v>3.02705268283938E-2</v>
      </c>
      <c r="K23" s="8">
        <v>-2.9999999999999997E-4</v>
      </c>
      <c r="L23" s="9">
        <v>1.6491939988865102E-2</v>
      </c>
      <c r="M23" s="25">
        <v>2.0000000000000001E-4</v>
      </c>
      <c r="N23" s="26">
        <v>2.0312816027095702E-2</v>
      </c>
      <c r="O23" s="8">
        <v>0</v>
      </c>
      <c r="P23" s="9">
        <v>-4.0629024247089302E-5</v>
      </c>
      <c r="Q23" s="25">
        <v>-1E-4</v>
      </c>
      <c r="R23" s="26">
        <v>-2.1293298407891398E-3</v>
      </c>
      <c r="S23" s="8">
        <v>0</v>
      </c>
      <c r="T23" s="9">
        <v>-1.9443010445077699E-3</v>
      </c>
      <c r="U23" s="25">
        <v>0</v>
      </c>
      <c r="V23" s="26">
        <v>-3.2182072171752E-3</v>
      </c>
      <c r="W23" s="8">
        <v>1E-4</v>
      </c>
      <c r="X23" s="9">
        <v>-3.2248232063241699E-3</v>
      </c>
      <c r="Y23" s="25">
        <v>-2.0000000000000001E-4</v>
      </c>
      <c r="Z23" s="26">
        <v>6.0310963228271404E-4</v>
      </c>
      <c r="AA23" s="58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8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8"/>
    </row>
    <row r="26" spans="2:31" x14ac:dyDescent="0.25">
      <c r="B26" s="10" t="s">
        <v>32</v>
      </c>
      <c r="C26" s="8">
        <v>2.0000000000000001E-4</v>
      </c>
      <c r="D26" s="9">
        <v>2.9828070128562299E-4</v>
      </c>
      <c r="E26" s="25">
        <v>5.00000000000005E-4</v>
      </c>
      <c r="F26" s="26">
        <v>6.2710468734609201E-4</v>
      </c>
      <c r="G26" s="8">
        <v>-1.2999999999999999E-3</v>
      </c>
      <c r="H26" s="9">
        <v>-1.13935679467436E-13</v>
      </c>
      <c r="I26" s="25">
        <v>4.0000000000000002E-4</v>
      </c>
      <c r="J26" s="26">
        <v>3.0769061254413602E-4</v>
      </c>
      <c r="K26" s="8">
        <v>2.0000000000000399E-4</v>
      </c>
      <c r="L26" s="9">
        <v>5.0349470282617795E-4</v>
      </c>
      <c r="M26" s="25">
        <v>-4.0000000000000002E-4</v>
      </c>
      <c r="N26" s="26">
        <v>-4.3857249429346599E-13</v>
      </c>
      <c r="O26" s="8">
        <v>2.9999999999999997E-4</v>
      </c>
      <c r="P26" s="9">
        <v>3.6622571610495401E-4</v>
      </c>
      <c r="Q26" s="25">
        <v>2.9999999999999997E-4</v>
      </c>
      <c r="R26" s="26">
        <v>6.9195589803001804E-4</v>
      </c>
      <c r="S26" s="8">
        <v>-7.0000000000000205E-4</v>
      </c>
      <c r="T26" s="9">
        <v>6.0453168512775204E-13</v>
      </c>
      <c r="U26" s="25">
        <v>2.99999999999999E-4</v>
      </c>
      <c r="V26" s="26">
        <v>2.8070598431907998E-4</v>
      </c>
      <c r="W26" s="8">
        <v>2.9999999999999802E-4</v>
      </c>
      <c r="X26" s="9">
        <v>5.1437613602929003E-4</v>
      </c>
      <c r="Y26" s="25">
        <v>-5.0000000000000001E-4</v>
      </c>
      <c r="Z26" s="26">
        <v>1.8003928643067799E-13</v>
      </c>
      <c r="AA26" s="58"/>
    </row>
    <row r="27" spans="2:31" x14ac:dyDescent="0.25">
      <c r="B27" s="11" t="s">
        <v>33</v>
      </c>
      <c r="C27" s="12">
        <v>8.8999999999999999E-3</v>
      </c>
      <c r="D27" s="13">
        <v>1</v>
      </c>
      <c r="E27" s="27">
        <v>4.7100000000000003E-2</v>
      </c>
      <c r="F27" s="28">
        <v>1</v>
      </c>
      <c r="G27" s="12">
        <v>3.6999999999999998E-2</v>
      </c>
      <c r="H27" s="13">
        <v>1</v>
      </c>
      <c r="I27" s="27">
        <v>-3.4799999999999998E-2</v>
      </c>
      <c r="J27" s="28">
        <v>1</v>
      </c>
      <c r="K27" s="12">
        <v>2.93E-2</v>
      </c>
      <c r="L27" s="13">
        <v>1</v>
      </c>
      <c r="M27" s="27">
        <v>2.7900000000000001E-2</v>
      </c>
      <c r="N27" s="28">
        <v>1</v>
      </c>
      <c r="O27" s="12">
        <v>1.2699999999999999E-2</v>
      </c>
      <c r="P27" s="13">
        <v>1</v>
      </c>
      <c r="Q27" s="27">
        <v>7.7999999999999996E-3</v>
      </c>
      <c r="R27" s="28">
        <v>1</v>
      </c>
      <c r="S27" s="12">
        <v>3.27E-2</v>
      </c>
      <c r="T27" s="13">
        <v>1</v>
      </c>
      <c r="U27" s="27">
        <v>2.8999999999999998E-3</v>
      </c>
      <c r="V27" s="28">
        <v>1</v>
      </c>
      <c r="W27" s="12">
        <v>4.1099999999999998E-2</v>
      </c>
      <c r="X27" s="13">
        <v>1</v>
      </c>
      <c r="Y27" s="27">
        <v>2.5999999999999999E-3</v>
      </c>
      <c r="Z27" s="28">
        <v>1</v>
      </c>
      <c r="AA27" s="58"/>
    </row>
    <row r="28" spans="2:31" x14ac:dyDescent="0.25">
      <c r="B28" s="31" t="s">
        <v>39</v>
      </c>
      <c r="C28" s="51">
        <v>47737.272070000501</v>
      </c>
      <c r="D28" s="52"/>
      <c r="E28" s="45">
        <v>273961.338630001</v>
      </c>
      <c r="F28" s="46"/>
      <c r="G28" s="51">
        <v>240147.63087999899</v>
      </c>
      <c r="H28" s="52"/>
      <c r="I28" s="38">
        <v>-244984.19812999899</v>
      </c>
      <c r="J28" s="39"/>
      <c r="K28" s="40">
        <v>205196.52673000001</v>
      </c>
      <c r="L28" s="39"/>
      <c r="M28" s="38">
        <v>211931.95272</v>
      </c>
      <c r="N28" s="39"/>
      <c r="O28" s="40">
        <v>101667.503369999</v>
      </c>
      <c r="P28" s="39"/>
      <c r="Q28" s="38">
        <v>66445.693540000502</v>
      </c>
      <c r="R28" s="39"/>
      <c r="S28" s="40">
        <v>282941.01381000102</v>
      </c>
      <c r="T28" s="39"/>
      <c r="U28" s="38">
        <v>24933.942629999601</v>
      </c>
      <c r="V28" s="39"/>
      <c r="W28" s="40">
        <v>377771.95190999901</v>
      </c>
      <c r="X28" s="39"/>
      <c r="Y28" s="38">
        <v>21612.324469999301</v>
      </c>
      <c r="Z28" s="39"/>
      <c r="AA28" s="5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8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8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  <c r="AA31" s="58"/>
    </row>
    <row r="32" spans="2:31" ht="15.75" x14ac:dyDescent="0.25">
      <c r="B32" s="21" t="s">
        <v>41</v>
      </c>
      <c r="C32" s="47">
        <v>45292</v>
      </c>
      <c r="D32" s="48"/>
      <c r="E32" s="49">
        <v>45323</v>
      </c>
      <c r="F32" s="50"/>
      <c r="G32" s="47">
        <v>45352</v>
      </c>
      <c r="H32" s="48"/>
      <c r="I32" s="49">
        <v>45383</v>
      </c>
      <c r="J32" s="50"/>
      <c r="K32" s="47">
        <v>45413</v>
      </c>
      <c r="L32" s="48"/>
      <c r="M32" s="49">
        <v>45444</v>
      </c>
      <c r="N32" s="50"/>
      <c r="O32" s="47">
        <v>45474</v>
      </c>
      <c r="P32" s="48"/>
      <c r="Q32" s="49">
        <v>45505</v>
      </c>
      <c r="R32" s="50"/>
      <c r="S32" s="47">
        <v>45536</v>
      </c>
      <c r="T32" s="48"/>
      <c r="U32" s="49">
        <v>45566</v>
      </c>
      <c r="V32" s="50"/>
      <c r="W32" s="47">
        <v>45597</v>
      </c>
      <c r="X32" s="48"/>
      <c r="Y32" s="49">
        <v>45627</v>
      </c>
      <c r="Z32" s="50"/>
      <c r="AA32" s="58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8"/>
    </row>
    <row r="34" spans="2:27" x14ac:dyDescent="0.25">
      <c r="B34" s="7" t="s">
        <v>34</v>
      </c>
      <c r="C34" s="16">
        <v>5.0000000000000001E-4</v>
      </c>
      <c r="D34" s="17">
        <v>0.66503366268548003</v>
      </c>
      <c r="E34" s="29">
        <v>1.4800000000000001E-2</v>
      </c>
      <c r="F34" s="30">
        <v>0.64401399374557899</v>
      </c>
      <c r="G34" s="16">
        <v>3.2899999999999999E-2</v>
      </c>
      <c r="H34" s="17">
        <v>0.68038331182540401</v>
      </c>
      <c r="I34" s="29">
        <v>-7.1000000000000004E-3</v>
      </c>
      <c r="J34" s="30">
        <v>0.69640474026475996</v>
      </c>
      <c r="K34" s="16">
        <v>-1E-4</v>
      </c>
      <c r="L34" s="17">
        <v>0.69100026080219701</v>
      </c>
      <c r="M34" s="29">
        <v>-4.1000000000000003E-3</v>
      </c>
      <c r="N34" s="30">
        <v>0.65461536273825904</v>
      </c>
      <c r="O34" s="16">
        <v>7.4999999999999997E-3</v>
      </c>
      <c r="P34" s="17">
        <v>0.66165310041578496</v>
      </c>
      <c r="Q34" s="29">
        <v>9.5999999999999992E-3</v>
      </c>
      <c r="R34" s="30">
        <v>0.68574829061949605</v>
      </c>
      <c r="S34" s="16">
        <v>6.1000000000000004E-3</v>
      </c>
      <c r="T34" s="17">
        <v>0.68454281717647303</v>
      </c>
      <c r="U34" s="29">
        <v>1.17E-2</v>
      </c>
      <c r="V34" s="30">
        <v>0.712614498991189</v>
      </c>
      <c r="W34" s="16">
        <v>1.21E-2</v>
      </c>
      <c r="X34" s="17">
        <v>0.70163576060705601</v>
      </c>
      <c r="Y34" s="29">
        <v>1.55E-2</v>
      </c>
      <c r="Z34" s="30">
        <v>0.73604343709286402</v>
      </c>
      <c r="AA34" s="58"/>
    </row>
    <row r="35" spans="2:27" x14ac:dyDescent="0.25">
      <c r="B35" s="10" t="s">
        <v>35</v>
      </c>
      <c r="C35" s="8">
        <v>8.3999999999999995E-3</v>
      </c>
      <c r="D35" s="9">
        <v>0.33496633731451902</v>
      </c>
      <c r="E35" s="25">
        <v>3.2300000000000002E-2</v>
      </c>
      <c r="F35" s="26">
        <v>0.35598600625442101</v>
      </c>
      <c r="G35" s="8">
        <v>4.1000000000000003E-3</v>
      </c>
      <c r="H35" s="9">
        <v>0.31961668817459599</v>
      </c>
      <c r="I35" s="25">
        <v>-2.7699999999999999E-2</v>
      </c>
      <c r="J35" s="26">
        <v>0.30359525973523999</v>
      </c>
      <c r="K35" s="8">
        <v>2.9399999999999999E-2</v>
      </c>
      <c r="L35" s="9">
        <v>0.30899973919780299</v>
      </c>
      <c r="M35" s="25">
        <v>3.2000000000000001E-2</v>
      </c>
      <c r="N35" s="26">
        <v>0.34538463726174101</v>
      </c>
      <c r="O35" s="8">
        <v>5.1999999999999998E-3</v>
      </c>
      <c r="P35" s="9">
        <v>0.33834689958421499</v>
      </c>
      <c r="Q35" s="25">
        <v>-1.8E-3</v>
      </c>
      <c r="R35" s="26">
        <v>0.31425170938050401</v>
      </c>
      <c r="S35" s="8">
        <v>2.6599999999999999E-2</v>
      </c>
      <c r="T35" s="9">
        <v>0.31545718282352703</v>
      </c>
      <c r="U35" s="25">
        <v>-8.8000000000000005E-3</v>
      </c>
      <c r="V35" s="26">
        <v>0.287385501008811</v>
      </c>
      <c r="W35" s="8">
        <v>2.9000000000000001E-2</v>
      </c>
      <c r="X35" s="9">
        <v>0.29836423939294399</v>
      </c>
      <c r="Y35" s="25">
        <v>-1.29E-2</v>
      </c>
      <c r="Z35" s="26">
        <v>0.26395656290713598</v>
      </c>
      <c r="AA35" s="58"/>
    </row>
    <row r="36" spans="2:27" x14ac:dyDescent="0.25">
      <c r="B36" s="11" t="s">
        <v>33</v>
      </c>
      <c r="C36" s="12">
        <v>8.8999999999999999E-3</v>
      </c>
      <c r="D36" s="13">
        <v>1</v>
      </c>
      <c r="E36" s="27">
        <v>4.7100000000000003E-2</v>
      </c>
      <c r="F36" s="28">
        <v>1</v>
      </c>
      <c r="G36" s="12">
        <v>3.6999999999999998E-2</v>
      </c>
      <c r="H36" s="13">
        <v>1</v>
      </c>
      <c r="I36" s="27">
        <v>-3.4799999999999998E-2</v>
      </c>
      <c r="J36" s="28">
        <v>1</v>
      </c>
      <c r="K36" s="12">
        <v>2.93E-2</v>
      </c>
      <c r="L36" s="13">
        <v>1</v>
      </c>
      <c r="M36" s="27">
        <v>2.7900000000000001E-2</v>
      </c>
      <c r="N36" s="28">
        <v>1</v>
      </c>
      <c r="O36" s="12">
        <v>1.2699999999999999E-2</v>
      </c>
      <c r="P36" s="13">
        <v>1</v>
      </c>
      <c r="Q36" s="27">
        <v>7.7999999999999996E-3</v>
      </c>
      <c r="R36" s="28">
        <v>1</v>
      </c>
      <c r="S36" s="12">
        <v>3.27E-2</v>
      </c>
      <c r="T36" s="13">
        <v>1</v>
      </c>
      <c r="U36" s="27">
        <v>2.8999999999999998E-3</v>
      </c>
      <c r="V36" s="28">
        <v>1</v>
      </c>
      <c r="W36" s="12">
        <v>4.1099999999999998E-2</v>
      </c>
      <c r="X36" s="13">
        <v>1</v>
      </c>
      <c r="Y36" s="27">
        <v>2.5999999999999999E-3</v>
      </c>
      <c r="Z36" s="28">
        <v>1</v>
      </c>
      <c r="AA36" s="58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8"/>
    </row>
    <row r="38" spans="2:27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  <c r="AA38" s="58"/>
    </row>
    <row r="39" spans="2:27" ht="15.75" x14ac:dyDescent="0.25">
      <c r="B39" s="21" t="s">
        <v>41</v>
      </c>
      <c r="C39" s="47">
        <v>45292</v>
      </c>
      <c r="D39" s="48"/>
      <c r="E39" s="49">
        <v>45323</v>
      </c>
      <c r="F39" s="50"/>
      <c r="G39" s="47">
        <v>45352</v>
      </c>
      <c r="H39" s="48"/>
      <c r="I39" s="49">
        <v>45383</v>
      </c>
      <c r="J39" s="50"/>
      <c r="K39" s="47">
        <v>45413</v>
      </c>
      <c r="L39" s="48"/>
      <c r="M39" s="49">
        <v>45444</v>
      </c>
      <c r="N39" s="50"/>
      <c r="O39" s="47">
        <v>45474</v>
      </c>
      <c r="P39" s="48"/>
      <c r="Q39" s="49">
        <v>45505</v>
      </c>
      <c r="R39" s="50"/>
      <c r="S39" s="47">
        <v>45536</v>
      </c>
      <c r="T39" s="48"/>
      <c r="U39" s="49">
        <v>45566</v>
      </c>
      <c r="V39" s="50"/>
      <c r="W39" s="47">
        <v>45597</v>
      </c>
      <c r="X39" s="48"/>
      <c r="Y39" s="49">
        <v>45627</v>
      </c>
      <c r="Z39" s="50"/>
      <c r="AA39" s="58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8"/>
    </row>
    <row r="41" spans="2:27" x14ac:dyDescent="0.25">
      <c r="B41" s="7" t="s">
        <v>36</v>
      </c>
      <c r="C41" s="16">
        <v>8.8000000000000005E-3</v>
      </c>
      <c r="D41" s="17">
        <v>0.99486548992272295</v>
      </c>
      <c r="E41" s="29">
        <v>4.6100000000000002E-2</v>
      </c>
      <c r="F41" s="30">
        <v>0.994483372549539</v>
      </c>
      <c r="G41" s="16">
        <v>6.5600000000000006E-2</v>
      </c>
      <c r="H41" s="17">
        <v>0.99643759628304696</v>
      </c>
      <c r="I41" s="29">
        <v>-3.44E-2</v>
      </c>
      <c r="J41" s="30">
        <v>0.96546626984976602</v>
      </c>
      <c r="K41" s="16">
        <v>2.9100000000000001E-2</v>
      </c>
      <c r="L41" s="17">
        <v>0.97883256327027401</v>
      </c>
      <c r="M41" s="29">
        <v>2.75E-2</v>
      </c>
      <c r="N41" s="30">
        <v>0.97541492261112706</v>
      </c>
      <c r="O41" s="16">
        <v>1.1599999999999999E-2</v>
      </c>
      <c r="P41" s="17">
        <v>0.99480816214125001</v>
      </c>
      <c r="Q41" s="29">
        <v>6.1000000000000004E-3</v>
      </c>
      <c r="R41" s="30">
        <v>0.99498443667528003</v>
      </c>
      <c r="S41" s="16">
        <v>3.2099999999999997E-2</v>
      </c>
      <c r="T41" s="17">
        <v>0.99445948149866403</v>
      </c>
      <c r="U41" s="29">
        <v>3.3999999999999998E-3</v>
      </c>
      <c r="V41" s="30">
        <v>0.99766397931072204</v>
      </c>
      <c r="W41" s="16">
        <v>3.73E-2</v>
      </c>
      <c r="X41" s="17">
        <v>0.99443316932149695</v>
      </c>
      <c r="Y41" s="29">
        <v>5.0000000000000001E-3</v>
      </c>
      <c r="Z41" s="30">
        <v>0.995618049569995</v>
      </c>
      <c r="AA41" s="58"/>
    </row>
    <row r="42" spans="2:27" x14ac:dyDescent="0.25">
      <c r="B42" s="10" t="s">
        <v>37</v>
      </c>
      <c r="C42" s="8">
        <v>1.0000000000000099E-4</v>
      </c>
      <c r="D42" s="9">
        <v>5.1345100772774198E-3</v>
      </c>
      <c r="E42" s="25">
        <v>9.9999999999999699E-4</v>
      </c>
      <c r="F42" s="26">
        <v>5.5166274504607699E-3</v>
      </c>
      <c r="G42" s="8">
        <v>-2.86E-2</v>
      </c>
      <c r="H42" s="9">
        <v>3.5624037169532299E-3</v>
      </c>
      <c r="I42" s="25">
        <v>-4.00000000000003E-4</v>
      </c>
      <c r="J42" s="26">
        <v>3.4533730150233997E-2</v>
      </c>
      <c r="K42" s="8">
        <v>2.0000000000000199E-4</v>
      </c>
      <c r="L42" s="9">
        <v>2.1167436729726399E-2</v>
      </c>
      <c r="M42" s="25">
        <v>4.0000000000000002E-4</v>
      </c>
      <c r="N42" s="26">
        <v>2.4585077388873298E-2</v>
      </c>
      <c r="O42" s="8">
        <v>1.1000000000000001E-3</v>
      </c>
      <c r="P42" s="9">
        <v>5.19183785874978E-3</v>
      </c>
      <c r="Q42" s="25">
        <v>1.6999999999999999E-3</v>
      </c>
      <c r="R42" s="26">
        <v>5.0155633247201603E-3</v>
      </c>
      <c r="S42" s="8">
        <v>6.0000000000000298E-4</v>
      </c>
      <c r="T42" s="9">
        <v>5.5405185013355004E-3</v>
      </c>
      <c r="U42" s="25">
        <v>-5.0000000000000001E-4</v>
      </c>
      <c r="V42" s="26">
        <v>2.3360206892779501E-3</v>
      </c>
      <c r="W42" s="8">
        <v>3.8E-3</v>
      </c>
      <c r="X42" s="9">
        <v>5.5668306785027297E-3</v>
      </c>
      <c r="Y42" s="25">
        <v>-2.3999999999999998E-3</v>
      </c>
      <c r="Z42" s="26">
        <v>4.3819504300054001E-3</v>
      </c>
      <c r="AA42" s="58"/>
    </row>
    <row r="43" spans="2:27" x14ac:dyDescent="0.25">
      <c r="B43" s="11" t="s">
        <v>33</v>
      </c>
      <c r="C43" s="12">
        <v>8.8999999999999999E-3</v>
      </c>
      <c r="D43" s="13">
        <v>1</v>
      </c>
      <c r="E43" s="27">
        <v>4.7100000000000003E-2</v>
      </c>
      <c r="F43" s="28">
        <v>1</v>
      </c>
      <c r="G43" s="12">
        <v>3.6999999999999998E-2</v>
      </c>
      <c r="H43" s="13">
        <v>1</v>
      </c>
      <c r="I43" s="27">
        <v>-3.4799999999999998E-2</v>
      </c>
      <c r="J43" s="28">
        <v>1</v>
      </c>
      <c r="K43" s="12">
        <v>2.93E-2</v>
      </c>
      <c r="L43" s="13">
        <v>1</v>
      </c>
      <c r="M43" s="27">
        <v>2.7900000000000001E-2</v>
      </c>
      <c r="N43" s="28">
        <v>1</v>
      </c>
      <c r="O43" s="12">
        <v>1.2699999999999999E-2</v>
      </c>
      <c r="P43" s="13">
        <v>1</v>
      </c>
      <c r="Q43" s="27">
        <v>7.7999999999999996E-3</v>
      </c>
      <c r="R43" s="28">
        <v>1</v>
      </c>
      <c r="S43" s="12">
        <v>3.27E-2</v>
      </c>
      <c r="T43" s="13">
        <v>1</v>
      </c>
      <c r="U43" s="27">
        <v>2.8999999999999998E-3</v>
      </c>
      <c r="V43" s="28">
        <v>1</v>
      </c>
      <c r="W43" s="12">
        <v>4.1099999999999998E-2</v>
      </c>
      <c r="X43" s="13">
        <v>1</v>
      </c>
      <c r="Y43" s="27">
        <v>2.5999999999999999E-3</v>
      </c>
      <c r="Z43" s="28">
        <v>1</v>
      </c>
      <c r="AA43" s="58"/>
    </row>
    <row r="44" spans="2:27" x14ac:dyDescent="0.25">
      <c r="L44" s="59" t="s">
        <v>49</v>
      </c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 spans="2:27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  <c r="K45" s="58" t="s">
        <v>49</v>
      </c>
    </row>
    <row r="46" spans="2:27" ht="15.75" x14ac:dyDescent="0.25">
      <c r="B46" s="21" t="s">
        <v>38</v>
      </c>
      <c r="C46" s="53" t="s">
        <v>45</v>
      </c>
      <c r="D46" s="54"/>
      <c r="E46" s="55" t="s">
        <v>46</v>
      </c>
      <c r="F46" s="56"/>
      <c r="G46" s="53" t="s">
        <v>47</v>
      </c>
      <c r="H46" s="54"/>
      <c r="I46" s="55" t="s">
        <v>48</v>
      </c>
      <c r="J46" s="56"/>
      <c r="K46" s="58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8"/>
    </row>
    <row r="48" spans="2:27" x14ac:dyDescent="0.25">
      <c r="B48" s="7" t="s">
        <v>5</v>
      </c>
      <c r="C48" s="8">
        <v>2.0999999999999999E-3</v>
      </c>
      <c r="D48" s="9">
        <v>0.18485301184789099</v>
      </c>
      <c r="E48" s="25">
        <v>4.5064731232520305E-3</v>
      </c>
      <c r="F48" s="26">
        <v>0.132146267955811</v>
      </c>
      <c r="G48" s="8">
        <v>5.3068119480519371E-3</v>
      </c>
      <c r="H48" s="9">
        <v>0.16568952413549801</v>
      </c>
      <c r="I48" s="25">
        <v>5.7057688430539599E-3</v>
      </c>
      <c r="J48" s="26">
        <v>0.172178682965933</v>
      </c>
      <c r="K48" s="58"/>
    </row>
    <row r="49" spans="2:11" x14ac:dyDescent="0.25">
      <c r="B49" s="10" t="s">
        <v>7</v>
      </c>
      <c r="C49" s="8">
        <v>3.1000000000000003E-3</v>
      </c>
      <c r="D49" s="9">
        <v>0.28771771106995397</v>
      </c>
      <c r="E49" s="25">
        <v>7.3186096142539014E-3</v>
      </c>
      <c r="F49" s="26">
        <v>0.36975854441114903</v>
      </c>
      <c r="G49" s="8">
        <v>1.044294808167856E-2</v>
      </c>
      <c r="H49" s="9">
        <v>0.35107556224384201</v>
      </c>
      <c r="I49" s="25">
        <v>1.4286987637384341E-2</v>
      </c>
      <c r="J49" s="26">
        <v>0.37125490486101698</v>
      </c>
      <c r="K49" s="58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8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8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8"/>
    </row>
    <row r="53" spans="2:11" x14ac:dyDescent="0.25">
      <c r="B53" s="10" t="s">
        <v>15</v>
      </c>
      <c r="C53" s="8">
        <v>0</v>
      </c>
      <c r="D53" s="9">
        <v>1.0369958166204E-6</v>
      </c>
      <c r="E53" s="25">
        <v>0</v>
      </c>
      <c r="F53" s="26">
        <v>1.11631317662678E-6</v>
      </c>
      <c r="G53" s="8">
        <v>0</v>
      </c>
      <c r="H53" s="9">
        <v>9.7503319954424008E-7</v>
      </c>
      <c r="I53" s="25">
        <v>0</v>
      </c>
      <c r="J53" s="26">
        <v>8.6775023705366905E-7</v>
      </c>
      <c r="K53" s="58"/>
    </row>
    <row r="54" spans="2:11" x14ac:dyDescent="0.25">
      <c r="B54" s="10" t="s">
        <v>17</v>
      </c>
      <c r="C54" s="8">
        <v>1.44E-2</v>
      </c>
      <c r="D54" s="9">
        <v>0.18083325220013299</v>
      </c>
      <c r="E54" s="25">
        <v>5.0799184025598354E-3</v>
      </c>
      <c r="F54" s="26">
        <v>0.16016992548423201</v>
      </c>
      <c r="G54" s="8">
        <v>1.9618645236658905E-2</v>
      </c>
      <c r="H54" s="9">
        <v>0.17461404994544599</v>
      </c>
      <c r="I54" s="25">
        <v>4.8800000000000003E-2</v>
      </c>
      <c r="J54" s="26">
        <v>0.199751804665521</v>
      </c>
      <c r="K54" s="58"/>
    </row>
    <row r="55" spans="2:11" x14ac:dyDescent="0.25">
      <c r="B55" s="10" t="s">
        <v>44</v>
      </c>
      <c r="C55" s="8">
        <v>3.8399999999999997E-2</v>
      </c>
      <c r="D55" s="9">
        <v>0.33288219721988499</v>
      </c>
      <c r="E55" s="25">
        <v>5.2900000000000003E-2</v>
      </c>
      <c r="F55" s="26">
        <v>0.31181302579210202</v>
      </c>
      <c r="G55" s="8">
        <v>6.9199999999999998E-2</v>
      </c>
      <c r="H55" s="9">
        <v>0.292721302986726</v>
      </c>
      <c r="I55" s="25">
        <v>8.3199999999999996E-2</v>
      </c>
      <c r="J55" s="26">
        <v>0.26872648121391102</v>
      </c>
      <c r="K55" s="58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8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8"/>
    </row>
    <row r="58" spans="2:11" x14ac:dyDescent="0.25">
      <c r="B58" s="10" t="s">
        <v>24</v>
      </c>
      <c r="C58" s="8">
        <v>0</v>
      </c>
      <c r="D58" s="9">
        <v>5.5363068612469296E-6</v>
      </c>
      <c r="E58" s="25">
        <v>0</v>
      </c>
      <c r="F58" s="26">
        <v>7.5688631660266503E-6</v>
      </c>
      <c r="G58" s="8">
        <v>-9.9999999999988987E-5</v>
      </c>
      <c r="H58" s="9">
        <v>8.5856905303321301E-6</v>
      </c>
      <c r="I58" s="25">
        <v>-2.9997999999997749E-4</v>
      </c>
      <c r="J58" s="26">
        <v>1.6115604422450601E-5</v>
      </c>
      <c r="K58" s="58"/>
    </row>
    <row r="59" spans="2:11" x14ac:dyDescent="0.25">
      <c r="B59" s="10" t="s">
        <v>25</v>
      </c>
      <c r="C59" s="8">
        <v>3.7999999999999999E-2</v>
      </c>
      <c r="D59" s="9">
        <v>9.2228349415365007E-3</v>
      </c>
      <c r="E59" s="25">
        <v>4.9162982333120109E-2</v>
      </c>
      <c r="F59" s="26">
        <v>1.95207226301379E-3</v>
      </c>
      <c r="G59" s="8">
        <v>7.51E-2</v>
      </c>
      <c r="H59" s="9">
        <v>1.3383362201761201E-2</v>
      </c>
      <c r="I59" s="25">
        <v>8.3199999999999996E-2</v>
      </c>
      <c r="J59" s="26">
        <v>-1.7463233382971899E-2</v>
      </c>
      <c r="K59" s="58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8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8"/>
    </row>
    <row r="62" spans="2:11" x14ac:dyDescent="0.25">
      <c r="B62" s="10" t="s">
        <v>28</v>
      </c>
      <c r="C62" s="8">
        <v>1E-4</v>
      </c>
      <c r="D62" s="9">
        <v>3.6436392436378002E-3</v>
      </c>
      <c r="E62" s="25">
        <v>2.000099999999172E-4</v>
      </c>
      <c r="F62" s="26">
        <v>3.8386628906923299E-3</v>
      </c>
      <c r="G62" s="8">
        <v>2.000099999999172E-4</v>
      </c>
      <c r="H62" s="9">
        <v>4.4509388069007396E-3</v>
      </c>
      <c r="I62" s="25">
        <v>9.9969994999726808E-5</v>
      </c>
      <c r="J62" s="26">
        <v>4.9312666894676203E-3</v>
      </c>
      <c r="K62" s="58"/>
    </row>
    <row r="63" spans="2:11" x14ac:dyDescent="0.25">
      <c r="B63" s="10" t="s">
        <v>29</v>
      </c>
      <c r="C63" s="8">
        <v>0</v>
      </c>
      <c r="D63" s="9">
        <v>8.4078017439929498E-4</v>
      </c>
      <c r="E63" s="25">
        <v>-2.0004999399991785E-4</v>
      </c>
      <c r="F63" s="26">
        <v>2.0312816027095702E-2</v>
      </c>
      <c r="G63" s="8">
        <v>-3.0002998900047206E-4</v>
      </c>
      <c r="H63" s="9">
        <v>-1.9443010445077699E-3</v>
      </c>
      <c r="I63" s="25">
        <v>-4.0001998000094297E-4</v>
      </c>
      <c r="J63" s="26">
        <v>6.0310963228271404E-4</v>
      </c>
      <c r="K63" s="58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8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8"/>
    </row>
    <row r="66" spans="2:11" x14ac:dyDescent="0.25">
      <c r="B66" s="10" t="s">
        <v>32</v>
      </c>
      <c r="C66" s="8">
        <v>-5.9999999999999496E-4</v>
      </c>
      <c r="D66" s="9">
        <v>-1.13935679467436E-13</v>
      </c>
      <c r="E66" s="25">
        <v>-4.0027993598079625E-4</v>
      </c>
      <c r="F66" s="26">
        <v>-4.3857249429346599E-13</v>
      </c>
      <c r="G66" s="8">
        <v>-5.0056983886970219E-4</v>
      </c>
      <c r="H66" s="9">
        <v>6.0453168512775204E-13</v>
      </c>
      <c r="I66" s="25">
        <v>-4.0082983571143593E-4</v>
      </c>
      <c r="J66" s="26">
        <v>1.8003928643067799E-13</v>
      </c>
      <c r="K66" s="58"/>
    </row>
    <row r="67" spans="2:11" x14ac:dyDescent="0.25">
      <c r="B67" s="11" t="s">
        <v>42</v>
      </c>
      <c r="C67" s="12">
        <v>9.5500000000000015E-2</v>
      </c>
      <c r="D67" s="13">
        <v>1</v>
      </c>
      <c r="E67" s="41">
        <v>0.11856766354320508</v>
      </c>
      <c r="F67" s="28">
        <v>1</v>
      </c>
      <c r="G67" s="12">
        <v>0.17896781543851914</v>
      </c>
      <c r="H67" s="13">
        <v>1</v>
      </c>
      <c r="I67" s="27">
        <v>0.23419189665972567</v>
      </c>
      <c r="J67" s="28">
        <v>1</v>
      </c>
      <c r="K67" s="58"/>
    </row>
    <row r="68" spans="2:11" x14ac:dyDescent="0.25">
      <c r="B68" s="31" t="s">
        <v>39</v>
      </c>
      <c r="C68" s="51">
        <v>561846.24158000003</v>
      </c>
      <c r="D68" s="52"/>
      <c r="E68" s="38">
        <v>733990.52290000103</v>
      </c>
      <c r="F68" s="39"/>
      <c r="G68" s="40">
        <v>1185044.7336200001</v>
      </c>
      <c r="H68" s="39"/>
      <c r="I68" s="38">
        <v>1609362.95263</v>
      </c>
      <c r="J68" s="39"/>
      <c r="K68" s="58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8"/>
    </row>
    <row r="70" spans="2:11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  <c r="K70" s="58"/>
    </row>
    <row r="71" spans="2:11" ht="15.75" x14ac:dyDescent="0.25">
      <c r="B71" s="21" t="s">
        <v>38</v>
      </c>
      <c r="C71" s="53" t="s">
        <v>45</v>
      </c>
      <c r="D71" s="54"/>
      <c r="E71" s="55" t="s">
        <v>46</v>
      </c>
      <c r="F71" s="56"/>
      <c r="G71" s="53" t="s">
        <v>47</v>
      </c>
      <c r="H71" s="54"/>
      <c r="I71" s="55" t="s">
        <v>48</v>
      </c>
      <c r="J71" s="56"/>
      <c r="K71" s="58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8"/>
    </row>
    <row r="73" spans="2:11" x14ac:dyDescent="0.25">
      <c r="B73" s="7" t="s">
        <v>34</v>
      </c>
      <c r="C73" s="8">
        <v>5.0700000000000002E-2</v>
      </c>
      <c r="D73" s="17">
        <v>0.68038331182540401</v>
      </c>
      <c r="E73" s="25">
        <v>3.9399999999999998E-2</v>
      </c>
      <c r="F73" s="30">
        <v>0.65461536273825904</v>
      </c>
      <c r="G73" s="8">
        <v>6.4299999999999996E-2</v>
      </c>
      <c r="H73" s="17">
        <v>0.68454281717647303</v>
      </c>
      <c r="I73" s="25">
        <v>0.1086</v>
      </c>
      <c r="J73" s="30">
        <v>0.73604343709286402</v>
      </c>
      <c r="K73" s="58"/>
    </row>
    <row r="74" spans="2:11" x14ac:dyDescent="0.25">
      <c r="B74" s="10" t="s">
        <v>35</v>
      </c>
      <c r="C74" s="8">
        <f>C35+E35+G35</f>
        <v>4.48E-2</v>
      </c>
      <c r="D74" s="9">
        <v>0.31961668817459599</v>
      </c>
      <c r="E74" s="25">
        <v>7.9188505240832097E-2</v>
      </c>
      <c r="F74" s="26">
        <v>0.34538463726174101</v>
      </c>
      <c r="G74" s="8">
        <v>0.1147</v>
      </c>
      <c r="H74" s="9">
        <v>0.31545718282352703</v>
      </c>
      <c r="I74" s="25">
        <v>0.12559999999999999</v>
      </c>
      <c r="J74" s="26">
        <v>0.26395656290713598</v>
      </c>
      <c r="K74" s="58"/>
    </row>
    <row r="75" spans="2:11" x14ac:dyDescent="0.25">
      <c r="B75" s="11" t="s">
        <v>42</v>
      </c>
      <c r="C75" s="12">
        <v>9.5500000000000002E-2</v>
      </c>
      <c r="D75" s="13">
        <v>1</v>
      </c>
      <c r="E75" s="41">
        <v>0.11858850524083209</v>
      </c>
      <c r="F75" s="28">
        <v>1</v>
      </c>
      <c r="G75" s="12">
        <v>0.17899999999999999</v>
      </c>
      <c r="H75" s="13">
        <v>1</v>
      </c>
      <c r="I75" s="27">
        <v>0.23419999999999999</v>
      </c>
      <c r="J75" s="28">
        <v>1</v>
      </c>
      <c r="K75" s="58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8"/>
    </row>
    <row r="77" spans="2:11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  <c r="K77" s="58"/>
    </row>
    <row r="78" spans="2:11" ht="15.75" x14ac:dyDescent="0.25">
      <c r="B78" s="21" t="s">
        <v>38</v>
      </c>
      <c r="C78" s="53" t="s">
        <v>45</v>
      </c>
      <c r="D78" s="54"/>
      <c r="E78" s="55" t="s">
        <v>46</v>
      </c>
      <c r="F78" s="56"/>
      <c r="G78" s="53" t="s">
        <v>47</v>
      </c>
      <c r="H78" s="54"/>
      <c r="I78" s="55" t="s">
        <v>48</v>
      </c>
      <c r="J78" s="56"/>
      <c r="K78" s="58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8"/>
    </row>
    <row r="80" spans="2:11" x14ac:dyDescent="0.25">
      <c r="B80" s="7" t="s">
        <v>36</v>
      </c>
      <c r="C80" s="8">
        <v>0.123</v>
      </c>
      <c r="D80" s="17">
        <v>0.99643759628304696</v>
      </c>
      <c r="E80" s="25">
        <v>0.1459</v>
      </c>
      <c r="F80" s="30">
        <v>0.97541492261112706</v>
      </c>
      <c r="G80" s="8">
        <v>0.20300000000000001</v>
      </c>
      <c r="H80" s="17">
        <v>0.99445948149866403</v>
      </c>
      <c r="I80" s="25">
        <v>0.25729999999999997</v>
      </c>
      <c r="J80" s="30">
        <v>0.995618049569995</v>
      </c>
      <c r="K80" s="58"/>
    </row>
    <row r="81" spans="2:11" x14ac:dyDescent="0.25">
      <c r="B81" s="10" t="s">
        <v>37</v>
      </c>
      <c r="C81" s="8">
        <v>-2.7500000000000004E-2</v>
      </c>
      <c r="D81" s="9">
        <v>3.5624037169532299E-3</v>
      </c>
      <c r="E81" s="25">
        <v>-2.7305655631120085E-2</v>
      </c>
      <c r="F81" s="26">
        <v>2.4585077388873298E-2</v>
      </c>
      <c r="G81" s="8">
        <v>-2.3995040703980175E-2</v>
      </c>
      <c r="H81" s="9">
        <v>5.5405185013355004E-3</v>
      </c>
      <c r="I81" s="25">
        <v>-2.3126216158731339E-2</v>
      </c>
      <c r="J81" s="26">
        <v>4.3819504300054001E-3</v>
      </c>
      <c r="K81" s="58"/>
    </row>
    <row r="82" spans="2:11" x14ac:dyDescent="0.25">
      <c r="B82" s="11" t="s">
        <v>42</v>
      </c>
      <c r="C82" s="12">
        <v>9.5500000000000002E-2</v>
      </c>
      <c r="D82" s="13">
        <v>1</v>
      </c>
      <c r="E82" s="41">
        <v>0.11859434436887992</v>
      </c>
      <c r="F82" s="28">
        <v>1</v>
      </c>
      <c r="G82" s="12">
        <v>0.17900495929601984</v>
      </c>
      <c r="H82" s="13">
        <v>1</v>
      </c>
      <c r="I82" s="27">
        <v>0.23417378384126863</v>
      </c>
      <c r="J82" s="28">
        <v>1</v>
      </c>
      <c r="K82" s="58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8"/>
    </row>
    <row r="84" spans="2:11" x14ac:dyDescent="0.25">
      <c r="G84" s="34"/>
      <c r="K84" s="58"/>
    </row>
    <row r="85" spans="2:11" x14ac:dyDescent="0.25">
      <c r="K85" s="58"/>
    </row>
    <row r="86" spans="2:11" x14ac:dyDescent="0.25">
      <c r="K86" s="58"/>
    </row>
    <row r="87" spans="2:11" x14ac:dyDescent="0.25">
      <c r="K87" s="5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5:K87"/>
    <mergeCell ref="L44:AA44"/>
    <mergeCell ref="AA1:AA43"/>
    <mergeCell ref="W32:X32"/>
    <mergeCell ref="O39:P39"/>
    <mergeCell ref="Q39:R39"/>
    <mergeCell ref="S39:T39"/>
    <mergeCell ref="O32:P32"/>
    <mergeCell ref="Q32:R32"/>
    <mergeCell ref="S32:T32"/>
    <mergeCell ref="U39:V39"/>
    <mergeCell ref="M39:N39"/>
    <mergeCell ref="U32:V32"/>
    <mergeCell ref="G32:H32"/>
    <mergeCell ref="I32:J32"/>
    <mergeCell ref="K32:L32"/>
    <mergeCell ref="M32:N32"/>
    <mergeCell ref="C39:D39"/>
    <mergeCell ref="E39:F39"/>
    <mergeCell ref="G39:H39"/>
    <mergeCell ref="I39:J39"/>
    <mergeCell ref="K39:L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2006/documentManagement/types"/>
    <ds:schemaRef ds:uri="a46656d4-8850-49b3-aebd-68bd05f7f43d"/>
    <ds:schemaRef ds:uri="http://schemas.microsoft.com/sharepoint/v3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השתלמות מניות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