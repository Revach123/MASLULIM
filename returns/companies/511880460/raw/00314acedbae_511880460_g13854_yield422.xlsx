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Y19" i="6" l="1"/>
  <c r="Y15" i="6"/>
  <c r="Y8" i="6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<sst xmlns="http://schemas.openxmlformats.org/spreadsheetml/2006/main" count="190" uniqueCount="50">
  <si>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</si>
  <si>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</si>
  <si>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</si>
  <si>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</si>
  <si>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</si>
  <si>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</si>
  <si>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</si>
  <si>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</si>
  <si>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</si>
  <si>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</si>
  <si>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</si>
  <si>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</si>
  <si>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</si>
  <si>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</si>
  <si>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</si>
  <si>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</si>
  <si>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</si>
  <si>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</si>
  <si>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</si>
  <si>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</si>
  <si>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</si>
  <si>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</si>
  <si>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</si>
  <si>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</si>
  <si>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</si>
  <si>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</si>
  <si>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</si>
  <si>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</si>
  <si>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</si>
  <si>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</si>
  <si>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</si>
  <si>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</si>
  <si>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</si>
  <si>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</si>
  <si>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</si>
  <si>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</si>
  <si>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</si>
  <si>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</si>
  <si>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</si>
  <si>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</si>
  <si>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</si>
  <si>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</si>
  <si>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</si>
  <si>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</si>
  <si>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AE</t>
  </si>
  <si>
    <t>ינואר - מרץ 2022</t>
  </si>
  <si>
    <t>ינואר - יוני 2022</t>
  </si>
  <si>
    <t>ינואר - ספטמבר 2022</t>
  </si>
  <si>
    <t>ינואר - דצמבר 2022</t>
  </si>
  <si>
    <t>23157אנליסט מסלולית  קופת גמל להשקעה מחקה מדד S&amp;P5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</si>
</sst>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2" borderId="5" xfId="421" applyNumberFormat="1" applyFont="1" applyFill="1" applyBorder="1"/>
    <xf numFmtId="0" fontId="19" fillId="0" borderId="0" xfId="0" applyNumberFormat="1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2.710937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49</v>
      </c>
      <c r="C3" s="35" t="s">
        <v>44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0" t="s">
        <v>40</v>
      </c>
      <c r="C6" s="50">
        <v>44562</v>
      </c>
      <c r="D6" s="51"/>
      <c r="E6" s="52">
        <v>44593</v>
      </c>
      <c r="F6" s="53"/>
      <c r="G6" s="50">
        <v>44621</v>
      </c>
      <c r="H6" s="51"/>
      <c r="I6" s="52">
        <v>44652</v>
      </c>
      <c r="J6" s="53"/>
      <c r="K6" s="50">
        <v>44682</v>
      </c>
      <c r="L6" s="51"/>
      <c r="M6" s="52">
        <v>44713</v>
      </c>
      <c r="N6" s="53"/>
      <c r="O6" s="50">
        <v>44743</v>
      </c>
      <c r="P6" s="51"/>
      <c r="Q6" s="52">
        <v>44774</v>
      </c>
      <c r="R6" s="53"/>
      <c r="S6" s="50">
        <v>44805</v>
      </c>
      <c r="T6" s="51"/>
      <c r="U6" s="52">
        <v>44835</v>
      </c>
      <c r="V6" s="53"/>
      <c r="W6" s="50">
        <v>44866</v>
      </c>
      <c r="X6" s="51"/>
      <c r="Y6" s="52">
        <v>44896</v>
      </c>
      <c r="Z6" s="53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/>
      <c r="D8" s="9"/>
      <c r="E8" s="24"/>
      <c r="F8" s="25"/>
      <c r="G8" s="8"/>
      <c r="H8" s="9"/>
      <c r="I8" s="24"/>
      <c r="J8" s="25"/>
      <c r="K8" s="8"/>
      <c r="L8" s="9"/>
      <c r="M8" s="24">
        <v>0</v>
      </c>
      <c r="N8" s="25">
        <v>1</v>
      </c>
      <c r="O8" s="8">
        <v>0</v>
      </c>
      <c r="P8" s="9">
        <v>1</v>
      </c>
      <c r="Q8" s="24">
        <v>0</v>
      </c>
      <c r="R8" s="25">
        <v>1</v>
      </c>
      <c r="S8" s="8">
        <v>0</v>
      </c>
      <c r="T8" s="9">
        <v>0.55351014838474999</v>
      </c>
      <c r="U8" s="24">
        <v>1E-4</v>
      </c>
      <c r="V8" s="25">
        <v>0.10407051374685899</v>
      </c>
      <c r="W8" s="8">
        <v>-5.9999999999999995E-4</v>
      </c>
      <c r="X8" s="9">
        <v>8.1755541590947903E-2</v>
      </c>
      <c r="Y8" s="25">
        <f>0.3%</f>
        <v>3.0000000000000001E-3</v>
      </c>
      <c r="Z8" s="25">
        <v>0.16786327568213999</v>
      </c>
      <c r="AE8" s="3" t="s">
        <v>8</v>
      </c>
    </row>
    <row r="9" spans="2:31" x14ac:dyDescent="0.25">
      <c r="B9" s="10" t="s">
        <v>7</v>
      </c>
      <c r="C9" s="8"/>
      <c r="D9" s="9"/>
      <c r="E9" s="24"/>
      <c r="F9" s="25"/>
      <c r="G9" s="8"/>
      <c r="H9" s="9"/>
      <c r="I9" s="24"/>
      <c r="J9" s="25"/>
      <c r="K9" s="8"/>
      <c r="L9" s="9"/>
      <c r="M9" s="24">
        <v>0</v>
      </c>
      <c r="N9" s="25">
        <v>0</v>
      </c>
      <c r="O9" s="8">
        <v>0</v>
      </c>
      <c r="P9" s="9">
        <v>0</v>
      </c>
      <c r="Q9" s="24">
        <v>0</v>
      </c>
      <c r="R9" s="25">
        <v>0</v>
      </c>
      <c r="S9" s="8">
        <v>0</v>
      </c>
      <c r="T9" s="9">
        <v>0</v>
      </c>
      <c r="U9" s="24">
        <v>0</v>
      </c>
      <c r="V9" s="25">
        <v>0</v>
      </c>
      <c r="W9" s="8">
        <v>0</v>
      </c>
      <c r="X9" s="9">
        <v>0</v>
      </c>
      <c r="Y9" s="25">
        <v>0</v>
      </c>
      <c r="Z9" s="25">
        <v>0</v>
      </c>
      <c r="AE9" s="3" t="s">
        <v>10</v>
      </c>
    </row>
    <row r="10" spans="2:31" x14ac:dyDescent="0.25">
      <c r="B10" s="10" t="s">
        <v>9</v>
      </c>
      <c r="C10" s="8"/>
      <c r="D10" s="9"/>
      <c r="E10" s="24"/>
      <c r="F10" s="25"/>
      <c r="G10" s="8"/>
      <c r="H10" s="9"/>
      <c r="I10" s="24"/>
      <c r="J10" s="25"/>
      <c r="K10" s="8"/>
      <c r="L10" s="9"/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5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/>
      <c r="D11" s="9"/>
      <c r="E11" s="24"/>
      <c r="F11" s="25"/>
      <c r="G11" s="8"/>
      <c r="H11" s="9"/>
      <c r="I11" s="24"/>
      <c r="J11" s="25"/>
      <c r="K11" s="8"/>
      <c r="L11" s="9"/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5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/>
      <c r="D12" s="9"/>
      <c r="E12" s="24"/>
      <c r="F12" s="25"/>
      <c r="G12" s="8"/>
      <c r="H12" s="9"/>
      <c r="I12" s="24"/>
      <c r="J12" s="25"/>
      <c r="K12" s="8"/>
      <c r="L12" s="9"/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5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/>
      <c r="D13" s="9"/>
      <c r="E13" s="24"/>
      <c r="F13" s="25"/>
      <c r="G13" s="8"/>
      <c r="H13" s="9"/>
      <c r="I13" s="24"/>
      <c r="J13" s="25"/>
      <c r="K13" s="8"/>
      <c r="L13" s="9"/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5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/>
      <c r="D14" s="9"/>
      <c r="E14" s="24"/>
      <c r="F14" s="25"/>
      <c r="G14" s="8"/>
      <c r="H14" s="9"/>
      <c r="I14" s="24"/>
      <c r="J14" s="25"/>
      <c r="K14" s="8"/>
      <c r="L14" s="9"/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5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/>
      <c r="D15" s="9"/>
      <c r="E15" s="24"/>
      <c r="F15" s="25"/>
      <c r="G15" s="8"/>
      <c r="H15" s="9"/>
      <c r="I15" s="24"/>
      <c r="J15" s="25"/>
      <c r="K15" s="8"/>
      <c r="L15" s="9"/>
      <c r="M15" s="24">
        <v>0</v>
      </c>
      <c r="N15" s="25">
        <v>0</v>
      </c>
      <c r="O15" s="8">
        <v>0</v>
      </c>
      <c r="P15" s="9">
        <v>0</v>
      </c>
      <c r="Q15" s="24">
        <v>0</v>
      </c>
      <c r="R15" s="25">
        <v>0</v>
      </c>
      <c r="S15" s="8">
        <v>-3.8399999999999997E-2</v>
      </c>
      <c r="T15" s="9">
        <v>0.44648985161525001</v>
      </c>
      <c r="U15" s="24">
        <v>3.6499999999999998E-2</v>
      </c>
      <c r="V15" s="25">
        <v>0.89592948606807898</v>
      </c>
      <c r="W15" s="8">
        <v>7.1999999999999998E-3</v>
      </c>
      <c r="X15" s="9">
        <v>0.918002617292904</v>
      </c>
      <c r="Y15" s="25">
        <f>-1.95%</f>
        <v>-1.95E-2</v>
      </c>
      <c r="Z15" s="25">
        <v>0.83487822640065601</v>
      </c>
      <c r="AE15" s="3" t="s">
        <v>21</v>
      </c>
    </row>
    <row r="16" spans="2:31" x14ac:dyDescent="0.25">
      <c r="B16" s="10" t="s">
        <v>20</v>
      </c>
      <c r="C16" s="8"/>
      <c r="D16" s="9"/>
      <c r="E16" s="24"/>
      <c r="F16" s="25"/>
      <c r="G16" s="8"/>
      <c r="H16" s="9"/>
      <c r="I16" s="24"/>
      <c r="J16" s="25"/>
      <c r="K16" s="8"/>
      <c r="L16" s="9"/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5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/>
      <c r="D17" s="9"/>
      <c r="E17" s="24"/>
      <c r="F17" s="25"/>
      <c r="G17" s="8"/>
      <c r="H17" s="9"/>
      <c r="I17" s="24"/>
      <c r="J17" s="25"/>
      <c r="K17" s="8"/>
      <c r="L17" s="9"/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5">
        <v>0</v>
      </c>
      <c r="Z17" s="25">
        <v>0</v>
      </c>
    </row>
    <row r="18" spans="2:31" x14ac:dyDescent="0.25">
      <c r="B18" s="10" t="s">
        <v>24</v>
      </c>
      <c r="C18" s="8"/>
      <c r="D18" s="9"/>
      <c r="E18" s="24"/>
      <c r="F18" s="25"/>
      <c r="G18" s="8"/>
      <c r="H18" s="9"/>
      <c r="I18" s="24"/>
      <c r="J18" s="25"/>
      <c r="K18" s="8"/>
      <c r="L18" s="9"/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5">
        <v>0</v>
      </c>
      <c r="Z18" s="25">
        <v>0</v>
      </c>
      <c r="AE18" s="3"/>
    </row>
    <row r="19" spans="2:31" x14ac:dyDescent="0.25">
      <c r="B19" s="10" t="s">
        <v>25</v>
      </c>
      <c r="C19" s="8"/>
      <c r="D19" s="9"/>
      <c r="E19" s="24"/>
      <c r="F19" s="25"/>
      <c r="G19" s="8"/>
      <c r="H19" s="9"/>
      <c r="I19" s="24"/>
      <c r="J19" s="25"/>
      <c r="K19" s="8"/>
      <c r="L19" s="9"/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-4.3E-3</v>
      </c>
      <c r="V19" s="25">
        <v>9.3012025160987799E-7</v>
      </c>
      <c r="W19" s="8">
        <v>0</v>
      </c>
      <c r="X19" s="9">
        <v>0</v>
      </c>
      <c r="Y19" s="25">
        <f>-0.47%</f>
        <v>-4.6999999999999993E-3</v>
      </c>
      <c r="Z19" s="25">
        <v>-2.9494779235785698E-3</v>
      </c>
      <c r="AE19" s="3"/>
    </row>
    <row r="20" spans="2:31" x14ac:dyDescent="0.25">
      <c r="B20" s="10" t="s">
        <v>26</v>
      </c>
      <c r="C20" s="8"/>
      <c r="D20" s="9"/>
      <c r="E20" s="24"/>
      <c r="F20" s="25"/>
      <c r="G20" s="8"/>
      <c r="H20" s="9"/>
      <c r="I20" s="24"/>
      <c r="J20" s="25"/>
      <c r="K20" s="8"/>
      <c r="L20" s="9"/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5">
        <v>0</v>
      </c>
      <c r="Z20" s="25">
        <v>0</v>
      </c>
      <c r="AE20" s="3"/>
    </row>
    <row r="21" spans="2:31" x14ac:dyDescent="0.25">
      <c r="B21" s="10" t="s">
        <v>27</v>
      </c>
      <c r="C21" s="8"/>
      <c r="D21" s="9"/>
      <c r="E21" s="24"/>
      <c r="F21" s="25"/>
      <c r="G21" s="8"/>
      <c r="H21" s="9"/>
      <c r="I21" s="24"/>
      <c r="J21" s="25"/>
      <c r="K21" s="8"/>
      <c r="L21" s="9"/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5">
        <v>0</v>
      </c>
      <c r="Z21" s="25">
        <v>0</v>
      </c>
    </row>
    <row r="22" spans="2:31" x14ac:dyDescent="0.25">
      <c r="B22" s="10" t="s">
        <v>28</v>
      </c>
      <c r="C22" s="8"/>
      <c r="D22" s="9"/>
      <c r="E22" s="24"/>
      <c r="F22" s="25"/>
      <c r="G22" s="8"/>
      <c r="H22" s="9"/>
      <c r="I22" s="24"/>
      <c r="J22" s="25"/>
      <c r="K22" s="8"/>
      <c r="L22" s="9"/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5">
        <v>0</v>
      </c>
      <c r="Z22" s="25">
        <v>0</v>
      </c>
    </row>
    <row r="23" spans="2:31" x14ac:dyDescent="0.25">
      <c r="B23" s="10" t="s">
        <v>29</v>
      </c>
      <c r="C23" s="8"/>
      <c r="D23" s="9"/>
      <c r="E23" s="24"/>
      <c r="F23" s="25"/>
      <c r="G23" s="8"/>
      <c r="H23" s="9"/>
      <c r="I23" s="24"/>
      <c r="J23" s="25"/>
      <c r="K23" s="8"/>
      <c r="L23" s="9"/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5">
        <v>0</v>
      </c>
      <c r="Z23" s="25">
        <v>0</v>
      </c>
    </row>
    <row r="24" spans="2:31" x14ac:dyDescent="0.25">
      <c r="B24" s="10" t="s">
        <v>30</v>
      </c>
      <c r="C24" s="8"/>
      <c r="D24" s="9"/>
      <c r="E24" s="24"/>
      <c r="F24" s="25"/>
      <c r="G24" s="8"/>
      <c r="H24" s="9"/>
      <c r="I24" s="24"/>
      <c r="J24" s="25"/>
      <c r="K24" s="8"/>
      <c r="L24" s="9"/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5">
        <v>0</v>
      </c>
      <c r="Z24" s="25">
        <v>0</v>
      </c>
    </row>
    <row r="25" spans="2:31" x14ac:dyDescent="0.25">
      <c r="B25" s="10" t="s">
        <v>31</v>
      </c>
      <c r="C25" s="8"/>
      <c r="D25" s="9"/>
      <c r="E25" s="24"/>
      <c r="F25" s="25"/>
      <c r="G25" s="8"/>
      <c r="H25" s="9"/>
      <c r="I25" s="24"/>
      <c r="J25" s="25"/>
      <c r="K25" s="8"/>
      <c r="L25" s="9"/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5">
        <v>0</v>
      </c>
      <c r="Z25" s="25">
        <v>0</v>
      </c>
    </row>
    <row r="26" spans="2:31" x14ac:dyDescent="0.25">
      <c r="B26" s="10" t="s">
        <v>32</v>
      </c>
      <c r="C26" s="8"/>
      <c r="D26" s="9"/>
      <c r="E26" s="24"/>
      <c r="F26" s="25"/>
      <c r="G26" s="8"/>
      <c r="H26" s="9"/>
      <c r="I26" s="24"/>
      <c r="J26" s="25"/>
      <c r="K26" s="8"/>
      <c r="L26" s="9"/>
      <c r="M26" s="24">
        <v>0</v>
      </c>
      <c r="N26" s="25">
        <v>0</v>
      </c>
      <c r="O26" s="8">
        <v>0</v>
      </c>
      <c r="P26" s="9">
        <v>0</v>
      </c>
      <c r="Q26" s="24">
        <v>0</v>
      </c>
      <c r="R26" s="25">
        <v>0</v>
      </c>
      <c r="S26" s="8">
        <v>0</v>
      </c>
      <c r="T26" s="9">
        <v>0</v>
      </c>
      <c r="U26" s="24">
        <v>0</v>
      </c>
      <c r="V26" s="25">
        <v>-9.2993518976310696E-7</v>
      </c>
      <c r="W26" s="8">
        <v>0</v>
      </c>
      <c r="X26" s="9">
        <v>2.41841116148176E-4</v>
      </c>
      <c r="Y26" s="25">
        <v>-9.9999999999999503E-5</v>
      </c>
      <c r="Z26" s="25">
        <v>2.0797584078269E-4</v>
      </c>
    </row>
    <row r="27" spans="2:31" x14ac:dyDescent="0.25">
      <c r="B27" s="11" t="s">
        <v>33</v>
      </c>
      <c r="C27" s="12"/>
      <c r="D27" s="13"/>
      <c r="E27" s="26"/>
      <c r="F27" s="27"/>
      <c r="G27" s="12"/>
      <c r="H27" s="13"/>
      <c r="I27" s="26"/>
      <c r="J27" s="27"/>
      <c r="K27" s="12"/>
      <c r="L27" s="13"/>
      <c r="M27" s="26">
        <v>0</v>
      </c>
      <c r="N27" s="27">
        <v>1</v>
      </c>
      <c r="O27" s="12">
        <v>0</v>
      </c>
      <c r="P27" s="13">
        <v>1</v>
      </c>
      <c r="Q27" s="26">
        <v>0</v>
      </c>
      <c r="R27" s="27">
        <v>1</v>
      </c>
      <c r="S27" s="12">
        <v>-3.8399999999999997E-2</v>
      </c>
      <c r="T27" s="13">
        <v>1</v>
      </c>
      <c r="U27" s="26">
        <v>3.2300000000000002E-2</v>
      </c>
      <c r="V27" s="27">
        <v>1</v>
      </c>
      <c r="W27" s="12">
        <v>6.6E-3</v>
      </c>
      <c r="X27" s="13">
        <v>1</v>
      </c>
      <c r="Y27" s="26">
        <v>-2.1299999999999999E-2</v>
      </c>
      <c r="Z27" s="27">
        <v>1</v>
      </c>
    </row>
    <row r="28" spans="2:31" x14ac:dyDescent="0.25">
      <c r="B28" s="30" t="s">
        <v>39</v>
      </c>
      <c r="C28" s="46"/>
      <c r="D28" s="47"/>
      <c r="E28" s="48"/>
      <c r="F28" s="49"/>
      <c r="G28" s="46"/>
      <c r="H28" s="47"/>
      <c r="I28" s="48"/>
      <c r="J28" s="49"/>
      <c r="K28" s="46"/>
      <c r="L28" s="47"/>
      <c r="M28" s="48">
        <v>0</v>
      </c>
      <c r="N28" s="49"/>
      <c r="O28" s="46">
        <v>0</v>
      </c>
      <c r="P28" s="47"/>
      <c r="Q28" s="48">
        <v>0</v>
      </c>
      <c r="R28" s="49"/>
      <c r="S28" s="46">
        <v>-3.2815900000000102</v>
      </c>
      <c r="T28" s="47"/>
      <c r="U28" s="48">
        <v>46.200469999999797</v>
      </c>
      <c r="V28" s="49"/>
      <c r="W28" s="46">
        <v>48.603070000000002</v>
      </c>
      <c r="X28" s="47"/>
      <c r="Y28" s="48">
        <v>-99.0280599999994</v>
      </c>
      <c r="Z28" s="49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0" t="s">
        <v>40</v>
      </c>
      <c r="C32" s="50">
        <v>44562</v>
      </c>
      <c r="D32" s="51"/>
      <c r="E32" s="52">
        <v>44593</v>
      </c>
      <c r="F32" s="53"/>
      <c r="G32" s="50">
        <v>44621</v>
      </c>
      <c r="H32" s="51"/>
      <c r="I32" s="52">
        <v>44652</v>
      </c>
      <c r="J32" s="53"/>
      <c r="K32" s="50">
        <v>44682</v>
      </c>
      <c r="L32" s="51"/>
      <c r="M32" s="52">
        <v>44713</v>
      </c>
      <c r="N32" s="53"/>
      <c r="O32" s="50">
        <v>44743</v>
      </c>
      <c r="P32" s="51"/>
      <c r="Q32" s="52">
        <v>44774</v>
      </c>
      <c r="R32" s="53"/>
      <c r="S32" s="50">
        <v>44805</v>
      </c>
      <c r="T32" s="51"/>
      <c r="U32" s="52">
        <v>44835</v>
      </c>
      <c r="V32" s="53"/>
      <c r="W32" s="50">
        <v>44866</v>
      </c>
      <c r="X32" s="51"/>
      <c r="Y32" s="52">
        <v>44896</v>
      </c>
      <c r="Z32" s="53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/>
      <c r="D34" s="17"/>
      <c r="E34" s="28"/>
      <c r="F34" s="29"/>
      <c r="G34" s="16"/>
      <c r="H34" s="17"/>
      <c r="I34" s="28"/>
      <c r="J34" s="29"/>
      <c r="K34" s="16"/>
      <c r="L34" s="17"/>
      <c r="M34" s="28">
        <v>0</v>
      </c>
      <c r="N34" s="29">
        <v>1</v>
      </c>
      <c r="O34" s="16">
        <v>0</v>
      </c>
      <c r="P34" s="17">
        <v>1</v>
      </c>
      <c r="Q34" s="28">
        <v>0</v>
      </c>
      <c r="R34" s="29">
        <v>1</v>
      </c>
      <c r="S34" s="16">
        <v>-0.52039999999999997</v>
      </c>
      <c r="T34" s="17">
        <v>0.85901165346476605</v>
      </c>
      <c r="U34" s="28">
        <v>1.2800000000000001E-2</v>
      </c>
      <c r="V34" s="29">
        <v>0.65570960432668801</v>
      </c>
      <c r="W34" s="16">
        <v>-2.0999999999999999E-3</v>
      </c>
      <c r="X34" s="17">
        <v>0.59885284137171202</v>
      </c>
      <c r="Y34" s="28">
        <v>-3.5000000000000001E-3</v>
      </c>
      <c r="Z34" s="29">
        <v>0.69333626180590402</v>
      </c>
    </row>
    <row r="35" spans="2:26" x14ac:dyDescent="0.25">
      <c r="B35" s="10" t="s">
        <v>35</v>
      </c>
      <c r="C35" s="8"/>
      <c r="D35" s="9"/>
      <c r="E35" s="24"/>
      <c r="F35" s="25"/>
      <c r="G35" s="8"/>
      <c r="H35" s="9"/>
      <c r="I35" s="24"/>
      <c r="J35" s="25"/>
      <c r="K35" s="8"/>
      <c r="L35" s="9"/>
      <c r="M35" s="24">
        <v>0</v>
      </c>
      <c r="N35" s="25">
        <v>0</v>
      </c>
      <c r="O35" s="8">
        <v>0</v>
      </c>
      <c r="P35" s="9">
        <v>0</v>
      </c>
      <c r="Q35" s="24">
        <v>0</v>
      </c>
      <c r="R35" s="25">
        <v>0</v>
      </c>
      <c r="S35" s="8">
        <v>0.48199999999999998</v>
      </c>
      <c r="T35" s="9">
        <v>0.14098834653523401</v>
      </c>
      <c r="U35" s="24">
        <v>1.95E-2</v>
      </c>
      <c r="V35" s="25">
        <v>0.34429039567331199</v>
      </c>
      <c r="W35" s="8">
        <v>8.6999999999999994E-3</v>
      </c>
      <c r="X35" s="9">
        <v>0.40114715862828698</v>
      </c>
      <c r="Y35" s="24">
        <v>-1.78E-2</v>
      </c>
      <c r="Z35" s="25">
        <v>0.30666373819409498</v>
      </c>
    </row>
    <row r="36" spans="2:26" x14ac:dyDescent="0.25">
      <c r="B36" s="11" t="s">
        <v>33</v>
      </c>
      <c r="C36" s="37"/>
      <c r="D36" s="13"/>
      <c r="E36" s="26"/>
      <c r="F36" s="27"/>
      <c r="G36" s="12"/>
      <c r="H36" s="13"/>
      <c r="I36" s="26"/>
      <c r="J36" s="27"/>
      <c r="K36" s="12"/>
      <c r="L36" s="13"/>
      <c r="M36" s="26">
        <v>0</v>
      </c>
      <c r="N36" s="27">
        <v>1</v>
      </c>
      <c r="O36" s="12">
        <v>0</v>
      </c>
      <c r="P36" s="13">
        <v>1</v>
      </c>
      <c r="Q36" s="26">
        <v>0</v>
      </c>
      <c r="R36" s="27">
        <v>1</v>
      </c>
      <c r="S36" s="12">
        <v>-3.8399999999999997E-2</v>
      </c>
      <c r="T36" s="13">
        <v>1</v>
      </c>
      <c r="U36" s="26">
        <v>3.2300000000000002E-2</v>
      </c>
      <c r="V36" s="27">
        <v>1</v>
      </c>
      <c r="W36" s="12">
        <v>6.6E-3</v>
      </c>
      <c r="X36" s="13">
        <v>1</v>
      </c>
      <c r="Y36" s="26">
        <v>-2.1299999999999999E-2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0" t="s">
        <v>40</v>
      </c>
      <c r="C39" s="50">
        <v>44562</v>
      </c>
      <c r="D39" s="51"/>
      <c r="E39" s="52">
        <v>44593</v>
      </c>
      <c r="F39" s="53"/>
      <c r="G39" s="50">
        <v>44621</v>
      </c>
      <c r="H39" s="51"/>
      <c r="I39" s="52">
        <v>44652</v>
      </c>
      <c r="J39" s="53"/>
      <c r="K39" s="50">
        <v>44682</v>
      </c>
      <c r="L39" s="51"/>
      <c r="M39" s="52">
        <v>44713</v>
      </c>
      <c r="N39" s="53"/>
      <c r="O39" s="50">
        <v>44743</v>
      </c>
      <c r="P39" s="51"/>
      <c r="Q39" s="52">
        <v>44774</v>
      </c>
      <c r="R39" s="53"/>
      <c r="S39" s="50">
        <v>44805</v>
      </c>
      <c r="T39" s="51"/>
      <c r="U39" s="52">
        <v>44835</v>
      </c>
      <c r="V39" s="53"/>
      <c r="W39" s="50">
        <v>44866</v>
      </c>
      <c r="X39" s="51"/>
      <c r="Y39" s="52">
        <v>44896</v>
      </c>
      <c r="Z39" s="53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/>
      <c r="D41" s="17"/>
      <c r="E41" s="28"/>
      <c r="F41" s="29"/>
      <c r="G41" s="16"/>
      <c r="H41" s="17"/>
      <c r="I41" s="28"/>
      <c r="J41" s="29"/>
      <c r="K41" s="16"/>
      <c r="L41" s="17"/>
      <c r="M41" s="28">
        <v>0</v>
      </c>
      <c r="N41" s="29">
        <v>1</v>
      </c>
      <c r="O41" s="16">
        <v>0</v>
      </c>
      <c r="P41" s="17">
        <v>1</v>
      </c>
      <c r="Q41" s="28">
        <v>0</v>
      </c>
      <c r="R41" s="29">
        <v>1</v>
      </c>
      <c r="S41" s="16">
        <v>-3.8399999999999997E-2</v>
      </c>
      <c r="T41" s="17">
        <v>1</v>
      </c>
      <c r="U41" s="28">
        <v>3.6999999999999998E-2</v>
      </c>
      <c r="V41" s="29">
        <v>0.99999999981493803</v>
      </c>
      <c r="W41" s="16">
        <v>6.6E-3</v>
      </c>
      <c r="X41" s="17">
        <v>0.999755853957493</v>
      </c>
      <c r="Y41" s="28">
        <v>-2.1399999999999999E-2</v>
      </c>
      <c r="Z41" s="29">
        <v>0.99979202415921797</v>
      </c>
    </row>
    <row r="42" spans="2:26" x14ac:dyDescent="0.25">
      <c r="B42" s="10" t="s">
        <v>37</v>
      </c>
      <c r="C42" s="8"/>
      <c r="D42" s="9"/>
      <c r="E42" s="24"/>
      <c r="F42" s="25"/>
      <c r="G42" s="8"/>
      <c r="H42" s="9"/>
      <c r="I42" s="24"/>
      <c r="J42" s="25"/>
      <c r="K42" s="8"/>
      <c r="L42" s="9"/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-4.7000000000000002E-3</v>
      </c>
      <c r="V42" s="25">
        <v>1.85061850288548E-10</v>
      </c>
      <c r="W42" s="8">
        <v>0</v>
      </c>
      <c r="X42" s="9">
        <v>2.4414604250716602E-4</v>
      </c>
      <c r="Y42" s="24">
        <v>1.00000000000002E-4</v>
      </c>
      <c r="Z42" s="25">
        <v>2.0797584078256499E-4</v>
      </c>
    </row>
    <row r="43" spans="2:26" x14ac:dyDescent="0.25">
      <c r="B43" s="11" t="s">
        <v>33</v>
      </c>
      <c r="C43" s="12"/>
      <c r="D43" s="13"/>
      <c r="E43" s="26"/>
      <c r="F43" s="27"/>
      <c r="G43" s="12"/>
      <c r="H43" s="13"/>
      <c r="I43" s="26"/>
      <c r="J43" s="27"/>
      <c r="K43" s="12"/>
      <c r="L43" s="13"/>
      <c r="M43" s="26">
        <v>0</v>
      </c>
      <c r="N43" s="27">
        <v>1</v>
      </c>
      <c r="O43" s="12">
        <v>0</v>
      </c>
      <c r="P43" s="13">
        <v>1</v>
      </c>
      <c r="Q43" s="26">
        <v>0</v>
      </c>
      <c r="R43" s="27">
        <v>1</v>
      </c>
      <c r="S43" s="12">
        <v>-3.8399999999999997E-2</v>
      </c>
      <c r="T43" s="13">
        <v>1</v>
      </c>
      <c r="U43" s="26">
        <v>3.2300000000000002E-2</v>
      </c>
      <c r="V43" s="27">
        <v>1</v>
      </c>
      <c r="W43" s="12">
        <v>6.6E-3</v>
      </c>
      <c r="X43" s="13">
        <v>1</v>
      </c>
      <c r="Y43" s="26">
        <v>-2.1299999999999999E-2</v>
      </c>
      <c r="Z43" s="27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0" t="s">
        <v>38</v>
      </c>
      <c r="C46" s="42" t="s">
        <v>45</v>
      </c>
      <c r="D46" s="43"/>
      <c r="E46" s="44" t="s">
        <v>46</v>
      </c>
      <c r="F46" s="45"/>
      <c r="G46" s="42" t="s">
        <v>47</v>
      </c>
      <c r="H46" s="43"/>
      <c r="I46" s="44" t="s">
        <v>48</v>
      </c>
      <c r="J46" s="45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/>
      <c r="D48" s="9"/>
      <c r="E48" s="24">
        <v>0</v>
      </c>
      <c r="F48" s="25">
        <v>1</v>
      </c>
      <c r="G48" s="8">
        <v>0</v>
      </c>
      <c r="H48" s="9">
        <v>0.55351014838474999</v>
      </c>
      <c r="I48" s="24">
        <v>2.4984398199998648E-3</v>
      </c>
      <c r="J48" s="25">
        <v>0.16786327568213999</v>
      </c>
    </row>
    <row r="49" spans="2:10" x14ac:dyDescent="0.25">
      <c r="B49" s="10" t="s">
        <v>7</v>
      </c>
      <c r="C49" s="8"/>
      <c r="D49" s="9"/>
      <c r="E49" s="24">
        <v>0</v>
      </c>
      <c r="F49" s="25">
        <v>0</v>
      </c>
      <c r="G49" s="8">
        <v>0</v>
      </c>
      <c r="H49" s="9">
        <v>0</v>
      </c>
      <c r="I49" s="24">
        <v>0</v>
      </c>
      <c r="J49" s="25">
        <v>0</v>
      </c>
    </row>
    <row r="50" spans="2:10" x14ac:dyDescent="0.25">
      <c r="B50" s="10" t="s">
        <v>9</v>
      </c>
      <c r="C50" s="8"/>
      <c r="D50" s="9"/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/>
      <c r="D51" s="9"/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/>
      <c r="D52" s="9"/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0" x14ac:dyDescent="0.25">
      <c r="B53" s="10" t="s">
        <v>15</v>
      </c>
      <c r="C53" s="8"/>
      <c r="D53" s="9"/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/>
      <c r="D54" s="9"/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/>
      <c r="D55" s="9"/>
      <c r="E55" s="24">
        <v>0</v>
      </c>
      <c r="F55" s="25">
        <v>0</v>
      </c>
      <c r="G55" s="8">
        <v>-3.8399999999999997E-2</v>
      </c>
      <c r="H55" s="9">
        <v>0.44648985161525001</v>
      </c>
      <c r="I55" s="24">
        <v>-1.5600926775359901E-2</v>
      </c>
      <c r="J55" s="25">
        <v>0.83487822640065601</v>
      </c>
    </row>
    <row r="56" spans="2:10" x14ac:dyDescent="0.25">
      <c r="B56" s="10" t="s">
        <v>20</v>
      </c>
      <c r="C56" s="8"/>
      <c r="D56" s="9"/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/>
      <c r="D57" s="9"/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/>
      <c r="D58" s="9"/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/>
      <c r="D59" s="9"/>
      <c r="E59" s="24">
        <v>0</v>
      </c>
      <c r="F59" s="25">
        <v>0</v>
      </c>
      <c r="G59" s="8">
        <v>0</v>
      </c>
      <c r="H59" s="9">
        <v>0</v>
      </c>
      <c r="I59" s="24">
        <v>-8.979790000000043E-3</v>
      </c>
      <c r="J59" s="25">
        <v>-2.9494779235785698E-3</v>
      </c>
    </row>
    <row r="60" spans="2:10" x14ac:dyDescent="0.25">
      <c r="B60" s="10" t="s">
        <v>26</v>
      </c>
      <c r="C60" s="8"/>
      <c r="D60" s="9"/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/>
      <c r="D61" s="9"/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 x14ac:dyDescent="0.25">
      <c r="B62" s="10" t="s">
        <v>28</v>
      </c>
      <c r="C62" s="8"/>
      <c r="D62" s="9"/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/>
      <c r="D63" s="9"/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30</v>
      </c>
      <c r="C64" s="8"/>
      <c r="D64" s="9"/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3" x14ac:dyDescent="0.25">
      <c r="B65" s="10" t="s">
        <v>31</v>
      </c>
      <c r="C65" s="8"/>
      <c r="D65" s="9"/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3" x14ac:dyDescent="0.25">
      <c r="B66" s="10" t="s">
        <v>32</v>
      </c>
      <c r="C66" s="8"/>
      <c r="D66" s="9"/>
      <c r="E66" s="24">
        <v>0</v>
      </c>
      <c r="F66" s="25">
        <v>0</v>
      </c>
      <c r="G66" s="8">
        <v>0</v>
      </c>
      <c r="H66" s="9">
        <v>0</v>
      </c>
      <c r="I66" s="24">
        <v>-9.9999999999988987E-5</v>
      </c>
      <c r="J66" s="25">
        <v>2.0797584078269E-4</v>
      </c>
      <c r="M66" s="38"/>
    </row>
    <row r="67" spans="2:13" x14ac:dyDescent="0.25">
      <c r="B67" s="11" t="s">
        <v>41</v>
      </c>
      <c r="C67" s="12"/>
      <c r="D67" s="13"/>
      <c r="E67" s="26">
        <v>0</v>
      </c>
      <c r="F67" s="27">
        <v>1</v>
      </c>
      <c r="G67" s="12">
        <v>-3.8400000000000101E-2</v>
      </c>
      <c r="H67" s="13">
        <v>1</v>
      </c>
      <c r="I67" s="26">
        <v>-2.2182276955360101E-2</v>
      </c>
      <c r="J67" s="27">
        <v>1</v>
      </c>
    </row>
    <row r="68" spans="2:13" x14ac:dyDescent="0.25">
      <c r="B68" s="30" t="s">
        <v>39</v>
      </c>
      <c r="C68" s="46"/>
      <c r="D68" s="47"/>
      <c r="E68" s="48">
        <v>0</v>
      </c>
      <c r="F68" s="49"/>
      <c r="G68" s="46">
        <v>-3.2815900000000102</v>
      </c>
      <c r="H68" s="47"/>
      <c r="I68" s="48">
        <v>-7.5061099999996399</v>
      </c>
      <c r="J68" s="49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3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3" ht="15.75" x14ac:dyDescent="0.25">
      <c r="B71" s="20" t="s">
        <v>38</v>
      </c>
      <c r="C71" s="42" t="s">
        <v>45</v>
      </c>
      <c r="D71" s="43"/>
      <c r="E71" s="44" t="s">
        <v>46</v>
      </c>
      <c r="F71" s="45"/>
      <c r="G71" s="42" t="s">
        <v>47</v>
      </c>
      <c r="H71" s="43"/>
      <c r="I71" s="44" t="s">
        <v>48</v>
      </c>
      <c r="J71" s="45"/>
    </row>
    <row r="72" spans="2:13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3" x14ac:dyDescent="0.25">
      <c r="B73" s="7" t="s">
        <v>34</v>
      </c>
      <c r="C73" s="8"/>
      <c r="D73" s="17"/>
      <c r="E73" s="28">
        <v>0</v>
      </c>
      <c r="F73" s="29">
        <v>1</v>
      </c>
      <c r="G73" s="8">
        <v>-0.52039999999999997</v>
      </c>
      <c r="H73" s="17">
        <v>0.85901165346476605</v>
      </c>
      <c r="I73" s="24">
        <v>-0.51697768754723206</v>
      </c>
      <c r="J73" s="29">
        <v>0.69333626180590402</v>
      </c>
    </row>
    <row r="74" spans="2:13" x14ac:dyDescent="0.25">
      <c r="B74" s="10" t="s">
        <v>35</v>
      </c>
      <c r="C74" s="8"/>
      <c r="D74" s="9"/>
      <c r="E74" s="24">
        <v>0</v>
      </c>
      <c r="F74" s="25">
        <v>0</v>
      </c>
      <c r="G74" s="8">
        <v>0.48199999999999998</v>
      </c>
      <c r="H74" s="9">
        <v>0.14098834653523401</v>
      </c>
      <c r="I74" s="24">
        <v>0.49480000000000002</v>
      </c>
      <c r="J74" s="25">
        <v>0.30666373819409498</v>
      </c>
    </row>
    <row r="75" spans="2:13" x14ac:dyDescent="0.25">
      <c r="B75" s="11" t="s">
        <v>41</v>
      </c>
      <c r="C75" s="12"/>
      <c r="D75" s="13"/>
      <c r="E75" s="26">
        <v>0</v>
      </c>
      <c r="F75" s="27">
        <v>1</v>
      </c>
      <c r="G75" s="12">
        <v>-3.839999999999999E-2</v>
      </c>
      <c r="H75" s="13">
        <v>1</v>
      </c>
      <c r="I75" s="26">
        <v>-2.2177687547232039E-2</v>
      </c>
      <c r="J75" s="27">
        <v>1</v>
      </c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3" ht="15.75" x14ac:dyDescent="0.25">
      <c r="B78" s="20" t="s">
        <v>38</v>
      </c>
      <c r="C78" s="42" t="s">
        <v>45</v>
      </c>
      <c r="D78" s="43"/>
      <c r="E78" s="44" t="s">
        <v>46</v>
      </c>
      <c r="F78" s="45"/>
      <c r="G78" s="42" t="s">
        <v>47</v>
      </c>
      <c r="H78" s="43"/>
      <c r="I78" s="44" t="s">
        <v>48</v>
      </c>
      <c r="J78" s="45"/>
    </row>
    <row r="79" spans="2:13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3" x14ac:dyDescent="0.25">
      <c r="B80" s="7" t="s">
        <v>36</v>
      </c>
      <c r="C80" s="8"/>
      <c r="D80" s="17"/>
      <c r="E80" s="28">
        <v>0</v>
      </c>
      <c r="F80" s="29">
        <v>1</v>
      </c>
      <c r="G80" s="8">
        <v>-3.839999999999999E-2</v>
      </c>
      <c r="H80" s="17">
        <v>1</v>
      </c>
      <c r="I80" s="28">
        <v>-1.7600000000000001E-2</v>
      </c>
      <c r="J80" s="29">
        <v>0.99979202415921797</v>
      </c>
    </row>
    <row r="81" spans="2:10" x14ac:dyDescent="0.25">
      <c r="B81" s="10" t="s">
        <v>37</v>
      </c>
      <c r="C81" s="8"/>
      <c r="D81" s="9"/>
      <c r="E81" s="24">
        <v>0</v>
      </c>
      <c r="F81" s="25">
        <v>0</v>
      </c>
      <c r="G81" s="8">
        <v>0</v>
      </c>
      <c r="H81" s="9">
        <v>0</v>
      </c>
      <c r="I81" s="24">
        <v>-4.6004700000000787E-3</v>
      </c>
      <c r="J81" s="25">
        <v>2.0797584078256499E-4</v>
      </c>
    </row>
    <row r="82" spans="2:10" x14ac:dyDescent="0.25">
      <c r="B82" s="11" t="s">
        <v>41</v>
      </c>
      <c r="C82" s="12"/>
      <c r="D82" s="13"/>
      <c r="E82" s="26">
        <v>0</v>
      </c>
      <c r="F82" s="27">
        <v>1</v>
      </c>
      <c r="G82" s="12">
        <v>-3.839999999999999E-2</v>
      </c>
      <c r="H82" s="13">
        <v>1</v>
      </c>
      <c r="I82" s="26">
        <v>-2.220047000000008E-2</v>
      </c>
      <c r="J82" s="27">
        <v>1</v>
      </c>
    </row>
    <row r="84" spans="2:10" x14ac:dyDescent="0.25">
      <c r="E84" s="36"/>
    </row>
    <row r="85" spans="2:10" x14ac:dyDescent="0.25">
      <c r="E85" s="36"/>
    </row>
    <row r="86" spans="2:10" x14ac:dyDescent="0.25">
      <c r="E86" s="36"/>
      <c r="G86" s="36"/>
    </row>
    <row r="87" spans="2:10" x14ac:dyDescent="0.25">
      <c r="G87" s="36"/>
    </row>
    <row r="90" spans="2:10" x14ac:dyDescent="0.25">
      <c r="E90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39:V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  <mergeCell ref="Q6:R6"/>
    <mergeCell ref="S6:T6"/>
    <mergeCell ref="I46:J46"/>
    <mergeCell ref="M6:N6"/>
    <mergeCell ref="M39:N39"/>
    <mergeCell ref="S39:T39"/>
    <mergeCell ref="U6:V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E28:F28"/>
    <mergeCell ref="C6:D6"/>
    <mergeCell ref="E6:F6"/>
    <mergeCell ref="G6:H6"/>
    <mergeCell ref="I6:J6"/>
    <mergeCell ref="C28:D28"/>
    <mergeCell ref="C71:D71"/>
    <mergeCell ref="E71:F71"/>
    <mergeCell ref="G71:H71"/>
    <mergeCell ref="I71:J71"/>
    <mergeCell ref="C70:J70"/>
    <mergeCell ref="C39:D39"/>
    <mergeCell ref="E39:F39"/>
    <mergeCell ref="G39:H39"/>
    <mergeCell ref="I39:J39"/>
    <mergeCell ref="K39:L39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28:J28"/>
    <mergeCell ref="W39:X39"/>
    <mergeCell ref="Y39:Z39"/>
    <mergeCell ref="O39:P39"/>
    <mergeCell ref="Q39:R39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elements/1.1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