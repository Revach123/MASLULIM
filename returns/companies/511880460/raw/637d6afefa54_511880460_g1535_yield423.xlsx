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<sst xmlns="http://schemas.openxmlformats.org/spreadsheetml/2006/main" count="190" uniqueCount="50">
  <si>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</si>
  <si>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</si>
  <si>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</si>
  <si>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</si>
  <si>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</si>
  <si>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</si>
  <si>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</si>
  <si>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</si>
  <si>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</si>
  <si>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</si>
  <si>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</si>
  <si>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</si>
  <si>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</si>
  <si>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</si>
  <si>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</si>
  <si>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</si>
  <si>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</si>
  <si>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</si>
  <si>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</si>
  <si>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</si>
  <si>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</si>
  <si>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</si>
  <si>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</si>
  <si>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</si>
  <si>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</si>
  <si>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</si>
  <si>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</si>
  <si>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</si>
  <si>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</si>
  <si>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</si>
  <si>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</si>
  <si>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</si>
  <si>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</si>
  <si>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</si>
  <si>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</si>
  <si>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</si>
  <si>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</si>
  <si>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</si>
  <si>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</si>
  <si>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</si>
  <si>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</si>
  <si>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</si>
  <si>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</si>
  <si>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</si>
  <si>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</si>
  <si>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</si>
  <si>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</si>
  <si>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</si>
  <si>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</si>
  <si>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2027אנליסט השתלמות שקלי טווח קצר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</si>
</sst>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3" t="s">
        <v>0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5"/>
      <c r="AE5" s="3" t="s">
        <v>1</v>
      </c>
    </row>
    <row r="6" spans="2:31" ht="15.75" x14ac:dyDescent="0.25">
      <c r="B6" s="21" t="s">
        <v>41</v>
      </c>
      <c r="C6" s="39">
        <v>44927</v>
      </c>
      <c r="D6" s="40"/>
      <c r="E6" s="37">
        <v>44958</v>
      </c>
      <c r="F6" s="38"/>
      <c r="G6" s="39">
        <v>44986</v>
      </c>
      <c r="H6" s="40"/>
      <c r="I6" s="37">
        <v>45017</v>
      </c>
      <c r="J6" s="38"/>
      <c r="K6" s="39">
        <v>45047</v>
      </c>
      <c r="L6" s="40"/>
      <c r="M6" s="37">
        <v>45078</v>
      </c>
      <c r="N6" s="38"/>
      <c r="O6" s="39">
        <v>45108</v>
      </c>
      <c r="P6" s="40"/>
      <c r="Q6" s="37">
        <v>45139</v>
      </c>
      <c r="R6" s="38"/>
      <c r="S6" s="39">
        <v>45170</v>
      </c>
      <c r="T6" s="40"/>
      <c r="U6" s="37">
        <v>45200</v>
      </c>
      <c r="V6" s="38"/>
      <c r="W6" s="39">
        <v>45231</v>
      </c>
      <c r="X6" s="40"/>
      <c r="Y6" s="37">
        <v>45261</v>
      </c>
      <c r="Z6" s="38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8.9999999999999998E-4</v>
      </c>
      <c r="D8" s="9">
        <v>5.5903407009444003E-2</v>
      </c>
      <c r="E8" s="25">
        <v>0</v>
      </c>
      <c r="F8" s="26">
        <v>3.7778171175024702E-2</v>
      </c>
      <c r="G8" s="8">
        <v>0</v>
      </c>
      <c r="H8" s="9">
        <v>5.0867974758143503E-2</v>
      </c>
      <c r="I8" s="25">
        <v>5.0000000000000001E-4</v>
      </c>
      <c r="J8" s="26">
        <v>1.4063233032118501E-3</v>
      </c>
      <c r="K8" s="8">
        <v>0</v>
      </c>
      <c r="L8" s="9">
        <v>-3.0110283176966401E-5</v>
      </c>
      <c r="M8" s="25">
        <v>0</v>
      </c>
      <c r="N8" s="26">
        <v>2.5217966482136901E-2</v>
      </c>
      <c r="O8" s="8">
        <v>2.0000000000000001E-4</v>
      </c>
      <c r="P8" s="9">
        <v>7.0901931290895004E-2</v>
      </c>
      <c r="Q8" s="25">
        <v>0</v>
      </c>
      <c r="R8" s="26">
        <v>2.090628972437E-2</v>
      </c>
      <c r="S8" s="8">
        <v>0</v>
      </c>
      <c r="T8" s="9">
        <v>2.7733836425616699E-2</v>
      </c>
      <c r="U8" s="25">
        <v>2.9999999999999997E-4</v>
      </c>
      <c r="V8" s="26">
        <v>4.6082067091006498E-2</v>
      </c>
      <c r="W8" s="8">
        <v>0</v>
      </c>
      <c r="X8" s="9">
        <v>2.30680986031419E-2</v>
      </c>
      <c r="Y8" s="25">
        <v>4.0000000000000002E-4</v>
      </c>
      <c r="Z8" s="26">
        <v>4.41522971874692E-2</v>
      </c>
      <c r="AE8" s="3" t="s">
        <v>8</v>
      </c>
    </row>
    <row r="9" spans="2:31" x14ac:dyDescent="0.25">
      <c r="B9" s="10" t="s">
        <v>7</v>
      </c>
      <c r="C9" s="8">
        <v>2.2000000000000001E-3</v>
      </c>
      <c r="D9" s="9">
        <v>0.81456861446153805</v>
      </c>
      <c r="E9" s="25">
        <v>-1.6999999999999999E-3</v>
      </c>
      <c r="F9" s="26">
        <v>0.830258423410976</v>
      </c>
      <c r="G9" s="8">
        <v>4.3E-3</v>
      </c>
      <c r="H9" s="9">
        <v>0.83200095573822197</v>
      </c>
      <c r="I9" s="25">
        <v>3.5000000000000001E-3</v>
      </c>
      <c r="J9" s="26">
        <v>0.908155684037938</v>
      </c>
      <c r="K9" s="8">
        <v>2.5000000000000001E-3</v>
      </c>
      <c r="L9" s="9">
        <v>0.90365353046816499</v>
      </c>
      <c r="M9" s="25">
        <v>3.0000000000000001E-3</v>
      </c>
      <c r="N9" s="26">
        <v>0.87487734550788898</v>
      </c>
      <c r="O9" s="8">
        <v>3.8E-3</v>
      </c>
      <c r="P9" s="9">
        <v>0.83170390709856501</v>
      </c>
      <c r="Q9" s="25">
        <v>3.5999999999999999E-3</v>
      </c>
      <c r="R9" s="26">
        <v>0.88337183078659998</v>
      </c>
      <c r="S9" s="8">
        <v>2.8999999999999998E-3</v>
      </c>
      <c r="T9" s="9">
        <v>0.87498963895594095</v>
      </c>
      <c r="U9" s="25">
        <v>4.4000000000000003E-3</v>
      </c>
      <c r="V9" s="26">
        <v>0.85553113794000002</v>
      </c>
      <c r="W9" s="8">
        <v>3.3999999999999998E-3</v>
      </c>
      <c r="X9" s="9">
        <v>0.87637702801891504</v>
      </c>
      <c r="Y9" s="25">
        <v>3.3E-3</v>
      </c>
      <c r="Z9" s="26">
        <v>0.85498689811034301</v>
      </c>
      <c r="AE9" s="3" t="s">
        <v>10</v>
      </c>
    </row>
    <row r="10" spans="2:31" x14ac:dyDescent="0.25">
      <c r="B10" s="10" t="s">
        <v>9</v>
      </c>
      <c r="C10" s="8">
        <v>2.0000000000000001E-4</v>
      </c>
      <c r="D10" s="9">
        <v>3.8462470390289098E-2</v>
      </c>
      <c r="E10" s="25">
        <v>1E-4</v>
      </c>
      <c r="F10" s="26">
        <v>3.9210437636613298E-2</v>
      </c>
      <c r="G10" s="8">
        <v>1E-4</v>
      </c>
      <c r="H10" s="9">
        <v>2.43798495048697E-2</v>
      </c>
      <c r="I10" s="25">
        <v>1E-4</v>
      </c>
      <c r="J10" s="26">
        <v>2.12824127596449E-2</v>
      </c>
      <c r="K10" s="8">
        <v>2.0000000000000001E-4</v>
      </c>
      <c r="L10" s="9">
        <v>3.7153906736580901E-2</v>
      </c>
      <c r="M10" s="25">
        <v>1E-4</v>
      </c>
      <c r="N10" s="26">
        <v>2.4421629536157199E-2</v>
      </c>
      <c r="O10" s="8">
        <v>1E-4</v>
      </c>
      <c r="P10" s="9">
        <v>2.6504914945760901E-2</v>
      </c>
      <c r="Q10" s="25">
        <v>1E-4</v>
      </c>
      <c r="R10" s="26">
        <v>2.5187309591615799E-2</v>
      </c>
      <c r="S10" s="8">
        <v>1E-4</v>
      </c>
      <c r="T10" s="9">
        <v>1.56025551963269E-2</v>
      </c>
      <c r="U10" s="25">
        <v>1E-4</v>
      </c>
      <c r="V10" s="26">
        <v>1.2781655323505101E-2</v>
      </c>
      <c r="W10" s="8">
        <v>1E-4</v>
      </c>
      <c r="X10" s="9">
        <v>1.30307473551115E-2</v>
      </c>
      <c r="Y10" s="25">
        <v>0</v>
      </c>
      <c r="Z10" s="26">
        <v>1.36663563852569E-2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2.0000000000000001E-4</v>
      </c>
      <c r="D12" s="9">
        <v>7.0294994366923394E-2</v>
      </c>
      <c r="E12" s="25">
        <v>-1E-4</v>
      </c>
      <c r="F12" s="26">
        <v>7.1452723254501804E-2</v>
      </c>
      <c r="G12" s="8">
        <v>4.0000000000000002E-4</v>
      </c>
      <c r="H12" s="9">
        <v>7.2206807642642604E-2</v>
      </c>
      <c r="I12" s="25">
        <v>2.9999999999999997E-4</v>
      </c>
      <c r="J12" s="26">
        <v>4.8407325160847899E-2</v>
      </c>
      <c r="K12" s="8">
        <v>2.0000000000000001E-4</v>
      </c>
      <c r="L12" s="9">
        <v>3.6824851436597798E-2</v>
      </c>
      <c r="M12" s="25">
        <v>1E-4</v>
      </c>
      <c r="N12" s="26">
        <v>5.0408212987728102E-2</v>
      </c>
      <c r="O12" s="8">
        <v>2.0000000000000001E-4</v>
      </c>
      <c r="P12" s="9">
        <v>5.4982416795671701E-2</v>
      </c>
      <c r="Q12" s="25">
        <v>2.0000000000000001E-4</v>
      </c>
      <c r="R12" s="26">
        <v>5.5222442650548702E-2</v>
      </c>
      <c r="S12" s="8">
        <v>2.0000000000000001E-4</v>
      </c>
      <c r="T12" s="9">
        <v>6.6445487507800702E-2</v>
      </c>
      <c r="U12" s="25">
        <v>4.0000000000000002E-4</v>
      </c>
      <c r="V12" s="26">
        <v>7.3220321583964507E-2</v>
      </c>
      <c r="W12" s="8">
        <v>5.0000000000000001E-4</v>
      </c>
      <c r="X12" s="9">
        <v>7.4784771882127093E-2</v>
      </c>
      <c r="Y12" s="25">
        <v>4.0000000000000002E-4</v>
      </c>
      <c r="Z12" s="26">
        <v>7.413185710886E-2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0</v>
      </c>
      <c r="I15" s="25">
        <v>0</v>
      </c>
      <c r="J15" s="26">
        <v>0</v>
      </c>
      <c r="K15" s="8">
        <v>0</v>
      </c>
      <c r="L15" s="9">
        <v>0</v>
      </c>
      <c r="M15" s="25">
        <v>0</v>
      </c>
      <c r="N15" s="26">
        <v>0</v>
      </c>
      <c r="O15" s="8">
        <v>0</v>
      </c>
      <c r="P15" s="9">
        <v>0</v>
      </c>
      <c r="Q15" s="25">
        <v>0</v>
      </c>
      <c r="R15" s="26">
        <v>0</v>
      </c>
      <c r="S15" s="8">
        <v>0</v>
      </c>
      <c r="T15" s="9">
        <v>0</v>
      </c>
      <c r="U15" s="25">
        <v>0</v>
      </c>
      <c r="V15" s="26">
        <v>0</v>
      </c>
      <c r="W15" s="8">
        <v>0</v>
      </c>
      <c r="X15" s="9">
        <v>0</v>
      </c>
      <c r="Y15" s="25">
        <v>0</v>
      </c>
      <c r="Z15" s="26">
        <v>0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1.20574150365687E-2</v>
      </c>
      <c r="E21" s="25">
        <v>0</v>
      </c>
      <c r="F21" s="26">
        <v>1.2300886578986E-2</v>
      </c>
      <c r="G21" s="8">
        <v>1E-4</v>
      </c>
      <c r="H21" s="9">
        <v>1.17940994716882E-2</v>
      </c>
      <c r="I21" s="25">
        <v>1E-4</v>
      </c>
      <c r="J21" s="26">
        <v>1.2121019347713501E-2</v>
      </c>
      <c r="K21" s="8">
        <v>1E-4</v>
      </c>
      <c r="L21" s="9">
        <v>1.3076611189992199E-2</v>
      </c>
      <c r="M21" s="25">
        <v>1E-4</v>
      </c>
      <c r="N21" s="26">
        <v>1.46346699262703E-2</v>
      </c>
      <c r="O21" s="8">
        <v>1E-4</v>
      </c>
      <c r="P21" s="9">
        <v>1.5872816752122001E-2</v>
      </c>
      <c r="Q21" s="25">
        <v>1E-4</v>
      </c>
      <c r="R21" s="26">
        <v>1.5088155554131399E-2</v>
      </c>
      <c r="S21" s="8">
        <v>1E-4</v>
      </c>
      <c r="T21" s="9">
        <v>1.49172108119062E-2</v>
      </c>
      <c r="U21" s="25">
        <v>1E-4</v>
      </c>
      <c r="V21" s="26">
        <v>1.22177615974446E-2</v>
      </c>
      <c r="W21" s="8">
        <v>1E-4</v>
      </c>
      <c r="X21" s="9">
        <v>1.24552768544193E-2</v>
      </c>
      <c r="Y21" s="25">
        <v>0</v>
      </c>
      <c r="Z21" s="26">
        <v>1.3062591173041101E-2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8.5413612932668092E-3</v>
      </c>
      <c r="E23" s="25">
        <v>0</v>
      </c>
      <c r="F23" s="26">
        <v>8.7006360968361705E-3</v>
      </c>
      <c r="G23" s="8">
        <v>0</v>
      </c>
      <c r="H23" s="9">
        <v>8.3143392925583808E-3</v>
      </c>
      <c r="I23" s="25">
        <v>0</v>
      </c>
      <c r="J23" s="26">
        <v>8.5312427064194191E-3</v>
      </c>
      <c r="K23" s="8">
        <v>0</v>
      </c>
      <c r="L23" s="9">
        <v>9.1875410153645903E-3</v>
      </c>
      <c r="M23" s="25">
        <v>0</v>
      </c>
      <c r="N23" s="26">
        <v>1.02624529173362E-2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-6.9999999999999999E-4</v>
      </c>
      <c r="D26" s="9">
        <v>1.7173744196973001E-4</v>
      </c>
      <c r="E26" s="25">
        <v>2.0000000000000001E-4</v>
      </c>
      <c r="F26" s="26">
        <v>2.9872184706174399E-4</v>
      </c>
      <c r="G26" s="8">
        <v>2.0000000000000001E-4</v>
      </c>
      <c r="H26" s="9">
        <v>4.3597359187521798E-4</v>
      </c>
      <c r="I26" s="25">
        <v>-4.0000000000000002E-4</v>
      </c>
      <c r="J26" s="26">
        <v>9.5992684224705701E-5</v>
      </c>
      <c r="K26" s="8">
        <v>-5.2041704279304199E-20</v>
      </c>
      <c r="L26" s="9">
        <v>1.33669436476719E-4</v>
      </c>
      <c r="M26" s="25">
        <v>1E-4</v>
      </c>
      <c r="N26" s="26">
        <v>1.7772264248283999E-4</v>
      </c>
      <c r="O26" s="8">
        <v>-1E-4</v>
      </c>
      <c r="P26" s="9">
        <v>3.40131169855332E-5</v>
      </c>
      <c r="Q26" s="25">
        <v>2.0000000000000001E-4</v>
      </c>
      <c r="R26" s="26">
        <v>2.2397169273450301E-4</v>
      </c>
      <c r="S26" s="8">
        <v>3.46944695195361E-19</v>
      </c>
      <c r="T26" s="9">
        <v>3.11271102408824E-4</v>
      </c>
      <c r="U26" s="25">
        <v>-9.9999999999999707E-5</v>
      </c>
      <c r="V26" s="26">
        <v>1.6705646407875501E-4</v>
      </c>
      <c r="W26" s="8">
        <v>9.9999999999999802E-5</v>
      </c>
      <c r="X26" s="9">
        <v>2.8407728628537798E-4</v>
      </c>
      <c r="Y26" s="25">
        <v>-2.9999999999999997E-4</v>
      </c>
      <c r="Z26" s="26">
        <v>3.5029676355782797E-11</v>
      </c>
    </row>
    <row r="27" spans="2:31" x14ac:dyDescent="0.25">
      <c r="B27" s="11" t="s">
        <v>33</v>
      </c>
      <c r="C27" s="12">
        <v>2.8E-3</v>
      </c>
      <c r="D27" s="13">
        <v>1</v>
      </c>
      <c r="E27" s="27">
        <v>-1.5E-3</v>
      </c>
      <c r="F27" s="28">
        <v>1</v>
      </c>
      <c r="G27" s="12">
        <v>5.1000000000000004E-3</v>
      </c>
      <c r="H27" s="13">
        <v>1</v>
      </c>
      <c r="I27" s="27">
        <v>4.1000000000000003E-3</v>
      </c>
      <c r="J27" s="28">
        <v>1</v>
      </c>
      <c r="K27" s="12">
        <v>3.0000000000000001E-3</v>
      </c>
      <c r="L27" s="13">
        <v>1</v>
      </c>
      <c r="M27" s="27">
        <v>3.3999999999999998E-3</v>
      </c>
      <c r="N27" s="28">
        <v>1</v>
      </c>
      <c r="O27" s="12">
        <v>4.3E-3</v>
      </c>
      <c r="P27" s="13">
        <v>1</v>
      </c>
      <c r="Q27" s="27">
        <v>4.1999999999999997E-3</v>
      </c>
      <c r="R27" s="28">
        <v>1</v>
      </c>
      <c r="S27" s="12">
        <v>3.3E-3</v>
      </c>
      <c r="T27" s="13">
        <v>1</v>
      </c>
      <c r="U27" s="27">
        <v>5.1999999999999998E-3</v>
      </c>
      <c r="V27" s="28">
        <v>1</v>
      </c>
      <c r="W27" s="12">
        <v>4.1999999999999997E-3</v>
      </c>
      <c r="X27" s="13">
        <v>1</v>
      </c>
      <c r="Y27" s="27">
        <v>3.8E-3</v>
      </c>
      <c r="Z27" s="28">
        <v>1</v>
      </c>
    </row>
    <row r="28" spans="2:31" x14ac:dyDescent="0.25">
      <c r="B28" s="31" t="s">
        <v>39</v>
      </c>
      <c r="C28" s="41">
        <v>276.70968000001</v>
      </c>
      <c r="D28" s="42"/>
      <c r="E28" s="46">
        <v>-136.44600000000599</v>
      </c>
      <c r="F28" s="47"/>
      <c r="G28" s="41">
        <v>475.27041000000202</v>
      </c>
      <c r="H28" s="42"/>
      <c r="I28" s="46">
        <v>392.80625999999103</v>
      </c>
      <c r="J28" s="47"/>
      <c r="K28" s="41">
        <v>275.507390000008</v>
      </c>
      <c r="L28" s="42"/>
      <c r="M28" s="46">
        <v>289.667929999992</v>
      </c>
      <c r="N28" s="47"/>
      <c r="O28" s="41">
        <v>326.56788000000603</v>
      </c>
      <c r="P28" s="42"/>
      <c r="Q28" s="46">
        <v>316.88892999999803</v>
      </c>
      <c r="R28" s="47"/>
      <c r="S28" s="41">
        <v>256.27496000000798</v>
      </c>
      <c r="T28" s="42"/>
      <c r="U28" s="46">
        <v>425.23323999999201</v>
      </c>
      <c r="V28" s="47"/>
      <c r="W28" s="41">
        <v>403.19093000000498</v>
      </c>
      <c r="X28" s="42"/>
      <c r="Y28" s="46">
        <v>356.138559999996</v>
      </c>
      <c r="Z28" s="47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3" t="s">
        <v>0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5"/>
    </row>
    <row r="32" spans="2:31" ht="15.75" x14ac:dyDescent="0.25">
      <c r="B32" s="21" t="s">
        <v>41</v>
      </c>
      <c r="C32" s="39">
        <v>44927</v>
      </c>
      <c r="D32" s="40"/>
      <c r="E32" s="37">
        <v>44958</v>
      </c>
      <c r="F32" s="38"/>
      <c r="G32" s="39">
        <v>44986</v>
      </c>
      <c r="H32" s="40"/>
      <c r="I32" s="37">
        <v>45017</v>
      </c>
      <c r="J32" s="38"/>
      <c r="K32" s="39">
        <v>45047</v>
      </c>
      <c r="L32" s="40"/>
      <c r="M32" s="37">
        <v>45078</v>
      </c>
      <c r="N32" s="38"/>
      <c r="O32" s="39">
        <v>45108</v>
      </c>
      <c r="P32" s="40"/>
      <c r="Q32" s="37">
        <v>45139</v>
      </c>
      <c r="R32" s="38"/>
      <c r="S32" s="39">
        <v>45170</v>
      </c>
      <c r="T32" s="40"/>
      <c r="U32" s="37">
        <v>45200</v>
      </c>
      <c r="V32" s="38"/>
      <c r="W32" s="39">
        <v>45231</v>
      </c>
      <c r="X32" s="40"/>
      <c r="Y32" s="37">
        <v>45261</v>
      </c>
      <c r="Z32" s="38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2.8E-3</v>
      </c>
      <c r="D34" s="17">
        <v>1</v>
      </c>
      <c r="E34" s="29">
        <v>-1.5E-3</v>
      </c>
      <c r="F34" s="30">
        <v>1</v>
      </c>
      <c r="G34" s="16">
        <v>5.1000000000000004E-3</v>
      </c>
      <c r="H34" s="17">
        <v>1</v>
      </c>
      <c r="I34" s="29">
        <v>4.1000000000000003E-3</v>
      </c>
      <c r="J34" s="30">
        <v>1</v>
      </c>
      <c r="K34" s="16">
        <v>3.0000000000000001E-3</v>
      </c>
      <c r="L34" s="17">
        <v>1</v>
      </c>
      <c r="M34" s="29">
        <v>3.3999999999999998E-3</v>
      </c>
      <c r="N34" s="30">
        <v>1</v>
      </c>
      <c r="O34" s="16">
        <v>4.3E-3</v>
      </c>
      <c r="P34" s="17">
        <v>1</v>
      </c>
      <c r="Q34" s="29">
        <v>4.1999999999999997E-3</v>
      </c>
      <c r="R34" s="30">
        <v>1</v>
      </c>
      <c r="S34" s="16">
        <v>3.3E-3</v>
      </c>
      <c r="T34" s="17">
        <v>1</v>
      </c>
      <c r="U34" s="29">
        <v>5.1999999999999998E-3</v>
      </c>
      <c r="V34" s="30">
        <v>1</v>
      </c>
      <c r="W34" s="16">
        <v>4.1999999999999997E-3</v>
      </c>
      <c r="X34" s="17">
        <v>1</v>
      </c>
      <c r="Y34" s="29">
        <v>3.8E-3</v>
      </c>
      <c r="Z34" s="30">
        <v>1</v>
      </c>
    </row>
    <row r="35" spans="2:26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8">
        <v>0</v>
      </c>
      <c r="H35" s="9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0</v>
      </c>
      <c r="R35" s="26">
        <v>0</v>
      </c>
      <c r="S35" s="8">
        <v>0</v>
      </c>
      <c r="T35" s="9">
        <v>0</v>
      </c>
      <c r="U35" s="25">
        <v>0</v>
      </c>
      <c r="V35" s="26">
        <v>0</v>
      </c>
      <c r="W35" s="8">
        <v>0</v>
      </c>
      <c r="X35" s="9">
        <v>0</v>
      </c>
      <c r="Y35" s="25">
        <v>0</v>
      </c>
      <c r="Z35" s="26">
        <v>0</v>
      </c>
    </row>
    <row r="36" spans="2:26" x14ac:dyDescent="0.25">
      <c r="B36" s="11" t="s">
        <v>33</v>
      </c>
      <c r="C36" s="12">
        <v>2.8E-3</v>
      </c>
      <c r="D36" s="13">
        <v>1</v>
      </c>
      <c r="E36" s="27">
        <v>-1.5E-3</v>
      </c>
      <c r="F36" s="28">
        <v>1</v>
      </c>
      <c r="G36" s="12">
        <v>5.1000000000000004E-3</v>
      </c>
      <c r="H36" s="13">
        <v>1</v>
      </c>
      <c r="I36" s="27">
        <v>4.1000000000000003E-3</v>
      </c>
      <c r="J36" s="28">
        <v>1</v>
      </c>
      <c r="K36" s="12">
        <v>3.0000000000000001E-3</v>
      </c>
      <c r="L36" s="13">
        <v>1</v>
      </c>
      <c r="M36" s="27">
        <v>3.3999999999999998E-3</v>
      </c>
      <c r="N36" s="28">
        <v>1</v>
      </c>
      <c r="O36" s="12">
        <v>4.3E-3</v>
      </c>
      <c r="P36" s="13">
        <v>1</v>
      </c>
      <c r="Q36" s="27">
        <v>4.1999999999999997E-3</v>
      </c>
      <c r="R36" s="28">
        <v>1</v>
      </c>
      <c r="S36" s="12">
        <v>3.3E-3</v>
      </c>
      <c r="T36" s="13">
        <v>1</v>
      </c>
      <c r="U36" s="27">
        <v>5.1999999999999998E-3</v>
      </c>
      <c r="V36" s="28">
        <v>1</v>
      </c>
      <c r="W36" s="12">
        <v>4.1999999999999997E-3</v>
      </c>
      <c r="X36" s="13">
        <v>1</v>
      </c>
      <c r="Y36" s="27">
        <v>3.8E-3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3" t="s">
        <v>0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5"/>
    </row>
    <row r="39" spans="2:26" ht="15.75" x14ac:dyDescent="0.25">
      <c r="B39" s="21" t="s">
        <v>41</v>
      </c>
      <c r="C39" s="39">
        <v>44927</v>
      </c>
      <c r="D39" s="40"/>
      <c r="E39" s="37">
        <v>44958</v>
      </c>
      <c r="F39" s="38"/>
      <c r="G39" s="39">
        <v>44986</v>
      </c>
      <c r="H39" s="40"/>
      <c r="I39" s="37">
        <v>45017</v>
      </c>
      <c r="J39" s="38"/>
      <c r="K39" s="39">
        <v>45047</v>
      </c>
      <c r="L39" s="40"/>
      <c r="M39" s="37">
        <v>45078</v>
      </c>
      <c r="N39" s="38"/>
      <c r="O39" s="39">
        <v>45108</v>
      </c>
      <c r="P39" s="40"/>
      <c r="Q39" s="37">
        <v>45139</v>
      </c>
      <c r="R39" s="38"/>
      <c r="S39" s="39">
        <v>45170</v>
      </c>
      <c r="T39" s="40"/>
      <c r="U39" s="37">
        <v>45200</v>
      </c>
      <c r="V39" s="38"/>
      <c r="W39" s="39">
        <v>45231</v>
      </c>
      <c r="X39" s="40"/>
      <c r="Y39" s="37">
        <v>45261</v>
      </c>
      <c r="Z39" s="38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3.5000000000000001E-3</v>
      </c>
      <c r="D41" s="17">
        <v>0.99128690126476404</v>
      </c>
      <c r="E41" s="29">
        <v>-1.6000000000000001E-3</v>
      </c>
      <c r="F41" s="30">
        <v>0.99100064205610205</v>
      </c>
      <c r="G41" s="16">
        <v>4.8999999999999998E-3</v>
      </c>
      <c r="H41" s="17">
        <v>0.99124968711556605</v>
      </c>
      <c r="I41" s="29">
        <v>4.4000000000000003E-3</v>
      </c>
      <c r="J41" s="30">
        <v>0.99137276460935597</v>
      </c>
      <c r="K41" s="16">
        <v>2.8999999999999998E-3</v>
      </c>
      <c r="L41" s="17">
        <v>0.99067878954815902</v>
      </c>
      <c r="M41" s="29">
        <v>3.3E-3</v>
      </c>
      <c r="N41" s="30">
        <v>0.98955982444018098</v>
      </c>
      <c r="O41" s="16">
        <v>4.4000000000000003E-3</v>
      </c>
      <c r="P41" s="17">
        <v>0.99996598688301397</v>
      </c>
      <c r="Q41" s="29">
        <v>4.0000000000000001E-3</v>
      </c>
      <c r="R41" s="30">
        <v>0.99977602830726597</v>
      </c>
      <c r="S41" s="16">
        <v>3.2000000000000002E-3</v>
      </c>
      <c r="T41" s="17">
        <v>0.99968872889759197</v>
      </c>
      <c r="U41" s="29">
        <v>5.3E-3</v>
      </c>
      <c r="V41" s="30">
        <v>0.999832943535921</v>
      </c>
      <c r="W41" s="16">
        <v>4.1000000000000003E-3</v>
      </c>
      <c r="X41" s="17">
        <v>0.99971592271371501</v>
      </c>
      <c r="Y41" s="29">
        <v>4.1000000000000003E-3</v>
      </c>
      <c r="Z41" s="30">
        <v>0.99999999996497002</v>
      </c>
    </row>
    <row r="42" spans="2:26" x14ac:dyDescent="0.25">
      <c r="B42" s="10" t="s">
        <v>37</v>
      </c>
      <c r="C42" s="8">
        <v>-6.9999999999999999E-4</v>
      </c>
      <c r="D42" s="9">
        <v>8.7130987352362892E-3</v>
      </c>
      <c r="E42" s="25">
        <v>1E-4</v>
      </c>
      <c r="F42" s="26">
        <v>8.9993579438979801E-3</v>
      </c>
      <c r="G42" s="8">
        <v>2.0000000000000001E-4</v>
      </c>
      <c r="H42" s="9">
        <v>8.7503128844336302E-3</v>
      </c>
      <c r="I42" s="25">
        <v>-3.00000000000001E-4</v>
      </c>
      <c r="J42" s="26">
        <v>8.6272353906442206E-3</v>
      </c>
      <c r="K42" s="8">
        <v>1E-4</v>
      </c>
      <c r="L42" s="9">
        <v>9.32121045184129E-3</v>
      </c>
      <c r="M42" s="25">
        <v>1E-4</v>
      </c>
      <c r="N42" s="26">
        <v>1.0440175559818901E-2</v>
      </c>
      <c r="O42" s="8">
        <v>-1E-4</v>
      </c>
      <c r="P42" s="9">
        <v>3.4013116985595501E-5</v>
      </c>
      <c r="Q42" s="25">
        <v>1.9999999999999901E-4</v>
      </c>
      <c r="R42" s="26">
        <v>2.2397169273445099E-4</v>
      </c>
      <c r="S42" s="8">
        <v>1E-4</v>
      </c>
      <c r="T42" s="9">
        <v>3.1127110240851001E-4</v>
      </c>
      <c r="U42" s="25">
        <v>-1E-4</v>
      </c>
      <c r="V42" s="26">
        <v>1.6705646407896599E-4</v>
      </c>
      <c r="W42" s="8">
        <v>9.9999999999999802E-5</v>
      </c>
      <c r="X42" s="9">
        <v>2.8407728628536898E-4</v>
      </c>
      <c r="Y42" s="25">
        <v>-2.9999999999999997E-4</v>
      </c>
      <c r="Z42" s="26">
        <v>3.5029898981520101E-11</v>
      </c>
    </row>
    <row r="43" spans="2:26" x14ac:dyDescent="0.25">
      <c r="B43" s="11" t="s">
        <v>33</v>
      </c>
      <c r="C43" s="12">
        <v>2.8E-3</v>
      </c>
      <c r="D43" s="13">
        <v>1</v>
      </c>
      <c r="E43" s="27">
        <v>-1.5E-3</v>
      </c>
      <c r="F43" s="28">
        <v>1</v>
      </c>
      <c r="G43" s="12">
        <v>5.1000000000000004E-3</v>
      </c>
      <c r="H43" s="13">
        <v>1</v>
      </c>
      <c r="I43" s="27">
        <v>4.1000000000000003E-3</v>
      </c>
      <c r="J43" s="28">
        <v>1</v>
      </c>
      <c r="K43" s="12">
        <v>3.0000000000000001E-3</v>
      </c>
      <c r="L43" s="13">
        <v>1</v>
      </c>
      <c r="M43" s="27">
        <v>3.3999999999999998E-3</v>
      </c>
      <c r="N43" s="28">
        <v>1</v>
      </c>
      <c r="O43" s="12">
        <v>4.3E-3</v>
      </c>
      <c r="P43" s="13">
        <v>1</v>
      </c>
      <c r="Q43" s="27">
        <v>4.1999999999999997E-3</v>
      </c>
      <c r="R43" s="28">
        <v>1</v>
      </c>
      <c r="S43" s="12">
        <v>3.3E-3</v>
      </c>
      <c r="T43" s="13">
        <v>1</v>
      </c>
      <c r="U43" s="27">
        <v>5.1999999999999998E-3</v>
      </c>
      <c r="V43" s="28">
        <v>1</v>
      </c>
      <c r="W43" s="12">
        <v>4.1999999999999997E-3</v>
      </c>
      <c r="X43" s="13">
        <v>1</v>
      </c>
      <c r="Y43" s="27">
        <v>3.8E-3</v>
      </c>
      <c r="Z43" s="28">
        <v>1</v>
      </c>
    </row>
    <row r="45" spans="2:26" ht="15.75" x14ac:dyDescent="0.25">
      <c r="C45" s="43" t="s">
        <v>0</v>
      </c>
      <c r="D45" s="44"/>
      <c r="E45" s="44"/>
      <c r="F45" s="44"/>
      <c r="G45" s="44"/>
      <c r="H45" s="44"/>
      <c r="I45" s="44"/>
      <c r="J45" s="45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8.9999999999990088E-4</v>
      </c>
      <c r="D48" s="9">
        <v>5.0867974758143503E-2</v>
      </c>
      <c r="E48" s="25">
        <v>1.4004499999997755E-3</v>
      </c>
      <c r="F48" s="26">
        <v>2.5217966482136901E-2</v>
      </c>
      <c r="G48" s="8">
        <v>1.6007300899998356E-3</v>
      </c>
      <c r="H48" s="9">
        <v>2.7733836425616699E-2</v>
      </c>
      <c r="I48" s="25">
        <v>2.3019707931504207E-3</v>
      </c>
      <c r="J48" s="26">
        <v>4.41522971874692E-2</v>
      </c>
    </row>
    <row r="49" spans="2:10" x14ac:dyDescent="0.25">
      <c r="B49" s="10" t="s">
        <v>7</v>
      </c>
      <c r="C49" s="8">
        <v>4.7983939180000768E-3</v>
      </c>
      <c r="D49" s="9">
        <v>0.83200095573822197</v>
      </c>
      <c r="E49" s="25">
        <v>1.386848419625708E-2</v>
      </c>
      <c r="F49" s="26">
        <v>0.87487734550788898</v>
      </c>
      <c r="G49" s="8">
        <v>2.4400000000000002E-2</v>
      </c>
      <c r="H49" s="9">
        <v>0.87498963895594095</v>
      </c>
      <c r="I49" s="25">
        <v>3.5900000000000001E-2</v>
      </c>
      <c r="J49" s="26">
        <v>0.85498689811034301</v>
      </c>
    </row>
    <row r="50" spans="2:10" x14ac:dyDescent="0.25">
      <c r="B50" s="10" t="s">
        <v>9</v>
      </c>
      <c r="C50" s="8">
        <v>4.0005000200005192E-4</v>
      </c>
      <c r="D50" s="9">
        <v>2.43798495048697E-2</v>
      </c>
      <c r="E50" s="25">
        <v>8.0026004400424178E-4</v>
      </c>
      <c r="F50" s="26">
        <v>2.4421629536157199E-2</v>
      </c>
      <c r="G50" s="8">
        <v>1.1005301470259354E-3</v>
      </c>
      <c r="H50" s="9">
        <v>1.56025551963269E-2</v>
      </c>
      <c r="I50" s="25">
        <v>1.3007602640606741E-3</v>
      </c>
      <c r="J50" s="26">
        <v>1.36663563852569E-2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5.0001999199977831E-4</v>
      </c>
      <c r="D52" s="9">
        <v>7.2206807642642604E-2</v>
      </c>
      <c r="E52" s="25">
        <v>1.1004300650001575E-3</v>
      </c>
      <c r="F52" s="26">
        <v>5.0408212987728102E-2</v>
      </c>
      <c r="G52" s="8">
        <v>1.7012104630993452E-3</v>
      </c>
      <c r="H52" s="9">
        <v>6.6445487507800702E-2</v>
      </c>
      <c r="I52" s="25">
        <v>3.0039830695149927E-3</v>
      </c>
      <c r="J52" s="26">
        <v>7.413185710886E-2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0</v>
      </c>
      <c r="D55" s="9">
        <v>0</v>
      </c>
      <c r="E55" s="25">
        <v>0</v>
      </c>
      <c r="F55" s="26">
        <v>0</v>
      </c>
      <c r="G55" s="8">
        <v>0</v>
      </c>
      <c r="H55" s="9">
        <v>0</v>
      </c>
      <c r="I55" s="25">
        <v>0</v>
      </c>
      <c r="J55" s="26">
        <v>0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9.9999999999988987E-5</v>
      </c>
      <c r="D61" s="9">
        <v>1.17940994716882E-2</v>
      </c>
      <c r="E61" s="25">
        <v>4.000600039999469E-4</v>
      </c>
      <c r="F61" s="26">
        <v>1.46346699262703E-2</v>
      </c>
      <c r="G61" s="8">
        <v>7.0021003500331247E-4</v>
      </c>
      <c r="H61" s="9">
        <v>1.49172108119062E-2</v>
      </c>
      <c r="I61" s="25">
        <v>9.0036008401228607E-4</v>
      </c>
      <c r="J61" s="26">
        <v>1.3062591173041101E-2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8.3143392925583808E-3</v>
      </c>
      <c r="E63" s="25">
        <v>0</v>
      </c>
      <c r="F63" s="26">
        <v>1.02624529173362E-2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-3.002400280001094E-4</v>
      </c>
      <c r="D66" s="9">
        <v>4.3597359187521798E-4</v>
      </c>
      <c r="E66" s="25">
        <v>-6.001899439820324E-4</v>
      </c>
      <c r="F66" s="26">
        <v>1.7772264248283999E-4</v>
      </c>
      <c r="G66" s="8">
        <v>-5.0026995097263161E-4</v>
      </c>
      <c r="H66" s="9">
        <v>3.11271102408824E-4</v>
      </c>
      <c r="I66" s="25">
        <v>-8.0012986198607638E-4</v>
      </c>
      <c r="J66" s="26">
        <v>3.5029676355782797E-11</v>
      </c>
    </row>
    <row r="67" spans="2:10" x14ac:dyDescent="0.25">
      <c r="B67" s="11" t="s">
        <v>42</v>
      </c>
      <c r="C67" s="12">
        <v>6.3982238839996874E-3</v>
      </c>
      <c r="D67" s="13">
        <v>1</v>
      </c>
      <c r="E67" s="35">
        <v>1.696949436527917E-2</v>
      </c>
      <c r="F67" s="28">
        <v>1</v>
      </c>
      <c r="G67" s="12">
        <v>2.9002410784155799E-2</v>
      </c>
      <c r="H67" s="13">
        <v>1</v>
      </c>
      <c r="I67" s="27">
        <v>4.2606944348752299E-2</v>
      </c>
      <c r="J67" s="28">
        <v>1</v>
      </c>
    </row>
    <row r="68" spans="2:10" x14ac:dyDescent="0.25">
      <c r="B68" s="31" t="s">
        <v>39</v>
      </c>
      <c r="C68" s="41">
        <f>C28+E28+G28</f>
        <v>615.53409000000602</v>
      </c>
      <c r="D68" s="42"/>
      <c r="E68" s="46">
        <v>1573.51567</v>
      </c>
      <c r="F68" s="47"/>
      <c r="G68" s="41">
        <v>2473.2474400000101</v>
      </c>
      <c r="H68" s="42"/>
      <c r="I68" s="46">
        <v>3657.8101700000002</v>
      </c>
      <c r="J68" s="47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3" t="s">
        <v>0</v>
      </c>
      <c r="D70" s="44"/>
      <c r="E70" s="44"/>
      <c r="F70" s="44"/>
      <c r="G70" s="44"/>
      <c r="H70" s="44"/>
      <c r="I70" s="44"/>
      <c r="J70" s="45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6.4024085800000741E-3</v>
      </c>
      <c r="D73" s="17">
        <v>1</v>
      </c>
      <c r="E73" s="25">
        <v>1.700634926160749E-2</v>
      </c>
      <c r="F73" s="30">
        <v>1</v>
      </c>
      <c r="G73" s="8">
        <v>2.9000000000000001E-2</v>
      </c>
      <c r="H73" s="17">
        <v>1</v>
      </c>
      <c r="I73" s="25">
        <v>4.2642114638767881E-2</v>
      </c>
      <c r="J73" s="30">
        <v>1</v>
      </c>
    </row>
    <row r="74" spans="2:10" x14ac:dyDescent="0.25">
      <c r="B74" s="10" t="s">
        <v>35</v>
      </c>
      <c r="C74" s="8">
        <v>0</v>
      </c>
      <c r="D74" s="9">
        <v>0</v>
      </c>
      <c r="E74" s="25">
        <v>0</v>
      </c>
      <c r="F74" s="26">
        <v>0</v>
      </c>
      <c r="G74" s="8">
        <v>0</v>
      </c>
      <c r="H74" s="9">
        <v>0</v>
      </c>
      <c r="I74" s="25">
        <v>0</v>
      </c>
      <c r="J74" s="26">
        <v>0</v>
      </c>
    </row>
    <row r="75" spans="2:10" x14ac:dyDescent="0.25">
      <c r="B75" s="11" t="s">
        <v>42</v>
      </c>
      <c r="C75" s="12">
        <v>6.4024085800000741E-3</v>
      </c>
      <c r="D75" s="13">
        <v>1</v>
      </c>
      <c r="E75" s="35">
        <v>1.700634926160749E-2</v>
      </c>
      <c r="F75" s="28">
        <v>1</v>
      </c>
      <c r="G75" s="12">
        <v>2.9000000000000001E-2</v>
      </c>
      <c r="H75" s="13">
        <v>1</v>
      </c>
      <c r="I75" s="27">
        <v>4.2642114638767881E-2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3" t="s">
        <v>0</v>
      </c>
      <c r="D77" s="44"/>
      <c r="E77" s="44"/>
      <c r="F77" s="44"/>
      <c r="G77" s="44"/>
      <c r="H77" s="44"/>
      <c r="I77" s="44"/>
      <c r="J77" s="45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6.8036825599999684E-3</v>
      </c>
      <c r="D80" s="17">
        <v>0.99124968711556605</v>
      </c>
      <c r="E80" s="25">
        <v>1.7512944705327715E-2</v>
      </c>
      <c r="F80" s="30">
        <v>0.98955982444018098</v>
      </c>
      <c r="G80" s="8">
        <v>2.93E-2</v>
      </c>
      <c r="H80" s="17">
        <v>0.99968872889759197</v>
      </c>
      <c r="I80" s="25">
        <v>4.3200000000000002E-2</v>
      </c>
      <c r="J80" s="30">
        <v>1</v>
      </c>
    </row>
    <row r="81" spans="2:10" x14ac:dyDescent="0.25">
      <c r="B81" s="10" t="s">
        <v>37</v>
      </c>
      <c r="C81" s="8">
        <v>-4.0019001400004584E-4</v>
      </c>
      <c r="D81" s="9">
        <v>8.7503128844336302E-3</v>
      </c>
      <c r="E81" s="25">
        <v>-5.0019997798800286E-4</v>
      </c>
      <c r="F81" s="26">
        <v>1.0440175559818901E-2</v>
      </c>
      <c r="G81" s="8">
        <v>-3.0031001498065368E-4</v>
      </c>
      <c r="H81" s="9">
        <v>3.1127110240851001E-4</v>
      </c>
      <c r="I81" s="25">
        <v>-6.0022991597397102E-4</v>
      </c>
      <c r="J81" s="26">
        <v>0</v>
      </c>
    </row>
    <row r="82" spans="2:10" x14ac:dyDescent="0.25">
      <c r="B82" s="11" t="s">
        <v>42</v>
      </c>
      <c r="C82" s="12">
        <v>6.4034925459999226E-3</v>
      </c>
      <c r="D82" s="13">
        <v>1</v>
      </c>
      <c r="E82" s="35">
        <v>1.7012744727339713E-2</v>
      </c>
      <c r="F82" s="28">
        <v>1</v>
      </c>
      <c r="G82" s="12">
        <v>2.8999689985019346E-2</v>
      </c>
      <c r="H82" s="13">
        <v>1</v>
      </c>
      <c r="I82" s="27">
        <v>4.2599770084026031E-2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Q28:R28"/>
    <mergeCell ref="Y28:Z28"/>
    <mergeCell ref="E28:F28"/>
    <mergeCell ref="M28:N28"/>
    <mergeCell ref="C6:D6"/>
    <mergeCell ref="E6:F6"/>
    <mergeCell ref="G6:H6"/>
    <mergeCell ref="I6:J6"/>
    <mergeCell ref="K6:L6"/>
    <mergeCell ref="O6:P6"/>
    <mergeCell ref="Q6:R6"/>
    <mergeCell ref="S6:T6"/>
    <mergeCell ref="U6:V6"/>
    <mergeCell ref="E68:F68"/>
    <mergeCell ref="I68:J68"/>
    <mergeCell ref="C28:D28"/>
    <mergeCell ref="C31:Z31"/>
    <mergeCell ref="C38:Z38"/>
    <mergeCell ref="C45:J45"/>
    <mergeCell ref="C46:D46"/>
    <mergeCell ref="E46:F46"/>
    <mergeCell ref="G46:H46"/>
    <mergeCell ref="I46:J46"/>
    <mergeCell ref="Y39:Z39"/>
    <mergeCell ref="S28:T28"/>
    <mergeCell ref="G68:H6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70:J70"/>
    <mergeCell ref="W6:X6"/>
    <mergeCell ref="C39:D39"/>
    <mergeCell ref="E39:F39"/>
    <mergeCell ref="G39:H39"/>
    <mergeCell ref="I39:J39"/>
    <mergeCell ref="K39:L39"/>
    <mergeCell ref="W39:X39"/>
    <mergeCell ref="M39:N39"/>
    <mergeCell ref="O39:P39"/>
    <mergeCell ref="Q39:R39"/>
    <mergeCell ref="S39:T39"/>
    <mergeCell ref="U39:V39"/>
    <mergeCell ref="U28:V28"/>
    <mergeCell ref="W28:X28"/>
    <mergeCell ref="C68:D68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M6:N6"/>
    <mergeCell ref="O28:P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