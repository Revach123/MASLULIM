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G27" i="6" l="1"/>
</calcChain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<sst xmlns="http://schemas.openxmlformats.org/spreadsheetml/2006/main" count="194" uniqueCount="51">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</sst>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0" fontId="2" fillId="0" borderId="20" xfId="0" applyFont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60" t="s">
        <v>49</v>
      </c>
    </row>
    <row r="2" spans="2:31" ht="18.75" x14ac:dyDescent="0.3">
      <c r="B2" s="19" t="s">
        <v>43</v>
      </c>
      <c r="F2" s="36"/>
      <c r="G2" s="37"/>
      <c r="AA2" s="60"/>
    </row>
    <row r="3" spans="2:31" ht="18.75" x14ac:dyDescent="0.3">
      <c r="B3" s="20" t="s">
        <v>50</v>
      </c>
      <c r="C3" s="22" t="s">
        <v>40</v>
      </c>
      <c r="F3" s="36"/>
      <c r="AA3" s="60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60"/>
      <c r="AE4" s="1">
        <v>2016</v>
      </c>
    </row>
    <row r="5" spans="2:31" ht="15.75" x14ac:dyDescent="0.2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A5" s="60"/>
      <c r="AE5" s="3" t="s">
        <v>1</v>
      </c>
    </row>
    <row r="6" spans="2:31" ht="15.75" x14ac:dyDescent="0.25">
      <c r="B6" s="21" t="s">
        <v>41</v>
      </c>
      <c r="C6" s="48">
        <v>45292</v>
      </c>
      <c r="D6" s="49"/>
      <c r="E6" s="50">
        <v>45323</v>
      </c>
      <c r="F6" s="51"/>
      <c r="G6" s="48">
        <v>45352</v>
      </c>
      <c r="H6" s="49"/>
      <c r="I6" s="50">
        <v>45383</v>
      </c>
      <c r="J6" s="51"/>
      <c r="K6" s="48">
        <v>45413</v>
      </c>
      <c r="L6" s="49"/>
      <c r="M6" s="50">
        <v>45444</v>
      </c>
      <c r="N6" s="51"/>
      <c r="O6" s="48">
        <v>45474</v>
      </c>
      <c r="P6" s="49"/>
      <c r="Q6" s="50">
        <v>45505</v>
      </c>
      <c r="R6" s="51"/>
      <c r="S6" s="48">
        <v>45536</v>
      </c>
      <c r="T6" s="49"/>
      <c r="U6" s="50">
        <v>45566</v>
      </c>
      <c r="V6" s="51"/>
      <c r="W6" s="48">
        <v>45597</v>
      </c>
      <c r="X6" s="49"/>
      <c r="Y6" s="50">
        <v>45627</v>
      </c>
      <c r="Z6" s="51"/>
      <c r="AA6" s="6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60"/>
      <c r="AE7" s="3" t="s">
        <v>6</v>
      </c>
    </row>
    <row r="8" spans="2:31" x14ac:dyDescent="0.25">
      <c r="B8" s="7" t="s">
        <v>5</v>
      </c>
      <c r="C8" s="8">
        <v>1.1000000000000001E-3</v>
      </c>
      <c r="D8" s="9">
        <v>0.197372496270351</v>
      </c>
      <c r="E8" s="25">
        <v>-1.1999999999999999E-3</v>
      </c>
      <c r="F8" s="26">
        <v>0.19166823952367901</v>
      </c>
      <c r="G8" s="8">
        <v>4.1000000000000003E-3</v>
      </c>
      <c r="H8" s="9">
        <v>0.209495626690967</v>
      </c>
      <c r="I8" s="25">
        <v>2E-3</v>
      </c>
      <c r="J8" s="26">
        <v>0.13396444062645199</v>
      </c>
      <c r="K8" s="8">
        <v>1E-4</v>
      </c>
      <c r="L8" s="9">
        <v>0.145308801006162</v>
      </c>
      <c r="M8" s="25">
        <v>1.9E-3</v>
      </c>
      <c r="N8" s="26">
        <v>0.115145492478</v>
      </c>
      <c r="O8" s="8">
        <v>1E-4</v>
      </c>
      <c r="P8" s="9">
        <v>0.13932413347566899</v>
      </c>
      <c r="Q8" s="25">
        <v>-2.8999999999999998E-3</v>
      </c>
      <c r="R8" s="26">
        <v>0.179574126433415</v>
      </c>
      <c r="S8" s="8">
        <v>2.3E-3</v>
      </c>
      <c r="T8" s="9">
        <v>0.15929900720333701</v>
      </c>
      <c r="U8" s="25">
        <v>0</v>
      </c>
      <c r="V8" s="26">
        <v>0.175519737485027</v>
      </c>
      <c r="W8" s="8">
        <v>-1.9E-3</v>
      </c>
      <c r="X8" s="9">
        <v>0.174944288446924</v>
      </c>
      <c r="Y8" s="25">
        <v>1.5E-3</v>
      </c>
      <c r="Z8" s="26">
        <v>0.147976855230155</v>
      </c>
      <c r="AA8" s="60"/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0.34154256546194001</v>
      </c>
      <c r="E9" s="25">
        <v>-8.6E-3</v>
      </c>
      <c r="F9" s="26">
        <v>0.32490728993614898</v>
      </c>
      <c r="G9" s="8">
        <v>1.14E-2</v>
      </c>
      <c r="H9" s="9">
        <v>0.32337428983501898</v>
      </c>
      <c r="I9" s="25">
        <v>8.9999999999999998E-4</v>
      </c>
      <c r="J9" s="26">
        <v>0.41587673373901601</v>
      </c>
      <c r="K9" s="8">
        <v>1.2999999999999999E-3</v>
      </c>
      <c r="L9" s="9">
        <v>0.414946055897852</v>
      </c>
      <c r="M9" s="25">
        <v>8.6999999999999994E-3</v>
      </c>
      <c r="N9" s="26">
        <v>0.43608956155348799</v>
      </c>
      <c r="O9" s="8">
        <v>7.1999999999999998E-3</v>
      </c>
      <c r="P9" s="9">
        <v>0.418616018211175</v>
      </c>
      <c r="Q9" s="25">
        <v>-6.6E-3</v>
      </c>
      <c r="R9" s="26">
        <v>0.37738906640877401</v>
      </c>
      <c r="S9" s="8">
        <v>8.3000000000000001E-3</v>
      </c>
      <c r="T9" s="9">
        <v>0.40881656715183001</v>
      </c>
      <c r="U9" s="25">
        <v>-4.5999999999999999E-3</v>
      </c>
      <c r="V9" s="26">
        <v>0.40508994568226803</v>
      </c>
      <c r="W9" s="8">
        <v>-6.3E-3</v>
      </c>
      <c r="X9" s="9">
        <v>0.40269124330746098</v>
      </c>
      <c r="Y9" s="25">
        <v>-1.6999999999999999E-3</v>
      </c>
      <c r="Z9" s="26">
        <v>0.44007859810614097</v>
      </c>
      <c r="AA9" s="60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60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60"/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0.152379100070544</v>
      </c>
      <c r="E12" s="25">
        <v>-4.7000000000000002E-3</v>
      </c>
      <c r="F12" s="26">
        <v>0.176778732838513</v>
      </c>
      <c r="G12" s="8">
        <v>6.1000000000000004E-3</v>
      </c>
      <c r="H12" s="9">
        <v>0.18222545332605999</v>
      </c>
      <c r="I12" s="25">
        <v>2.0000000000000001E-4</v>
      </c>
      <c r="J12" s="26">
        <v>0.176828033134136</v>
      </c>
      <c r="K12" s="8">
        <v>8.0000000000000004E-4</v>
      </c>
      <c r="L12" s="9">
        <v>0.16862418878420901</v>
      </c>
      <c r="M12" s="25">
        <v>3.5000000000000001E-3</v>
      </c>
      <c r="N12" s="26">
        <v>0.180973338099263</v>
      </c>
      <c r="O12" s="8">
        <v>4.7000000000000002E-3</v>
      </c>
      <c r="P12" s="9">
        <v>0.189854851042631</v>
      </c>
      <c r="Q12" s="25">
        <v>-2.3999999999999998E-3</v>
      </c>
      <c r="R12" s="26">
        <v>0.184859813545</v>
      </c>
      <c r="S12" s="8">
        <v>4.4999999999999997E-3</v>
      </c>
      <c r="T12" s="9">
        <v>0.17746541269779401</v>
      </c>
      <c r="U12" s="25">
        <v>-3.0999999999999999E-3</v>
      </c>
      <c r="V12" s="26">
        <v>0.17265744628635801</v>
      </c>
      <c r="W12" s="8">
        <v>-2.2000000000000001E-3</v>
      </c>
      <c r="X12" s="9">
        <v>0.166179426257935</v>
      </c>
      <c r="Y12" s="25">
        <v>-6.9999999999999999E-4</v>
      </c>
      <c r="Z12" s="26">
        <v>0.16927241734808901</v>
      </c>
      <c r="AA12" s="60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60"/>
      <c r="AE13" s="3" t="s">
        <v>18</v>
      </c>
    </row>
    <row r="14" spans="2:31" x14ac:dyDescent="0.25">
      <c r="B14" s="10" t="s">
        <v>17</v>
      </c>
      <c r="C14" s="8">
        <v>-1E-4</v>
      </c>
      <c r="D14" s="9">
        <v>1.55694562088397E-3</v>
      </c>
      <c r="E14" s="25">
        <v>-1E-4</v>
      </c>
      <c r="F14" s="26">
        <v>1.47132032499747E-3</v>
      </c>
      <c r="G14" s="8">
        <v>1E-4</v>
      </c>
      <c r="H14" s="9">
        <v>1.3956607420753601E-3</v>
      </c>
      <c r="I14" s="25">
        <v>-1E-4</v>
      </c>
      <c r="J14" s="26">
        <v>1.2825770493494601E-3</v>
      </c>
      <c r="K14" s="8">
        <v>0</v>
      </c>
      <c r="L14" s="9">
        <v>1.22340644705758E-3</v>
      </c>
      <c r="M14" s="25">
        <v>1E-4</v>
      </c>
      <c r="N14" s="26">
        <v>1.2071183628300599E-3</v>
      </c>
      <c r="O14" s="8">
        <v>0</v>
      </c>
      <c r="P14" s="9">
        <v>1.1591735386447899E-3</v>
      </c>
      <c r="Q14" s="25">
        <v>-1E-4</v>
      </c>
      <c r="R14" s="26">
        <v>1.1295843235091499E-3</v>
      </c>
      <c r="S14" s="8">
        <v>1E-4</v>
      </c>
      <c r="T14" s="9">
        <v>1.11265497014147E-3</v>
      </c>
      <c r="U14" s="25">
        <v>0</v>
      </c>
      <c r="V14" s="26">
        <v>1.06182122919001E-3</v>
      </c>
      <c r="W14" s="8">
        <v>0</v>
      </c>
      <c r="X14" s="9">
        <v>1.03844668884348E-3</v>
      </c>
      <c r="Y14" s="25">
        <v>-2.0000000000000001E-4</v>
      </c>
      <c r="Z14" s="26">
        <v>1.49463469326012E-3</v>
      </c>
      <c r="AA14" s="60"/>
      <c r="AE14" s="3" t="s">
        <v>19</v>
      </c>
    </row>
    <row r="15" spans="2:31" x14ac:dyDescent="0.25">
      <c r="B15" s="10" t="s">
        <v>44</v>
      </c>
      <c r="C15" s="8">
        <v>4.7999999999999996E-3</v>
      </c>
      <c r="D15" s="9">
        <v>0.30239612112127001</v>
      </c>
      <c r="E15" s="25">
        <v>1.12E-2</v>
      </c>
      <c r="F15" s="26">
        <v>0.29460151907370002</v>
      </c>
      <c r="G15" s="8">
        <v>1.6799999999999999E-2</v>
      </c>
      <c r="H15" s="9">
        <v>0.27998408174065798</v>
      </c>
      <c r="I15" s="25">
        <v>-6.6E-3</v>
      </c>
      <c r="J15" s="26">
        <v>0.26549755086436599</v>
      </c>
      <c r="K15" s="8">
        <v>9.9000000000000008E-3</v>
      </c>
      <c r="L15" s="9">
        <v>0.26154953330627601</v>
      </c>
      <c r="M15" s="25">
        <v>1.3100000000000001E-2</v>
      </c>
      <c r="N15" s="26">
        <v>0.258161034344212</v>
      </c>
      <c r="O15" s="8">
        <v>3.0000000000000001E-3</v>
      </c>
      <c r="P15" s="9">
        <v>0.24916569342141801</v>
      </c>
      <c r="Q15" s="25">
        <v>-2.8E-3</v>
      </c>
      <c r="R15" s="26">
        <v>0.25320984351106102</v>
      </c>
      <c r="S15" s="8">
        <v>1.11E-2</v>
      </c>
      <c r="T15" s="9">
        <v>0.24898971321479599</v>
      </c>
      <c r="U15" s="25">
        <v>-2.7000000000000001E-3</v>
      </c>
      <c r="V15" s="26">
        <v>0.24377480258718401</v>
      </c>
      <c r="W15" s="8">
        <v>6.6E-3</v>
      </c>
      <c r="X15" s="9">
        <v>0.244972915899376</v>
      </c>
      <c r="Y15" s="25">
        <v>-3.2000000000000002E-3</v>
      </c>
      <c r="Z15" s="26">
        <v>0.247964954848164</v>
      </c>
      <c r="AA15" s="60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60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60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60"/>
      <c r="AE18" s="3"/>
    </row>
    <row r="19" spans="2:31" x14ac:dyDescent="0.25">
      <c r="B19" s="10" t="s">
        <v>25</v>
      </c>
      <c r="C19" s="8">
        <v>1.1999999999999999E-3</v>
      </c>
      <c r="D19" s="9">
        <v>4.5766304170431898E-3</v>
      </c>
      <c r="E19" s="25">
        <v>6.1999999999999998E-3</v>
      </c>
      <c r="F19" s="26">
        <v>1.02287877381213E-2</v>
      </c>
      <c r="G19" s="8">
        <v>4.4999999999999997E-3</v>
      </c>
      <c r="H19" s="9">
        <v>3.5248876692584698E-3</v>
      </c>
      <c r="I19" s="25">
        <v>-7.3000000000000001E-3</v>
      </c>
      <c r="J19" s="26">
        <v>-3.7649152561851701E-3</v>
      </c>
      <c r="K19" s="8">
        <v>6.3E-3</v>
      </c>
      <c r="L19" s="9">
        <v>2.4754306489190802E-3</v>
      </c>
      <c r="M19" s="25">
        <v>5.7999999999999996E-3</v>
      </c>
      <c r="N19" s="26">
        <v>6.3484454247981104E-4</v>
      </c>
      <c r="O19" s="8">
        <v>1.1999999999999999E-3</v>
      </c>
      <c r="P19" s="9">
        <v>1.7204430442075899E-3</v>
      </c>
      <c r="Q19" s="25">
        <v>1.9E-3</v>
      </c>
      <c r="R19" s="26">
        <v>3.50253002182155E-3</v>
      </c>
      <c r="S19" s="8">
        <v>4.8999999999999998E-3</v>
      </c>
      <c r="T19" s="9">
        <v>4.3166447565216402E-3</v>
      </c>
      <c r="U19" s="25">
        <v>-2.5999999999999999E-3</v>
      </c>
      <c r="V19" s="26">
        <v>1.7181464947526399E-3</v>
      </c>
      <c r="W19" s="8">
        <v>8.2000000000000007E-3</v>
      </c>
      <c r="X19" s="9">
        <v>9.84514715744636E-3</v>
      </c>
      <c r="Y19" s="25">
        <v>-4.3E-3</v>
      </c>
      <c r="Z19" s="26">
        <v>-6.7874602381745404E-3</v>
      </c>
      <c r="AA19" s="60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60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60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60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1.01556776967884E-2</v>
      </c>
      <c r="K23" s="8">
        <v>-1E-4</v>
      </c>
      <c r="L23" s="9">
        <v>5.5441816825362797E-3</v>
      </c>
      <c r="M23" s="25">
        <v>1E-4</v>
      </c>
      <c r="N23" s="26">
        <v>7.7886106180564199E-3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60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60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60"/>
    </row>
    <row r="26" spans="2:31" x14ac:dyDescent="0.25">
      <c r="B26" s="10" t="s">
        <v>32</v>
      </c>
      <c r="C26" s="8">
        <v>2.0000000000000001E-4</v>
      </c>
      <c r="D26" s="9">
        <v>1.7614103796759101E-4</v>
      </c>
      <c r="E26" s="25">
        <v>9.9999999999998094E-5</v>
      </c>
      <c r="F26" s="26">
        <v>3.4411056483984998E-4</v>
      </c>
      <c r="G26" s="8">
        <v>0</v>
      </c>
      <c r="H26" s="9">
        <v>-4.0375096928974E-12</v>
      </c>
      <c r="I26" s="25">
        <v>9.9999999999998704E-5</v>
      </c>
      <c r="J26" s="26">
        <v>1.5990214607662E-4</v>
      </c>
      <c r="K26" s="8">
        <v>2.0000000000000001E-4</v>
      </c>
      <c r="L26" s="9">
        <v>3.2840222698703398E-4</v>
      </c>
      <c r="M26" s="25">
        <v>-2.9999999999999997E-4</v>
      </c>
      <c r="N26" s="26">
        <v>1.6709970603393E-12</v>
      </c>
      <c r="O26" s="8">
        <v>0</v>
      </c>
      <c r="P26" s="9">
        <v>1.5968726625402701E-4</v>
      </c>
      <c r="Q26" s="25">
        <v>9.9999999999999802E-5</v>
      </c>
      <c r="R26" s="26">
        <v>3.35035756420224E-4</v>
      </c>
      <c r="S26" s="8">
        <v>-3.0000000000000198E-4</v>
      </c>
      <c r="T26" s="9">
        <v>5.5793184048497098E-12</v>
      </c>
      <c r="U26" s="25">
        <v>9.9999999999999802E-5</v>
      </c>
      <c r="V26" s="26">
        <v>1.78100235220115E-4</v>
      </c>
      <c r="W26" s="8">
        <v>1.9999999999999901E-4</v>
      </c>
      <c r="X26" s="9">
        <v>3.2853224201434599E-4</v>
      </c>
      <c r="Y26" s="25">
        <v>-5.0000000000000001E-4</v>
      </c>
      <c r="Z26" s="26">
        <v>1.2364386806074099E-11</v>
      </c>
      <c r="AA26" s="60"/>
    </row>
    <row r="27" spans="2:31" x14ac:dyDescent="0.25">
      <c r="B27" s="11" t="s">
        <v>33</v>
      </c>
      <c r="C27" s="12">
        <v>8.6999999999999994E-3</v>
      </c>
      <c r="D27" s="13">
        <v>1</v>
      </c>
      <c r="E27" s="27">
        <v>2.8999999999999998E-3</v>
      </c>
      <c r="F27" s="28">
        <v>1</v>
      </c>
      <c r="G27" s="12">
        <f>SUM(G8:G26)</f>
        <v>4.2999999999999997E-2</v>
      </c>
      <c r="H27" s="13">
        <v>1</v>
      </c>
      <c r="I27" s="27">
        <v>-1.09E-2</v>
      </c>
      <c r="J27" s="28">
        <v>1</v>
      </c>
      <c r="K27" s="12">
        <v>1.8499999999999999E-2</v>
      </c>
      <c r="L27" s="13">
        <v>1</v>
      </c>
      <c r="M27" s="27">
        <v>3.2899999999999999E-2</v>
      </c>
      <c r="N27" s="28">
        <v>1</v>
      </c>
      <c r="O27" s="12">
        <v>1.6199999999999999E-2</v>
      </c>
      <c r="P27" s="13">
        <v>1</v>
      </c>
      <c r="Q27" s="27">
        <v>-1.2800000000000001E-2</v>
      </c>
      <c r="R27" s="28">
        <v>1</v>
      </c>
      <c r="S27" s="12">
        <v>3.09E-2</v>
      </c>
      <c r="T27" s="13">
        <v>1</v>
      </c>
      <c r="U27" s="27">
        <v>-1.29E-2</v>
      </c>
      <c r="V27" s="28">
        <v>1</v>
      </c>
      <c r="W27" s="12">
        <v>4.5999999999999999E-3</v>
      </c>
      <c r="X27" s="13">
        <v>1</v>
      </c>
      <c r="Y27" s="27">
        <v>-9.1000000000000004E-3</v>
      </c>
      <c r="Z27" s="28">
        <v>1</v>
      </c>
      <c r="AA27" s="60"/>
    </row>
    <row r="28" spans="2:31" x14ac:dyDescent="0.25">
      <c r="B28" s="31" t="s">
        <v>39</v>
      </c>
      <c r="C28" s="52">
        <v>6149.4129999999504</v>
      </c>
      <c r="D28" s="53"/>
      <c r="E28" s="46">
        <v>2155.1059699999801</v>
      </c>
      <c r="F28" s="47"/>
      <c r="G28" s="52">
        <v>41696.033620000097</v>
      </c>
      <c r="H28" s="53"/>
      <c r="I28" s="38">
        <v>-11716.29423</v>
      </c>
      <c r="J28" s="39"/>
      <c r="K28" s="40">
        <v>20075.662970000001</v>
      </c>
      <c r="L28" s="39"/>
      <c r="M28" s="38">
        <v>37450.860839999899</v>
      </c>
      <c r="N28" s="39"/>
      <c r="O28" s="40">
        <v>20627.51268</v>
      </c>
      <c r="P28" s="39"/>
      <c r="Q28" s="38">
        <v>-16522.1934899999</v>
      </c>
      <c r="R28" s="39"/>
      <c r="S28" s="40">
        <v>40054.014139999897</v>
      </c>
      <c r="T28" s="39"/>
      <c r="U28" s="38">
        <v>-18147.4466400001</v>
      </c>
      <c r="V28" s="39"/>
      <c r="W28" s="40">
        <v>6148.1183200000496</v>
      </c>
      <c r="X28" s="39"/>
      <c r="Y28" s="38">
        <v>-12648.941410000099</v>
      </c>
      <c r="Z28" s="39"/>
      <c r="AA28" s="6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42"/>
      <c r="P29" s="42"/>
      <c r="Q29" s="42"/>
      <c r="R29" s="42"/>
      <c r="S29" s="42"/>
      <c r="T29" s="42"/>
      <c r="U29" s="15"/>
      <c r="V29" s="15"/>
      <c r="W29" s="15"/>
      <c r="X29" s="15"/>
      <c r="Y29" s="15"/>
      <c r="Z29" s="15"/>
      <c r="AA29" s="60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60"/>
    </row>
    <row r="31" spans="2:31" ht="15.75" x14ac:dyDescent="0.2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  <c r="AA31" s="60"/>
    </row>
    <row r="32" spans="2:31" ht="15.75" x14ac:dyDescent="0.25">
      <c r="B32" s="21" t="s">
        <v>41</v>
      </c>
      <c r="C32" s="48">
        <v>45292</v>
      </c>
      <c r="D32" s="49"/>
      <c r="E32" s="50">
        <v>45323</v>
      </c>
      <c r="F32" s="51"/>
      <c r="G32" s="48">
        <v>45352</v>
      </c>
      <c r="H32" s="49"/>
      <c r="I32" s="50">
        <v>45383</v>
      </c>
      <c r="J32" s="51"/>
      <c r="K32" s="48">
        <v>45413</v>
      </c>
      <c r="L32" s="49"/>
      <c r="M32" s="50">
        <v>45444</v>
      </c>
      <c r="N32" s="51"/>
      <c r="O32" s="48">
        <v>45474</v>
      </c>
      <c r="P32" s="49"/>
      <c r="Q32" s="50">
        <v>45505</v>
      </c>
      <c r="R32" s="51"/>
      <c r="S32" s="48">
        <v>45536</v>
      </c>
      <c r="T32" s="49"/>
      <c r="U32" s="50">
        <v>45566</v>
      </c>
      <c r="V32" s="51"/>
      <c r="W32" s="48">
        <v>45597</v>
      </c>
      <c r="X32" s="49"/>
      <c r="Y32" s="50">
        <v>45627</v>
      </c>
      <c r="Z32" s="51"/>
      <c r="AA32" s="60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60"/>
    </row>
    <row r="34" spans="2:27" x14ac:dyDescent="0.25">
      <c r="B34" s="7" t="s">
        <v>34</v>
      </c>
      <c r="C34" s="16">
        <v>1.2999999999999999E-3</v>
      </c>
      <c r="D34" s="17">
        <v>0.19754863730936001</v>
      </c>
      <c r="E34" s="29">
        <v>-8.9999999999999998E-4</v>
      </c>
      <c r="F34" s="30">
        <v>0.19201235009064599</v>
      </c>
      <c r="G34" s="16">
        <v>4.4900000000000002E-2</v>
      </c>
      <c r="H34" s="17">
        <v>0.209495626690967</v>
      </c>
      <c r="I34" s="29">
        <v>2.0999999999999999E-3</v>
      </c>
      <c r="J34" s="30">
        <v>0.14428002047137001</v>
      </c>
      <c r="K34" s="16">
        <v>1E-4</v>
      </c>
      <c r="L34" s="17">
        <v>0.151181384916828</v>
      </c>
      <c r="M34" s="29">
        <v>1.6999999999999999E-3</v>
      </c>
      <c r="N34" s="30">
        <v>0.122934103096056</v>
      </c>
      <c r="O34" s="16">
        <v>-4.8099999999999997E-2</v>
      </c>
      <c r="P34" s="17">
        <v>0.13956017661405201</v>
      </c>
      <c r="Q34" s="29">
        <v>-2.7000000000000001E-3</v>
      </c>
      <c r="R34" s="30">
        <v>0.179985024366799</v>
      </c>
      <c r="S34" s="16">
        <v>2E-3</v>
      </c>
      <c r="T34" s="17">
        <v>0.15937062210193501</v>
      </c>
      <c r="U34" s="29">
        <v>1E-4</v>
      </c>
      <c r="V34" s="30">
        <v>0.175769166097969</v>
      </c>
      <c r="W34" s="16">
        <v>-1.6999999999999999E-3</v>
      </c>
      <c r="X34" s="17">
        <v>0.17534282649619701</v>
      </c>
      <c r="Y34" s="29">
        <v>1E-3</v>
      </c>
      <c r="Z34" s="30">
        <v>0.14804901791449099</v>
      </c>
      <c r="AA34" s="60"/>
    </row>
    <row r="35" spans="2:27" x14ac:dyDescent="0.25">
      <c r="B35" s="10" t="s">
        <v>35</v>
      </c>
      <c r="C35" s="8">
        <v>7.4000000000000003E-3</v>
      </c>
      <c r="D35" s="9">
        <v>0.80245136269063999</v>
      </c>
      <c r="E35" s="25">
        <v>3.8E-3</v>
      </c>
      <c r="F35" s="26">
        <v>0.80798764990935401</v>
      </c>
      <c r="G35" s="8">
        <v>-2E-3</v>
      </c>
      <c r="H35" s="9">
        <v>0.790504373309033</v>
      </c>
      <c r="I35" s="25">
        <v>-1.2999999999999999E-2</v>
      </c>
      <c r="J35" s="26">
        <v>0.85571997952862999</v>
      </c>
      <c r="K35" s="8">
        <v>1.84E-2</v>
      </c>
      <c r="L35" s="9">
        <v>0.84881861508317202</v>
      </c>
      <c r="M35" s="25">
        <v>3.1199999999999999E-2</v>
      </c>
      <c r="N35" s="26">
        <v>0.87706589690394399</v>
      </c>
      <c r="O35" s="8">
        <v>6.4299999999999996E-2</v>
      </c>
      <c r="P35" s="9">
        <v>0.86043982338594804</v>
      </c>
      <c r="Q35" s="25">
        <v>-1.01E-2</v>
      </c>
      <c r="R35" s="26">
        <v>0.82001497563320103</v>
      </c>
      <c r="S35" s="8">
        <v>2.8899999999999999E-2</v>
      </c>
      <c r="T35" s="9">
        <v>0.84062937789806502</v>
      </c>
      <c r="U35" s="25">
        <v>-1.2999999999999999E-2</v>
      </c>
      <c r="V35" s="26">
        <v>0.824230833902031</v>
      </c>
      <c r="W35" s="8">
        <v>6.3E-3</v>
      </c>
      <c r="X35" s="9">
        <v>0.82465717350380296</v>
      </c>
      <c r="Y35" s="25">
        <v>-1.01E-2</v>
      </c>
      <c r="Z35" s="26">
        <v>0.85195098208550901</v>
      </c>
      <c r="AA35" s="60"/>
    </row>
    <row r="36" spans="2:27" x14ac:dyDescent="0.25">
      <c r="B36" s="11" t="s">
        <v>33</v>
      </c>
      <c r="C36" s="12">
        <v>8.6999999999999994E-3</v>
      </c>
      <c r="D36" s="13">
        <v>1</v>
      </c>
      <c r="E36" s="27">
        <v>2.8999999999999998E-3</v>
      </c>
      <c r="F36" s="28">
        <v>1</v>
      </c>
      <c r="G36" s="12">
        <v>4.2900000000000001E-2</v>
      </c>
      <c r="H36" s="13">
        <v>1</v>
      </c>
      <c r="I36" s="27">
        <v>-1.09E-2</v>
      </c>
      <c r="J36" s="28">
        <v>1</v>
      </c>
      <c r="K36" s="12">
        <v>1.8499999999999999E-2</v>
      </c>
      <c r="L36" s="13">
        <v>1</v>
      </c>
      <c r="M36" s="27">
        <v>3.2899999999999999E-2</v>
      </c>
      <c r="N36" s="28">
        <v>1</v>
      </c>
      <c r="O36" s="12">
        <v>1.6199999999999999E-2</v>
      </c>
      <c r="P36" s="13">
        <v>1</v>
      </c>
      <c r="Q36" s="27">
        <v>-1.2800000000000001E-2</v>
      </c>
      <c r="R36" s="28">
        <v>1</v>
      </c>
      <c r="S36" s="12">
        <v>3.09E-2</v>
      </c>
      <c r="T36" s="13">
        <v>1</v>
      </c>
      <c r="U36" s="27">
        <v>-1.29E-2</v>
      </c>
      <c r="V36" s="28">
        <v>1</v>
      </c>
      <c r="W36" s="12">
        <v>4.5999999999999999E-3</v>
      </c>
      <c r="X36" s="13">
        <v>1</v>
      </c>
      <c r="Y36" s="27">
        <v>-9.1000000000000004E-3</v>
      </c>
      <c r="Z36" s="28">
        <v>1</v>
      </c>
      <c r="AA36" s="60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60"/>
    </row>
    <row r="38" spans="2:27" ht="15.75" x14ac:dyDescent="0.2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  <c r="AA38" s="60"/>
    </row>
    <row r="39" spans="2:27" ht="15.75" x14ac:dyDescent="0.25">
      <c r="B39" s="21" t="s">
        <v>41</v>
      </c>
      <c r="C39" s="48">
        <v>45292</v>
      </c>
      <c r="D39" s="49"/>
      <c r="E39" s="50">
        <v>45323</v>
      </c>
      <c r="F39" s="51"/>
      <c r="G39" s="48">
        <v>45352</v>
      </c>
      <c r="H39" s="49"/>
      <c r="I39" s="50">
        <v>45383</v>
      </c>
      <c r="J39" s="51"/>
      <c r="K39" s="48">
        <v>45413</v>
      </c>
      <c r="L39" s="49"/>
      <c r="M39" s="50">
        <v>45444</v>
      </c>
      <c r="N39" s="51"/>
      <c r="O39" s="48">
        <v>45474</v>
      </c>
      <c r="P39" s="49"/>
      <c r="Q39" s="50">
        <v>45505</v>
      </c>
      <c r="R39" s="51"/>
      <c r="S39" s="48">
        <v>45536</v>
      </c>
      <c r="T39" s="49"/>
      <c r="U39" s="50">
        <v>45566</v>
      </c>
      <c r="V39" s="51"/>
      <c r="W39" s="48">
        <v>45597</v>
      </c>
      <c r="X39" s="49"/>
      <c r="Y39" s="50">
        <v>45627</v>
      </c>
      <c r="Z39" s="51"/>
      <c r="AA39" s="60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60"/>
    </row>
    <row r="41" spans="2:27" x14ac:dyDescent="0.25">
      <c r="B41" s="7" t="s">
        <v>36</v>
      </c>
      <c r="C41" s="16">
        <v>8.5000000000000006E-3</v>
      </c>
      <c r="D41" s="17">
        <v>0.99982385896203296</v>
      </c>
      <c r="E41" s="29">
        <v>2.5999999999999999E-3</v>
      </c>
      <c r="F41" s="30">
        <v>0.99965588943516004</v>
      </c>
      <c r="G41" s="16">
        <v>8.5500000000000007E-2</v>
      </c>
      <c r="H41" s="17">
        <v>1.0000000000040401</v>
      </c>
      <c r="I41" s="29">
        <v>-1.0999999999999999E-2</v>
      </c>
      <c r="J41" s="30">
        <v>0.98968442015713498</v>
      </c>
      <c r="K41" s="16">
        <v>1.84E-2</v>
      </c>
      <c r="L41" s="17">
        <v>0.99412741609047695</v>
      </c>
      <c r="M41" s="29">
        <v>3.3099999999999997E-2</v>
      </c>
      <c r="N41" s="30">
        <v>0.99221138938027198</v>
      </c>
      <c r="O41" s="16">
        <v>-3.3500000000000002E-2</v>
      </c>
      <c r="P41" s="17">
        <v>0.99984031273374596</v>
      </c>
      <c r="Q41" s="29">
        <v>-1.2999999999999999E-2</v>
      </c>
      <c r="R41" s="30">
        <v>0.99966496424357998</v>
      </c>
      <c r="S41" s="16">
        <v>3.1199999999999999E-2</v>
      </c>
      <c r="T41" s="17">
        <v>0.99999999999442002</v>
      </c>
      <c r="U41" s="29">
        <v>-1.3100000000000001E-2</v>
      </c>
      <c r="V41" s="30">
        <v>0.99982189976477998</v>
      </c>
      <c r="W41" s="16">
        <v>4.4000000000000003E-3</v>
      </c>
      <c r="X41" s="17">
        <v>0.99967146775798599</v>
      </c>
      <c r="Y41" s="29">
        <v>-8.6E-3</v>
      </c>
      <c r="Z41" s="30">
        <v>0.999999999987636</v>
      </c>
      <c r="AA41" s="60"/>
    </row>
    <row r="42" spans="2:27" x14ac:dyDescent="0.25">
      <c r="B42" s="10" t="s">
        <v>37</v>
      </c>
      <c r="C42" s="8">
        <v>2.0000000000000101E-4</v>
      </c>
      <c r="D42" s="9">
        <v>1.7614103796727E-4</v>
      </c>
      <c r="E42" s="25">
        <v>2.9999999999999997E-4</v>
      </c>
      <c r="F42" s="26">
        <v>3.4411056483965602E-4</v>
      </c>
      <c r="G42" s="8">
        <v>-4.2599999999999999E-2</v>
      </c>
      <c r="H42" s="9">
        <v>-4.0374459331360399E-12</v>
      </c>
      <c r="I42" s="25">
        <v>1.0000000000000099E-4</v>
      </c>
      <c r="J42" s="26">
        <v>1.03155798428653E-2</v>
      </c>
      <c r="K42" s="8">
        <v>1E-4</v>
      </c>
      <c r="L42" s="9">
        <v>5.8725839095233401E-3</v>
      </c>
      <c r="M42" s="25">
        <v>-2.0000000000000001E-4</v>
      </c>
      <c r="N42" s="26">
        <v>7.7886106197276204E-3</v>
      </c>
      <c r="O42" s="8">
        <v>4.9700000000000001E-2</v>
      </c>
      <c r="P42" s="9">
        <v>1.5968726625349201E-4</v>
      </c>
      <c r="Q42" s="25">
        <v>2.0000000000000101E-4</v>
      </c>
      <c r="R42" s="26">
        <v>3.3503575642002402E-4</v>
      </c>
      <c r="S42" s="8">
        <v>-2.9999999999999997E-4</v>
      </c>
      <c r="T42" s="9">
        <v>5.5794342453875301E-12</v>
      </c>
      <c r="U42" s="25">
        <v>2.0000000000000001E-4</v>
      </c>
      <c r="V42" s="26">
        <v>1.7810023521997299E-4</v>
      </c>
      <c r="W42" s="8">
        <v>2.0000000000000001E-4</v>
      </c>
      <c r="X42" s="9">
        <v>3.28532242014596E-4</v>
      </c>
      <c r="Y42" s="25">
        <v>-5.0000000000000099E-4</v>
      </c>
      <c r="Z42" s="26">
        <v>1.23646358018336E-11</v>
      </c>
      <c r="AA42" s="60"/>
    </row>
    <row r="43" spans="2:27" x14ac:dyDescent="0.25">
      <c r="B43" s="11" t="s">
        <v>33</v>
      </c>
      <c r="C43" s="12">
        <v>8.6999999999999994E-3</v>
      </c>
      <c r="D43" s="13">
        <v>1</v>
      </c>
      <c r="E43" s="27">
        <v>2.8999999999999998E-3</v>
      </c>
      <c r="F43" s="28">
        <v>1</v>
      </c>
      <c r="G43" s="12">
        <v>4.2900000000000001E-2</v>
      </c>
      <c r="H43" s="13">
        <v>1</v>
      </c>
      <c r="I43" s="27">
        <v>-1.09E-2</v>
      </c>
      <c r="J43" s="28">
        <v>1</v>
      </c>
      <c r="K43" s="12">
        <v>1.8499999999999999E-2</v>
      </c>
      <c r="L43" s="13">
        <v>1</v>
      </c>
      <c r="M43" s="27">
        <v>3.2899999999999999E-2</v>
      </c>
      <c r="N43" s="28">
        <v>1</v>
      </c>
      <c r="O43" s="12">
        <v>1.6199999999999999E-2</v>
      </c>
      <c r="P43" s="13">
        <v>1</v>
      </c>
      <c r="Q43" s="27">
        <v>-1.2800000000000001E-2</v>
      </c>
      <c r="R43" s="28">
        <v>1</v>
      </c>
      <c r="S43" s="12">
        <v>3.09E-2</v>
      </c>
      <c r="T43" s="13">
        <v>1</v>
      </c>
      <c r="U43" s="27">
        <v>-1.29E-2</v>
      </c>
      <c r="V43" s="28">
        <v>1</v>
      </c>
      <c r="W43" s="12">
        <v>4.5999999999999999E-3</v>
      </c>
      <c r="X43" s="13">
        <v>1</v>
      </c>
      <c r="Y43" s="27">
        <v>-9.1000000000000004E-3</v>
      </c>
      <c r="Z43" s="28">
        <v>1</v>
      </c>
      <c r="AA43" s="60"/>
    </row>
    <row r="44" spans="2:27" x14ac:dyDescent="0.25">
      <c r="K44" s="59" t="s">
        <v>49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2:27" ht="15.75" x14ac:dyDescent="0.25">
      <c r="C45" s="43" t="s">
        <v>0</v>
      </c>
      <c r="D45" s="44"/>
      <c r="E45" s="44"/>
      <c r="F45" s="44"/>
      <c r="G45" s="44"/>
      <c r="H45" s="44"/>
      <c r="I45" s="44"/>
      <c r="J45" s="45"/>
      <c r="K45" s="60" t="s">
        <v>49</v>
      </c>
    </row>
    <row r="46" spans="2:27" ht="15.75" x14ac:dyDescent="0.25">
      <c r="B46" s="21" t="s">
        <v>38</v>
      </c>
      <c r="C46" s="54" t="s">
        <v>45</v>
      </c>
      <c r="D46" s="55"/>
      <c r="E46" s="56" t="s">
        <v>46</v>
      </c>
      <c r="F46" s="57"/>
      <c r="G46" s="54" t="s">
        <v>47</v>
      </c>
      <c r="H46" s="55"/>
      <c r="I46" s="56" t="s">
        <v>48</v>
      </c>
      <c r="J46" s="57"/>
      <c r="K46" s="60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60"/>
    </row>
    <row r="48" spans="2:27" x14ac:dyDescent="0.25">
      <c r="B48" s="7" t="s">
        <v>5</v>
      </c>
      <c r="C48" s="8">
        <v>3.9982645880001222E-3</v>
      </c>
      <c r="D48" s="9">
        <v>0.209495626690967</v>
      </c>
      <c r="E48" s="25">
        <v>8.0184647805998654E-3</v>
      </c>
      <c r="F48" s="26">
        <v>0.115145492478</v>
      </c>
      <c r="G48" s="8">
        <v>7.5076709115931006E-3</v>
      </c>
      <c r="H48" s="9">
        <v>0.15929900720333701</v>
      </c>
      <c r="I48" s="25">
        <v>7.1017964463664374E-3</v>
      </c>
      <c r="J48" s="26">
        <v>0.147976855230155</v>
      </c>
      <c r="K48" s="60"/>
    </row>
    <row r="49" spans="2:11" x14ac:dyDescent="0.25">
      <c r="B49" s="10" t="s">
        <v>7</v>
      </c>
      <c r="C49" s="8">
        <v>3.9052023520000922E-3</v>
      </c>
      <c r="D49" s="9">
        <v>0.32337428983501898</v>
      </c>
      <c r="E49" s="25">
        <v>1.486816859104767E-2</v>
      </c>
      <c r="F49" s="26">
        <v>0.43608956155348799</v>
      </c>
      <c r="G49" s="8">
        <v>2.4500000000000001E-2</v>
      </c>
      <c r="H49" s="9">
        <v>0.40881656715183001</v>
      </c>
      <c r="I49" s="25">
        <v>1.1639923521982842E-2</v>
      </c>
      <c r="J49" s="26">
        <v>0.44007859810614097</v>
      </c>
      <c r="K49" s="60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60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60"/>
    </row>
    <row r="52" spans="2:11" x14ac:dyDescent="0.25">
      <c r="B52" s="10" t="s">
        <v>13</v>
      </c>
      <c r="C52" s="8">
        <v>1.6717413989999486E-3</v>
      </c>
      <c r="D52" s="9">
        <v>0.18222545332605999</v>
      </c>
      <c r="E52" s="25">
        <v>6.1829309148051514E-3</v>
      </c>
      <c r="F52" s="26">
        <v>0.180973338099263</v>
      </c>
      <c r="G52" s="8">
        <v>1.3023988021054533E-2</v>
      </c>
      <c r="H52" s="9">
        <v>0.17746541269779401</v>
      </c>
      <c r="I52" s="25">
        <v>6.9565063993455301E-3</v>
      </c>
      <c r="J52" s="26">
        <v>0.16927241734808901</v>
      </c>
      <c r="K52" s="60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60"/>
    </row>
    <row r="54" spans="2:11" x14ac:dyDescent="0.25">
      <c r="B54" s="10" t="s">
        <v>17</v>
      </c>
      <c r="C54" s="8">
        <v>-1.0000999899995033E-4</v>
      </c>
      <c r="D54" s="9">
        <v>1.3956607420753601E-3</v>
      </c>
      <c r="E54" s="25">
        <v>-1.0001999799991168E-4</v>
      </c>
      <c r="F54" s="26">
        <v>1.2071183628300599E-3</v>
      </c>
      <c r="G54" s="8">
        <v>-1.0002999699965098E-4</v>
      </c>
      <c r="H54" s="9">
        <v>1.11265497014147E-3</v>
      </c>
      <c r="I54" s="25">
        <v>-3.000099910002163E-4</v>
      </c>
      <c r="J54" s="26">
        <v>1.49463469326012E-3</v>
      </c>
      <c r="K54" s="60"/>
    </row>
    <row r="55" spans="2:11" x14ac:dyDescent="0.25">
      <c r="B55" s="10" t="s">
        <v>44</v>
      </c>
      <c r="C55" s="8">
        <v>3.3399999999999999E-2</v>
      </c>
      <c r="D55" s="9">
        <v>0.27998408174065798</v>
      </c>
      <c r="E55" s="25">
        <v>5.1900000000000002E-2</v>
      </c>
      <c r="F55" s="26">
        <v>0.258161034344212</v>
      </c>
      <c r="G55" s="8">
        <v>6.54E-2</v>
      </c>
      <c r="H55" s="9">
        <v>0.24898971321479599</v>
      </c>
      <c r="I55" s="25">
        <v>6.4100000000000004E-2</v>
      </c>
      <c r="J55" s="26">
        <v>0.247964954848164</v>
      </c>
      <c r="K55" s="60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60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60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60"/>
    </row>
    <row r="59" spans="2:11" x14ac:dyDescent="0.25">
      <c r="B59" s="10" t="s">
        <v>25</v>
      </c>
      <c r="C59" s="8">
        <v>1.1940773480000111E-2</v>
      </c>
      <c r="D59" s="9">
        <v>3.5248876692584698E-3</v>
      </c>
      <c r="E59" s="25">
        <v>1.6745410852939679E-2</v>
      </c>
      <c r="F59" s="26">
        <v>6.3484454247981104E-4</v>
      </c>
      <c r="G59" s="8">
        <v>2.5100000000000001E-2</v>
      </c>
      <c r="H59" s="9">
        <v>4.3166447565216402E-3</v>
      </c>
      <c r="I59" s="25">
        <v>2.6386184437067417E-2</v>
      </c>
      <c r="J59" s="26">
        <v>-6.7874602381745404E-3</v>
      </c>
      <c r="K59" s="60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60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60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60"/>
    </row>
    <row r="63" spans="2:11" x14ac:dyDescent="0.25">
      <c r="B63" s="10" t="s">
        <v>29</v>
      </c>
      <c r="C63" s="8">
        <v>0</v>
      </c>
      <c r="D63" s="9">
        <v>0</v>
      </c>
      <c r="E63" s="25">
        <v>-1.0000999900006136E-4</v>
      </c>
      <c r="F63" s="26">
        <v>7.7886106180564199E-3</v>
      </c>
      <c r="G63" s="8">
        <v>-1.0000999900006136E-4</v>
      </c>
      <c r="H63" s="9">
        <v>0</v>
      </c>
      <c r="I63" s="25">
        <v>-1.0000999900006136E-4</v>
      </c>
      <c r="J63" s="26">
        <v>0</v>
      </c>
      <c r="K63" s="60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60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60"/>
    </row>
    <row r="66" spans="2:11" x14ac:dyDescent="0.25">
      <c r="B66" s="10" t="s">
        <v>32</v>
      </c>
      <c r="C66" s="8">
        <v>3.0002000000006745E-4</v>
      </c>
      <c r="D66" s="9">
        <v>-4.0375096928974E-12</v>
      </c>
      <c r="E66" s="25">
        <v>2.9994997299676029E-4</v>
      </c>
      <c r="F66" s="26">
        <v>1.6709970603393E-12</v>
      </c>
      <c r="G66" s="8">
        <v>9.9859974003635443E-5</v>
      </c>
      <c r="H66" s="9">
        <v>5.5793184048497098E-12</v>
      </c>
      <c r="I66" s="25">
        <v>-1.0029002097411421E-4</v>
      </c>
      <c r="J66" s="26">
        <v>1.2364386806074099E-11</v>
      </c>
      <c r="K66" s="60"/>
    </row>
    <row r="67" spans="2:11" x14ac:dyDescent="0.25">
      <c r="B67" s="11" t="s">
        <v>42</v>
      </c>
      <c r="C67" s="12">
        <v>5.511599182000039E-2</v>
      </c>
      <c r="D67" s="13">
        <v>1</v>
      </c>
      <c r="E67" s="41">
        <v>9.7814895115389155E-2</v>
      </c>
      <c r="F67" s="28">
        <v>1</v>
      </c>
      <c r="G67" s="12">
        <v>0.13543147891065158</v>
      </c>
      <c r="H67" s="13">
        <v>1</v>
      </c>
      <c r="I67" s="27">
        <v>0.11568410079378784</v>
      </c>
      <c r="J67" s="28">
        <v>1</v>
      </c>
      <c r="K67" s="60"/>
    </row>
    <row r="68" spans="2:11" x14ac:dyDescent="0.25">
      <c r="B68" s="31" t="s">
        <v>39</v>
      </c>
      <c r="C68" s="52">
        <v>50000.552589999999</v>
      </c>
      <c r="D68" s="53"/>
      <c r="E68" s="38">
        <v>95810.782169999904</v>
      </c>
      <c r="F68" s="39"/>
      <c r="G68" s="40">
        <v>139970.11550000001</v>
      </c>
      <c r="H68" s="39"/>
      <c r="I68" s="38">
        <v>115321.84577</v>
      </c>
      <c r="J68" s="39"/>
      <c r="K68" s="60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60"/>
    </row>
    <row r="70" spans="2:11" ht="15.75" x14ac:dyDescent="0.25">
      <c r="C70" s="43" t="s">
        <v>0</v>
      </c>
      <c r="D70" s="44"/>
      <c r="E70" s="44"/>
      <c r="F70" s="44"/>
      <c r="G70" s="44"/>
      <c r="H70" s="44"/>
      <c r="I70" s="44"/>
      <c r="J70" s="45"/>
      <c r="K70" s="60"/>
    </row>
    <row r="71" spans="2:11" ht="15.75" x14ac:dyDescent="0.25">
      <c r="B71" s="21" t="s">
        <v>38</v>
      </c>
      <c r="C71" s="54" t="s">
        <v>45</v>
      </c>
      <c r="D71" s="55"/>
      <c r="E71" s="56" t="s">
        <v>46</v>
      </c>
      <c r="F71" s="57"/>
      <c r="G71" s="54" t="s">
        <v>47</v>
      </c>
      <c r="H71" s="55"/>
      <c r="I71" s="56" t="s">
        <v>48</v>
      </c>
      <c r="J71" s="57"/>
      <c r="K71" s="60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60"/>
    </row>
    <row r="73" spans="2:11" x14ac:dyDescent="0.25">
      <c r="B73" s="7" t="s">
        <v>34</v>
      </c>
      <c r="C73" s="8">
        <v>4.5900000000000003E-2</v>
      </c>
      <c r="D73" s="17">
        <v>0.209495626690967</v>
      </c>
      <c r="E73" s="25">
        <v>5.1700000000000003E-2</v>
      </c>
      <c r="F73" s="30">
        <v>0.122934103096056</v>
      </c>
      <c r="G73" s="8">
        <v>4.0704472755792587E-4</v>
      </c>
      <c r="H73" s="17">
        <v>0.15937062210193501</v>
      </c>
      <c r="I73" s="25">
        <v>-1.9497038981719506E-4</v>
      </c>
      <c r="J73" s="30">
        <v>0.14804901791449099</v>
      </c>
      <c r="K73" s="60"/>
    </row>
    <row r="74" spans="2:11" x14ac:dyDescent="0.25">
      <c r="B74" s="10" t="s">
        <v>35</v>
      </c>
      <c r="C74" s="8">
        <v>9.2056637600002045E-3</v>
      </c>
      <c r="D74" s="9">
        <v>0.790504373309033</v>
      </c>
      <c r="E74" s="25">
        <v>4.6063688286838156E-2</v>
      </c>
      <c r="F74" s="26">
        <v>0.87706589690394399</v>
      </c>
      <c r="G74" s="8">
        <v>0.13500000000000001</v>
      </c>
      <c r="H74" s="9">
        <v>0.84062937789806502</v>
      </c>
      <c r="I74" s="25">
        <v>0.11591678781064996</v>
      </c>
      <c r="J74" s="26">
        <v>0.85195098208550901</v>
      </c>
      <c r="K74" s="60"/>
    </row>
    <row r="75" spans="2:11" x14ac:dyDescent="0.25">
      <c r="B75" s="11" t="s">
        <v>42</v>
      </c>
      <c r="C75" s="12">
        <v>5.5105663760000208E-2</v>
      </c>
      <c r="D75" s="13">
        <v>1</v>
      </c>
      <c r="E75" s="41">
        <v>9.7763688286838152E-2</v>
      </c>
      <c r="F75" s="28">
        <v>1</v>
      </c>
      <c r="G75" s="12">
        <v>0.13540704472755793</v>
      </c>
      <c r="H75" s="13">
        <v>1</v>
      </c>
      <c r="I75" s="27">
        <v>0.11572181742083276</v>
      </c>
      <c r="J75" s="28">
        <v>1</v>
      </c>
      <c r="K75" s="60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60"/>
    </row>
    <row r="77" spans="2:11" ht="15.75" x14ac:dyDescent="0.25">
      <c r="C77" s="43" t="s">
        <v>0</v>
      </c>
      <c r="D77" s="44"/>
      <c r="E77" s="44"/>
      <c r="F77" s="44"/>
      <c r="G77" s="44"/>
      <c r="H77" s="44"/>
      <c r="I77" s="44"/>
      <c r="J77" s="45"/>
      <c r="K77" s="60"/>
    </row>
    <row r="78" spans="2:11" ht="15.75" x14ac:dyDescent="0.25">
      <c r="B78" s="21" t="s">
        <v>38</v>
      </c>
      <c r="C78" s="54" t="s">
        <v>45</v>
      </c>
      <c r="D78" s="55"/>
      <c r="E78" s="56" t="s">
        <v>46</v>
      </c>
      <c r="F78" s="57"/>
      <c r="G78" s="54" t="s">
        <v>47</v>
      </c>
      <c r="H78" s="55"/>
      <c r="I78" s="56" t="s">
        <v>48</v>
      </c>
      <c r="J78" s="57"/>
      <c r="K78" s="60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60"/>
    </row>
    <row r="80" spans="2:11" x14ac:dyDescent="0.25">
      <c r="B80" s="7" t="s">
        <v>36</v>
      </c>
      <c r="C80" s="8">
        <v>9.7199999999999995E-2</v>
      </c>
      <c r="D80" s="17">
        <v>1.0000000000040401</v>
      </c>
      <c r="E80" s="25">
        <v>0.14000000000000001</v>
      </c>
      <c r="F80" s="30">
        <v>0.99221138938027198</v>
      </c>
      <c r="G80" s="8">
        <v>0.13009999999999999</v>
      </c>
      <c r="H80" s="17">
        <v>0.99999999999442002</v>
      </c>
      <c r="I80" s="25">
        <v>0.1105</v>
      </c>
      <c r="J80" s="30">
        <v>0.999999999987636</v>
      </c>
      <c r="K80" s="60"/>
    </row>
    <row r="81" spans="2:11" x14ac:dyDescent="0.25">
      <c r="B81" s="10" t="s">
        <v>37</v>
      </c>
      <c r="C81" s="8">
        <v>-4.2121242555999916E-2</v>
      </c>
      <c r="D81" s="9">
        <v>-4.0374459331360399E-12</v>
      </c>
      <c r="E81" s="25">
        <v>-4.2200000000000001E-2</v>
      </c>
      <c r="F81" s="26">
        <v>7.7886106197276204E-3</v>
      </c>
      <c r="G81" s="8">
        <v>5.3020594098405205E-3</v>
      </c>
      <c r="H81" s="9">
        <v>5.5794342453875301E-12</v>
      </c>
      <c r="I81" s="25">
        <v>5.2013683354639184E-3</v>
      </c>
      <c r="J81" s="26">
        <v>1.23646358018336E-11</v>
      </c>
      <c r="K81" s="60"/>
    </row>
    <row r="82" spans="2:11" x14ac:dyDescent="0.25">
      <c r="B82" s="11" t="s">
        <v>42</v>
      </c>
      <c r="C82" s="12">
        <v>5.5078757444000079E-2</v>
      </c>
      <c r="D82" s="13">
        <v>1</v>
      </c>
      <c r="E82" s="41">
        <v>9.7800000000000012E-2</v>
      </c>
      <c r="F82" s="28">
        <v>1</v>
      </c>
      <c r="G82" s="12">
        <v>0.13540205940984051</v>
      </c>
      <c r="H82" s="13">
        <v>1</v>
      </c>
      <c r="I82" s="27">
        <v>0.11570136833546392</v>
      </c>
      <c r="J82" s="28">
        <v>1</v>
      </c>
      <c r="K82" s="60"/>
    </row>
    <row r="83" spans="2:11" x14ac:dyDescent="0.25">
      <c r="B83" s="58" t="s">
        <v>49</v>
      </c>
      <c r="C83" s="58"/>
      <c r="D83" s="58"/>
      <c r="E83" s="58"/>
      <c r="F83" s="58"/>
      <c r="G83" s="58"/>
      <c r="H83" s="58"/>
      <c r="I83" s="58"/>
      <c r="J83" s="58"/>
      <c r="K83" s="60"/>
    </row>
    <row r="84" spans="2:11" x14ac:dyDescent="0.25">
      <c r="G84" s="34"/>
      <c r="K84" s="60"/>
    </row>
    <row r="85" spans="2:11" x14ac:dyDescent="0.25">
      <c r="K85" s="60"/>
    </row>
    <row r="86" spans="2:11" x14ac:dyDescent="0.25">
      <c r="K86" s="60"/>
    </row>
    <row r="87" spans="2:11" x14ac:dyDescent="0.25">
      <c r="K87" s="60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W32:X32"/>
    <mergeCell ref="O39:P39"/>
    <mergeCell ref="Q39:R39"/>
    <mergeCell ref="S39:T39"/>
    <mergeCell ref="O32:P32"/>
    <mergeCell ref="Q32:R32"/>
    <mergeCell ref="S32:T32"/>
    <mergeCell ref="U39:V39"/>
    <mergeCell ref="M39:N39"/>
    <mergeCell ref="U32:V32"/>
    <mergeCell ref="G32:H32"/>
    <mergeCell ref="I32:J32"/>
    <mergeCell ref="K32:L32"/>
    <mergeCell ref="M32:N32"/>
    <mergeCell ref="C39:D39"/>
    <mergeCell ref="E39:F39"/>
    <mergeCell ref="G39:H39"/>
    <mergeCell ref="I39:J39"/>
    <mergeCell ref="K39:L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a46656d4-8850-49b3-aebd-68bd05f7f43d"/>
    <ds:schemaRef ds:uri="http://purl.org/dc/elements/1.1/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מסלול משולב סחיר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