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3\רבעון 4-2023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Years">#REF!</definedName>
  </definedNames>
  <calcPr calcId="191029"/>
</workbook>
</file>

<file path=xl/calcChain.xml><?xml version="1.0" encoding="utf-8"?>
<calcChain xmlns="http://schemas.openxmlformats.org/spreadsheetml/2006/main">
  <c r="C68" i="6" l="1"/>
</calcChain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<sst xmlns="http://schemas.openxmlformats.org/spreadsheetml/2006/main" count="190" uniqueCount="50">
  <si>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</si>
  <si>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</si>
  <si>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</si>
  <si>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</si>
  <si>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</si>
  <si>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</si>
  <si>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</si>
  <si>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</si>
  <si>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</si>
  <si>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</si>
  <si>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</si>
  <si>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</si>
  <si>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</si>
  <si>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</si>
  <si>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</si>
  <si>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</si>
  <si>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</si>
  <si>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</si>
  <si>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</si>
  <si>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</si>
  <si>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</si>
  <si>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</si>
  <si>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</si>
  <si>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</si>
  <si>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</si>
  <si>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</si>
  <si>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</si>
  <si>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</si>
  <si>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</si>
  <si>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</si>
  <si>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</si>
  <si>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</si>
  <si>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</si>
  <si>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</si>
  <si>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</si>
  <si>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</si>
  <si>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</si>
  <si>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</si>
  <si>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</si>
  <si>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</si>
  <si>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</si>
  <si>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</si>
  <si>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</si>
  <si>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</si>
  <si>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</si>
  <si>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ינואר - מרץ 2023</t>
  </si>
  <si>
    <t>ינואר - יוני 2023</t>
  </si>
  <si>
    <t>ינואר - ספטמבר 2023</t>
  </si>
  <si>
    <t>ינואר - דצמבר 2023</t>
  </si>
  <si>
    <t>2010אנליסט גמל אגח ממשלת ישראל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</si>
</sst>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2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10" fontId="3" fillId="4" borderId="5" xfId="421" applyNumberFormat="1" applyFont="1" applyFill="1" applyBorder="1"/>
    <xf numFmtId="0" fontId="2" fillId="0" borderId="1" xfId="0" applyFont="1" applyFill="1" applyBorder="1"/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10010"/>
  <sheetViews>
    <sheetView rightToLeft="1" tabSelected="1" workbookViewId="0"/>
  </sheetViews>
  <sheetFormatPr defaultColWidth="9.140625" defaultRowHeight="15" x14ac:dyDescent="0.25"/>
  <cols>
    <col min="1" max="1" width="2.140625" style="1" customWidth="1"/>
    <col min="2" max="2" width="49.140625" style="1" bestFit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</row>
    <row r="2" spans="2:31" ht="18.75" x14ac:dyDescent="0.3">
      <c r="B2" s="19" t="s">
        <v>43</v>
      </c>
    </row>
    <row r="3" spans="2:31" ht="18.75" x14ac:dyDescent="0.3">
      <c r="B3" s="20" t="s">
        <v>49</v>
      </c>
      <c r="C3" s="22" t="s">
        <v>40</v>
      </c>
    </row>
    <row r="4" spans="2:31" x14ac:dyDescent="0.25">
      <c r="B4" s="36">
        <v>2023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 x14ac:dyDescent="0.25">
      <c r="B5" s="2"/>
      <c r="C5" s="41" t="s">
        <v>0</v>
      </c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3"/>
      <c r="AE5" s="3" t="s">
        <v>1</v>
      </c>
    </row>
    <row r="6" spans="2:31" ht="15.75" x14ac:dyDescent="0.25">
      <c r="B6" s="21" t="s">
        <v>41</v>
      </c>
      <c r="C6" s="44">
        <v>44927</v>
      </c>
      <c r="D6" s="45"/>
      <c r="E6" s="46">
        <v>44958</v>
      </c>
      <c r="F6" s="47"/>
      <c r="G6" s="44">
        <v>44986</v>
      </c>
      <c r="H6" s="45"/>
      <c r="I6" s="46">
        <v>45017</v>
      </c>
      <c r="J6" s="47"/>
      <c r="K6" s="44">
        <v>45047</v>
      </c>
      <c r="L6" s="45"/>
      <c r="M6" s="46">
        <v>45078</v>
      </c>
      <c r="N6" s="47"/>
      <c r="O6" s="44">
        <v>45108</v>
      </c>
      <c r="P6" s="45"/>
      <c r="Q6" s="46">
        <v>45139</v>
      </c>
      <c r="R6" s="47"/>
      <c r="S6" s="44">
        <v>45170</v>
      </c>
      <c r="T6" s="45"/>
      <c r="U6" s="46">
        <v>45200</v>
      </c>
      <c r="V6" s="47"/>
      <c r="W6" s="44">
        <v>45231</v>
      </c>
      <c r="X6" s="45"/>
      <c r="Y6" s="46">
        <v>45261</v>
      </c>
      <c r="Z6" s="47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 x14ac:dyDescent="0.25">
      <c r="B8" s="7" t="s">
        <v>5</v>
      </c>
      <c r="C8" s="8">
        <v>1E-4</v>
      </c>
      <c r="D8" s="9">
        <v>2.0716129717741099E-2</v>
      </c>
      <c r="E8" s="25">
        <v>1E-4</v>
      </c>
      <c r="F8" s="26">
        <v>-1.3933622874293199E-3</v>
      </c>
      <c r="G8" s="8">
        <v>0</v>
      </c>
      <c r="H8" s="9">
        <v>9.9951687944630201E-3</v>
      </c>
      <c r="I8" s="25">
        <v>1E-4</v>
      </c>
      <c r="J8" s="26">
        <v>1.63084540043462E-2</v>
      </c>
      <c r="K8" s="8">
        <v>0</v>
      </c>
      <c r="L8" s="9">
        <v>4.37377653658235E-3</v>
      </c>
      <c r="M8" s="25">
        <v>0</v>
      </c>
      <c r="N8" s="26">
        <v>6.22910123881834E-4</v>
      </c>
      <c r="O8" s="8">
        <v>0</v>
      </c>
      <c r="P8" s="9">
        <v>3.4906232970054997E-2</v>
      </c>
      <c r="Q8" s="25">
        <v>0</v>
      </c>
      <c r="R8" s="26">
        <v>-9.0562649843841303E-4</v>
      </c>
      <c r="S8" s="8">
        <v>0</v>
      </c>
      <c r="T8" s="9">
        <v>8.5043278255653404E-4</v>
      </c>
      <c r="U8" s="25">
        <v>1E-4</v>
      </c>
      <c r="V8" s="26">
        <v>1.34188760116805E-2</v>
      </c>
      <c r="W8" s="8">
        <v>1E-4</v>
      </c>
      <c r="X8" s="9">
        <v>1.3439798006820099E-2</v>
      </c>
      <c r="Y8" s="25">
        <v>1E-4</v>
      </c>
      <c r="Z8" s="26">
        <v>7.9017519705776706E-3</v>
      </c>
      <c r="AE8" s="3" t="s">
        <v>8</v>
      </c>
    </row>
    <row r="9" spans="2:31" x14ac:dyDescent="0.25">
      <c r="B9" s="10" t="s">
        <v>7</v>
      </c>
      <c r="C9" s="8">
        <v>3.3999999999999998E-3</v>
      </c>
      <c r="D9" s="9">
        <v>0.75805659867103903</v>
      </c>
      <c r="E9" s="25">
        <v>-9.7999999999999997E-3</v>
      </c>
      <c r="F9" s="26">
        <v>0.77784073005038301</v>
      </c>
      <c r="G9" s="8">
        <v>7.9000000000000008E-3</v>
      </c>
      <c r="H9" s="9">
        <v>0.769597353127629</v>
      </c>
      <c r="I9" s="25">
        <v>2.0000000000000001E-4</v>
      </c>
      <c r="J9" s="26">
        <v>0.76538386415324</v>
      </c>
      <c r="K9" s="8">
        <v>6.1999999999999998E-3</v>
      </c>
      <c r="L9" s="9">
        <v>0.75907175616556799</v>
      </c>
      <c r="M9" s="25">
        <v>1.4E-3</v>
      </c>
      <c r="N9" s="26">
        <v>0.77996931957973603</v>
      </c>
      <c r="O9" s="8">
        <v>1E-3</v>
      </c>
      <c r="P9" s="9">
        <v>0.74228793365224199</v>
      </c>
      <c r="Q9" s="25">
        <v>2.2000000000000001E-3</v>
      </c>
      <c r="R9" s="26">
        <v>0.77400669345412498</v>
      </c>
      <c r="S9" s="8">
        <v>-3.8999999999999998E-3</v>
      </c>
      <c r="T9" s="9">
        <v>0.77363308858757995</v>
      </c>
      <c r="U9" s="25">
        <v>-7.4999999999999997E-3</v>
      </c>
      <c r="V9" s="26">
        <v>0.76807434641314198</v>
      </c>
      <c r="W9" s="8">
        <v>1.15E-2</v>
      </c>
      <c r="X9" s="9">
        <v>0.77224891668657303</v>
      </c>
      <c r="Y9" s="25">
        <v>5.8999999999999999E-3</v>
      </c>
      <c r="Z9" s="26">
        <v>0.76766290676013405</v>
      </c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E11" s="3" t="s">
        <v>14</v>
      </c>
    </row>
    <row r="12" spans="2:31" x14ac:dyDescent="0.25">
      <c r="B12" s="10" t="s">
        <v>13</v>
      </c>
      <c r="C12" s="8">
        <v>4.1999999999999997E-3</v>
      </c>
      <c r="D12" s="9">
        <v>0.217715614149251</v>
      </c>
      <c r="E12" s="25">
        <v>-5.1000000000000004E-3</v>
      </c>
      <c r="F12" s="26">
        <v>0.21915285657090799</v>
      </c>
      <c r="G12" s="8">
        <v>2.5000000000000001E-3</v>
      </c>
      <c r="H12" s="9">
        <v>0.216076556734836</v>
      </c>
      <c r="I12" s="25">
        <v>1.6999999999999999E-3</v>
      </c>
      <c r="J12" s="26">
        <v>0.213956318016436</v>
      </c>
      <c r="K12" s="8">
        <v>2.8E-3</v>
      </c>
      <c r="L12" s="9">
        <v>0.23176775056857701</v>
      </c>
      <c r="M12" s="25">
        <v>1E-3</v>
      </c>
      <c r="N12" s="26">
        <v>0.21455964630251001</v>
      </c>
      <c r="O12" s="8">
        <v>1.6999999999999999E-3</v>
      </c>
      <c r="P12" s="9">
        <v>0.217304386553864</v>
      </c>
      <c r="Q12" s="25">
        <v>1.4E-3</v>
      </c>
      <c r="R12" s="26">
        <v>0.22012492282787599</v>
      </c>
      <c r="S12" s="8">
        <v>-1.2999999999999999E-3</v>
      </c>
      <c r="T12" s="9">
        <v>0.22220925985662501</v>
      </c>
      <c r="U12" s="25">
        <v>-3.3999999999999998E-3</v>
      </c>
      <c r="V12" s="26">
        <v>0.21548973428677701</v>
      </c>
      <c r="W12" s="8">
        <v>7.4000000000000003E-3</v>
      </c>
      <c r="X12" s="9">
        <v>0.21091526152951201</v>
      </c>
      <c r="Y12" s="25">
        <v>3.3E-3</v>
      </c>
      <c r="Z12" s="26">
        <v>0.22122738650465401</v>
      </c>
      <c r="AE12" s="3" t="s">
        <v>16</v>
      </c>
    </row>
    <row r="13" spans="2:31" x14ac:dyDescent="0.25">
      <c r="B13" s="10" t="s">
        <v>15</v>
      </c>
      <c r="C13" s="8">
        <v>0</v>
      </c>
      <c r="D13" s="9">
        <v>1.7615013408971501E-3</v>
      </c>
      <c r="E13" s="25">
        <v>-1E-4</v>
      </c>
      <c r="F13" s="26">
        <v>1.7419384948568499E-3</v>
      </c>
      <c r="G13" s="8">
        <v>0</v>
      </c>
      <c r="H13" s="9">
        <v>1.73213154413523E-3</v>
      </c>
      <c r="I13" s="25">
        <v>0</v>
      </c>
      <c r="J13" s="26">
        <v>1.7630214155847799E-3</v>
      </c>
      <c r="K13" s="8">
        <v>0</v>
      </c>
      <c r="L13" s="9">
        <v>1.9733982490284401E-3</v>
      </c>
      <c r="M13" s="25">
        <v>0</v>
      </c>
      <c r="N13" s="26">
        <v>1.9692544559413898E-3</v>
      </c>
      <c r="O13" s="8">
        <v>0</v>
      </c>
      <c r="P13" s="9">
        <v>2.2004975999717902E-3</v>
      </c>
      <c r="Q13" s="25">
        <v>0</v>
      </c>
      <c r="R13" s="26">
        <v>3.31638166499012E-3</v>
      </c>
      <c r="S13" s="8">
        <v>0</v>
      </c>
      <c r="T13" s="9">
        <v>3.3085598368081401E-3</v>
      </c>
      <c r="U13" s="25">
        <v>-1E-4</v>
      </c>
      <c r="V13" s="26">
        <v>3.1262935273198098E-3</v>
      </c>
      <c r="W13" s="8">
        <v>1E-4</v>
      </c>
      <c r="X13" s="9">
        <v>3.1455847098244001E-3</v>
      </c>
      <c r="Y13" s="25">
        <v>1E-4</v>
      </c>
      <c r="Z13" s="26">
        <v>3.13738113152242E-3</v>
      </c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5">
        <v>0</v>
      </c>
      <c r="F14" s="26">
        <v>0</v>
      </c>
      <c r="G14" s="8">
        <v>0</v>
      </c>
      <c r="H14" s="9">
        <v>0</v>
      </c>
      <c r="I14" s="25">
        <v>0</v>
      </c>
      <c r="J14" s="26">
        <v>0</v>
      </c>
      <c r="K14" s="8">
        <v>0</v>
      </c>
      <c r="L14" s="9">
        <v>0</v>
      </c>
      <c r="M14" s="25">
        <v>0</v>
      </c>
      <c r="N14" s="26">
        <v>0</v>
      </c>
      <c r="O14" s="8">
        <v>0</v>
      </c>
      <c r="P14" s="9">
        <v>0</v>
      </c>
      <c r="Q14" s="25">
        <v>0</v>
      </c>
      <c r="R14" s="26">
        <v>0</v>
      </c>
      <c r="S14" s="8">
        <v>0</v>
      </c>
      <c r="T14" s="9">
        <v>0</v>
      </c>
      <c r="U14" s="25">
        <v>0</v>
      </c>
      <c r="V14" s="26">
        <v>0</v>
      </c>
      <c r="W14" s="8">
        <v>0</v>
      </c>
      <c r="X14" s="9">
        <v>0</v>
      </c>
      <c r="Y14" s="25">
        <v>0</v>
      </c>
      <c r="Z14" s="26">
        <v>0</v>
      </c>
      <c r="AE14" s="3" t="s">
        <v>19</v>
      </c>
    </row>
    <row r="15" spans="2:31" x14ac:dyDescent="0.25">
      <c r="B15" s="10" t="s">
        <v>44</v>
      </c>
      <c r="C15" s="8">
        <v>0</v>
      </c>
      <c r="D15" s="9">
        <v>2.3722259827796302E-3</v>
      </c>
      <c r="E15" s="25">
        <v>1E-4</v>
      </c>
      <c r="F15" s="26">
        <v>2.51798125135672E-3</v>
      </c>
      <c r="G15" s="8">
        <v>0</v>
      </c>
      <c r="H15" s="9">
        <v>2.48145413203491E-3</v>
      </c>
      <c r="I15" s="25">
        <v>0</v>
      </c>
      <c r="J15" s="26">
        <v>2.5243658357474901E-3</v>
      </c>
      <c r="K15" s="8">
        <v>0</v>
      </c>
      <c r="L15" s="9">
        <v>2.7741353201358298E-3</v>
      </c>
      <c r="M15" s="25">
        <v>0</v>
      </c>
      <c r="N15" s="26">
        <v>2.9120465730979499E-3</v>
      </c>
      <c r="O15" s="8">
        <v>1E-4</v>
      </c>
      <c r="P15" s="9">
        <v>3.2900118175307898E-3</v>
      </c>
      <c r="Q15" s="25">
        <v>1E-4</v>
      </c>
      <c r="R15" s="26">
        <v>3.4254873342888501E-3</v>
      </c>
      <c r="S15" s="8">
        <v>0</v>
      </c>
      <c r="T15" s="9">
        <v>0</v>
      </c>
      <c r="U15" s="25">
        <v>0</v>
      </c>
      <c r="V15" s="26">
        <v>0</v>
      </c>
      <c r="W15" s="8">
        <v>0</v>
      </c>
      <c r="X15" s="9">
        <v>0</v>
      </c>
      <c r="Y15" s="25">
        <v>0</v>
      </c>
      <c r="Z15" s="26">
        <v>0</v>
      </c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>
        <v>0</v>
      </c>
      <c r="J17" s="26">
        <v>0</v>
      </c>
      <c r="K17" s="8">
        <v>0</v>
      </c>
      <c r="L17" s="9">
        <v>0</v>
      </c>
      <c r="M17" s="25">
        <v>0</v>
      </c>
      <c r="N17" s="26">
        <v>0</v>
      </c>
      <c r="O17" s="8">
        <v>0</v>
      </c>
      <c r="P17" s="9">
        <v>0</v>
      </c>
      <c r="Q17" s="25">
        <v>0</v>
      </c>
      <c r="R17" s="26">
        <v>0</v>
      </c>
      <c r="S17" s="8">
        <v>0</v>
      </c>
      <c r="T17" s="9">
        <v>0</v>
      </c>
      <c r="U17" s="25">
        <v>0</v>
      </c>
      <c r="V17" s="26">
        <v>0</v>
      </c>
      <c r="W17" s="8">
        <v>0</v>
      </c>
      <c r="X17" s="9">
        <v>0</v>
      </c>
      <c r="Y17" s="25">
        <v>0</v>
      </c>
      <c r="Z17" s="26">
        <v>0</v>
      </c>
    </row>
    <row r="18" spans="2:31" x14ac:dyDescent="0.25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>
        <v>0</v>
      </c>
      <c r="P18" s="9">
        <v>0</v>
      </c>
      <c r="Q18" s="25">
        <v>0</v>
      </c>
      <c r="R18" s="26">
        <v>0</v>
      </c>
      <c r="S18" s="8">
        <v>0</v>
      </c>
      <c r="T18" s="9">
        <v>0</v>
      </c>
      <c r="U18" s="25">
        <v>0</v>
      </c>
      <c r="V18" s="26">
        <v>0</v>
      </c>
      <c r="W18" s="8">
        <v>0</v>
      </c>
      <c r="X18" s="9">
        <v>0</v>
      </c>
      <c r="Y18" s="25">
        <v>0</v>
      </c>
      <c r="Z18" s="26">
        <v>0</v>
      </c>
      <c r="AE18" s="3"/>
    </row>
    <row r="19" spans="2:31" x14ac:dyDescent="0.25">
      <c r="B19" s="10" t="s">
        <v>25</v>
      </c>
      <c r="C19" s="8">
        <v>2.9999999999999997E-4</v>
      </c>
      <c r="D19" s="9">
        <v>-7.4129388210927199E-4</v>
      </c>
      <c r="E19" s="25">
        <v>-1.5E-3</v>
      </c>
      <c r="F19" s="26">
        <v>8.5642977285411104E-7</v>
      </c>
      <c r="G19" s="8">
        <v>1E-4</v>
      </c>
      <c r="H19" s="9">
        <v>-1.5575335428902501E-5</v>
      </c>
      <c r="I19" s="25">
        <v>0</v>
      </c>
      <c r="J19" s="26">
        <v>-1.9046278121265099E-6</v>
      </c>
      <c r="K19" s="8">
        <v>-1E-4</v>
      </c>
      <c r="L19" s="9">
        <v>5.62039050291626E-7</v>
      </c>
      <c r="M19" s="25">
        <v>0</v>
      </c>
      <c r="N19" s="26">
        <v>-4.6650716489818697E-5</v>
      </c>
      <c r="O19" s="8">
        <v>0</v>
      </c>
      <c r="P19" s="9">
        <v>1.09369190097512E-5</v>
      </c>
      <c r="Q19" s="25">
        <v>-1E-4</v>
      </c>
      <c r="R19" s="26">
        <v>4.6892111144591404E-6</v>
      </c>
      <c r="S19" s="8">
        <v>-1E-4</v>
      </c>
      <c r="T19" s="9">
        <v>-2.8808202232157899E-5</v>
      </c>
      <c r="U19" s="25">
        <v>-1E-4</v>
      </c>
      <c r="V19" s="26">
        <v>-1.7770018038937801E-4</v>
      </c>
      <c r="W19" s="8">
        <v>2.9999999999999997E-4</v>
      </c>
      <c r="X19" s="9">
        <v>1.3280822179063801E-4</v>
      </c>
      <c r="Y19" s="25">
        <v>1E-4</v>
      </c>
      <c r="Z19" s="26">
        <v>7.0573776838456901E-5</v>
      </c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E20" s="3"/>
    </row>
    <row r="21" spans="2:31" x14ac:dyDescent="0.25">
      <c r="B21" s="10" t="s">
        <v>27</v>
      </c>
      <c r="C21" s="8">
        <v>0</v>
      </c>
      <c r="D21" s="9">
        <v>9.3170540441348104E-5</v>
      </c>
      <c r="E21" s="25">
        <v>0</v>
      </c>
      <c r="F21" s="26">
        <v>8.6255491672292798E-5</v>
      </c>
      <c r="G21" s="8">
        <v>0</v>
      </c>
      <c r="H21" s="9">
        <v>7.6565264225447806E-5</v>
      </c>
      <c r="I21" s="25">
        <v>0</v>
      </c>
      <c r="J21" s="26">
        <v>0</v>
      </c>
      <c r="K21" s="8">
        <v>0</v>
      </c>
      <c r="L21" s="9">
        <v>0</v>
      </c>
      <c r="M21" s="25">
        <v>0</v>
      </c>
      <c r="N21" s="26">
        <v>0</v>
      </c>
      <c r="O21" s="8">
        <v>0</v>
      </c>
      <c r="P21" s="9">
        <v>0</v>
      </c>
      <c r="Q21" s="25">
        <v>0</v>
      </c>
      <c r="R21" s="26">
        <v>0</v>
      </c>
      <c r="S21" s="8">
        <v>0</v>
      </c>
      <c r="T21" s="9">
        <v>0</v>
      </c>
      <c r="U21" s="25">
        <v>0</v>
      </c>
      <c r="V21" s="26">
        <v>0</v>
      </c>
      <c r="W21" s="8">
        <v>0</v>
      </c>
      <c r="X21" s="9">
        <v>0</v>
      </c>
      <c r="Y21" s="25">
        <v>0</v>
      </c>
      <c r="Z21" s="26">
        <v>0</v>
      </c>
    </row>
    <row r="22" spans="2:31" x14ac:dyDescent="0.25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>
        <v>0</v>
      </c>
      <c r="J22" s="26">
        <v>0</v>
      </c>
      <c r="K22" s="8">
        <v>0</v>
      </c>
      <c r="L22" s="9">
        <v>0</v>
      </c>
      <c r="M22" s="25">
        <v>0</v>
      </c>
      <c r="N22" s="26">
        <v>0</v>
      </c>
      <c r="O22" s="8">
        <v>0</v>
      </c>
      <c r="P22" s="9">
        <v>0</v>
      </c>
      <c r="Q22" s="25">
        <v>0</v>
      </c>
      <c r="R22" s="26">
        <v>0</v>
      </c>
      <c r="S22" s="8">
        <v>0</v>
      </c>
      <c r="T22" s="9">
        <v>0</v>
      </c>
      <c r="U22" s="25">
        <v>0</v>
      </c>
      <c r="V22" s="26">
        <v>0</v>
      </c>
      <c r="W22" s="8">
        <v>0</v>
      </c>
      <c r="X22" s="9">
        <v>0</v>
      </c>
      <c r="Y22" s="25">
        <v>0</v>
      </c>
      <c r="Z22" s="26">
        <v>0</v>
      </c>
    </row>
    <row r="23" spans="2:31" x14ac:dyDescent="0.25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>
        <v>0</v>
      </c>
      <c r="J23" s="26">
        <v>0</v>
      </c>
      <c r="K23" s="8">
        <v>0</v>
      </c>
      <c r="L23" s="9">
        <v>0</v>
      </c>
      <c r="M23" s="25">
        <v>0</v>
      </c>
      <c r="N23" s="26">
        <v>0</v>
      </c>
      <c r="O23" s="8">
        <v>0</v>
      </c>
      <c r="P23" s="9">
        <v>0</v>
      </c>
      <c r="Q23" s="25">
        <v>0</v>
      </c>
      <c r="R23" s="26">
        <v>0</v>
      </c>
      <c r="S23" s="8">
        <v>0</v>
      </c>
      <c r="T23" s="9">
        <v>0</v>
      </c>
      <c r="U23" s="25">
        <v>0</v>
      </c>
      <c r="V23" s="26">
        <v>0</v>
      </c>
      <c r="W23" s="8">
        <v>0</v>
      </c>
      <c r="X23" s="9">
        <v>0</v>
      </c>
      <c r="Y23" s="25">
        <v>0</v>
      </c>
      <c r="Z23" s="26">
        <v>0</v>
      </c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</row>
    <row r="26" spans="2:31" x14ac:dyDescent="0.25">
      <c r="B26" s="10" t="s">
        <v>32</v>
      </c>
      <c r="C26" s="8">
        <v>-1.90819582357449E-19</v>
      </c>
      <c r="D26" s="9">
        <v>2.6053479960411001E-5</v>
      </c>
      <c r="E26" s="25">
        <v>-9.9999999999998595E-5</v>
      </c>
      <c r="F26" s="26">
        <v>5.2743998480064898E-5</v>
      </c>
      <c r="G26" s="8">
        <v>-1.0000000000000099E-4</v>
      </c>
      <c r="H26" s="9">
        <v>5.6345738106002198E-5</v>
      </c>
      <c r="I26" s="25">
        <v>-8.6736173798840396E-20</v>
      </c>
      <c r="J26" s="26">
        <v>6.5881202457809999E-5</v>
      </c>
      <c r="K26" s="8">
        <v>-8.6736173798840396E-20</v>
      </c>
      <c r="L26" s="9">
        <v>3.86211210581939E-5</v>
      </c>
      <c r="M26" s="25">
        <v>9.9999999999999896E-5</v>
      </c>
      <c r="N26" s="26">
        <v>1.3473681322003701E-5</v>
      </c>
      <c r="O26" s="8">
        <v>-9.9999999999999896E-5</v>
      </c>
      <c r="P26" s="9">
        <v>4.8732679036253598E-10</v>
      </c>
      <c r="Q26" s="25">
        <v>-5.2041704279304199E-20</v>
      </c>
      <c r="R26" s="26">
        <v>2.74520060440224E-5</v>
      </c>
      <c r="S26" s="8">
        <v>1E-4</v>
      </c>
      <c r="T26" s="9">
        <v>2.7467138662865098E-5</v>
      </c>
      <c r="U26" s="25">
        <v>-4.5102810375396996E-19</v>
      </c>
      <c r="V26" s="26">
        <v>6.8449941470058294E-5</v>
      </c>
      <c r="W26" s="8">
        <v>1E-4</v>
      </c>
      <c r="X26" s="9">
        <v>1.17630845480792E-4</v>
      </c>
      <c r="Y26" s="25">
        <v>-2.0000000000000001E-4</v>
      </c>
      <c r="Z26" s="26">
        <v>-1.4372590288053201E-10</v>
      </c>
    </row>
    <row r="27" spans="2:31" x14ac:dyDescent="0.25">
      <c r="B27" s="11" t="s">
        <v>33</v>
      </c>
      <c r="C27" s="12">
        <v>8.0000000000000002E-3</v>
      </c>
      <c r="D27" s="13">
        <v>1</v>
      </c>
      <c r="E27" s="27">
        <v>-1.6400000000000001E-2</v>
      </c>
      <c r="F27" s="28">
        <v>1</v>
      </c>
      <c r="G27" s="12">
        <v>1.04E-2</v>
      </c>
      <c r="H27" s="13">
        <v>1</v>
      </c>
      <c r="I27" s="27">
        <v>2E-3</v>
      </c>
      <c r="J27" s="28">
        <v>1</v>
      </c>
      <c r="K27" s="12">
        <v>8.8999999999999999E-3</v>
      </c>
      <c r="L27" s="13">
        <v>1</v>
      </c>
      <c r="M27" s="27">
        <v>2.5000000000000001E-3</v>
      </c>
      <c r="N27" s="28">
        <v>1</v>
      </c>
      <c r="O27" s="12">
        <v>2.7000000000000001E-3</v>
      </c>
      <c r="P27" s="13">
        <v>1</v>
      </c>
      <c r="Q27" s="27">
        <v>3.5999999999999999E-3</v>
      </c>
      <c r="R27" s="28">
        <v>1</v>
      </c>
      <c r="S27" s="12">
        <v>-5.1999999999999998E-3</v>
      </c>
      <c r="T27" s="13">
        <v>1</v>
      </c>
      <c r="U27" s="27">
        <v>-1.0999999999999999E-2</v>
      </c>
      <c r="V27" s="28">
        <v>1</v>
      </c>
      <c r="W27" s="12">
        <v>1.95E-2</v>
      </c>
      <c r="X27" s="13">
        <v>1</v>
      </c>
      <c r="Y27" s="27">
        <v>9.2999999999999992E-3</v>
      </c>
      <c r="Z27" s="28">
        <v>1</v>
      </c>
    </row>
    <row r="28" spans="2:31" x14ac:dyDescent="0.25">
      <c r="B28" s="31" t="s">
        <v>39</v>
      </c>
      <c r="C28" s="39">
        <v>224.05374999999799</v>
      </c>
      <c r="D28" s="40"/>
      <c r="E28" s="37">
        <v>-457.95645999999903</v>
      </c>
      <c r="F28" s="38"/>
      <c r="G28" s="39">
        <v>282.18698000000097</v>
      </c>
      <c r="H28" s="40"/>
      <c r="I28" s="37">
        <v>55.545069999997203</v>
      </c>
      <c r="J28" s="38"/>
      <c r="K28" s="39">
        <v>240.01381000000001</v>
      </c>
      <c r="L28" s="40"/>
      <c r="M28" s="37">
        <v>58.841519999999903</v>
      </c>
      <c r="N28" s="38"/>
      <c r="O28" s="39">
        <v>73.738910000000899</v>
      </c>
      <c r="P28" s="40"/>
      <c r="Q28" s="37">
        <v>74.108200000000096</v>
      </c>
      <c r="R28" s="38"/>
      <c r="S28" s="39">
        <v>-105.97319</v>
      </c>
      <c r="T28" s="40"/>
      <c r="U28" s="37">
        <v>-232.20183</v>
      </c>
      <c r="V28" s="38"/>
      <c r="W28" s="39">
        <v>410.45804000000197</v>
      </c>
      <c r="X28" s="40"/>
      <c r="Y28" s="37">
        <v>204.78377999999901</v>
      </c>
      <c r="Z28" s="38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41" t="s">
        <v>0</v>
      </c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3"/>
    </row>
    <row r="32" spans="2:31" ht="15.75" x14ac:dyDescent="0.25">
      <c r="B32" s="21" t="s">
        <v>41</v>
      </c>
      <c r="C32" s="44">
        <v>44927</v>
      </c>
      <c r="D32" s="45"/>
      <c r="E32" s="46">
        <v>44958</v>
      </c>
      <c r="F32" s="47"/>
      <c r="G32" s="44">
        <v>44986</v>
      </c>
      <c r="H32" s="45"/>
      <c r="I32" s="46">
        <v>45017</v>
      </c>
      <c r="J32" s="47"/>
      <c r="K32" s="44">
        <v>45047</v>
      </c>
      <c r="L32" s="45"/>
      <c r="M32" s="46">
        <v>45078</v>
      </c>
      <c r="N32" s="47"/>
      <c r="O32" s="44">
        <v>45108</v>
      </c>
      <c r="P32" s="45"/>
      <c r="Q32" s="46">
        <v>45139</v>
      </c>
      <c r="R32" s="47"/>
      <c r="S32" s="44">
        <v>45170</v>
      </c>
      <c r="T32" s="45"/>
      <c r="U32" s="46">
        <v>45200</v>
      </c>
      <c r="V32" s="47"/>
      <c r="W32" s="44">
        <v>45231</v>
      </c>
      <c r="X32" s="45"/>
      <c r="Y32" s="46">
        <v>45261</v>
      </c>
      <c r="Z32" s="47"/>
    </row>
    <row r="33" spans="2:26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 x14ac:dyDescent="0.25">
      <c r="B34" s="7" t="s">
        <v>34</v>
      </c>
      <c r="C34" s="16">
        <v>7.7999999999999996E-3</v>
      </c>
      <c r="D34" s="17">
        <v>0.96411914586256697</v>
      </c>
      <c r="E34" s="29">
        <v>-1.7899999999999999E-2</v>
      </c>
      <c r="F34" s="30">
        <v>0.96144882519503005</v>
      </c>
      <c r="G34" s="16">
        <v>1.09E-2</v>
      </c>
      <c r="H34" s="17">
        <v>0.96225477574368901</v>
      </c>
      <c r="I34" s="29">
        <v>1.1000000000000001E-3</v>
      </c>
      <c r="J34" s="30">
        <v>0.96136565054659795</v>
      </c>
      <c r="K34" s="16">
        <v>8.2000000000000007E-3</v>
      </c>
      <c r="L34" s="17">
        <v>0.95688735740047903</v>
      </c>
      <c r="M34" s="29">
        <v>3.0000000000000001E-3</v>
      </c>
      <c r="N34" s="30">
        <v>0.95435866587357598</v>
      </c>
      <c r="O34" s="16">
        <v>2.0999999999999999E-3</v>
      </c>
      <c r="P34" s="17">
        <v>0.96832592193358002</v>
      </c>
      <c r="Q34" s="29">
        <v>2.7000000000000001E-3</v>
      </c>
      <c r="R34" s="30">
        <v>0.96687953664092097</v>
      </c>
      <c r="S34" s="16">
        <v>-5.1999999999999998E-3</v>
      </c>
      <c r="T34" s="17">
        <v>0.96699078786368897</v>
      </c>
      <c r="U34" s="29">
        <v>-1.2E-2</v>
      </c>
      <c r="V34" s="30">
        <v>0.96699283709719197</v>
      </c>
      <c r="W34" s="16">
        <v>2.07E-2</v>
      </c>
      <c r="X34" s="17">
        <v>0.96937973643648201</v>
      </c>
      <c r="Y34" s="29">
        <v>9.1999999999999998E-3</v>
      </c>
      <c r="Z34" s="30">
        <v>0.96742120116714603</v>
      </c>
    </row>
    <row r="35" spans="2:26" x14ac:dyDescent="0.25">
      <c r="B35" s="10" t="s">
        <v>35</v>
      </c>
      <c r="C35" s="8">
        <v>2.0000000000000001E-4</v>
      </c>
      <c r="D35" s="9">
        <v>3.5880854137432999E-2</v>
      </c>
      <c r="E35" s="25">
        <v>1.5E-3</v>
      </c>
      <c r="F35" s="26">
        <v>3.85511748049698E-2</v>
      </c>
      <c r="G35" s="8">
        <v>-5.0000000000000001E-4</v>
      </c>
      <c r="H35" s="9">
        <v>3.7745224256310599E-2</v>
      </c>
      <c r="I35" s="25">
        <v>8.9999999999999998E-4</v>
      </c>
      <c r="J35" s="26">
        <v>3.8634349453401801E-2</v>
      </c>
      <c r="K35" s="8">
        <v>7.0000000000000097E-4</v>
      </c>
      <c r="L35" s="9">
        <v>4.3112642599521203E-2</v>
      </c>
      <c r="M35" s="25">
        <v>-5.0000000000000001E-4</v>
      </c>
      <c r="N35" s="26">
        <v>4.5641334126424203E-2</v>
      </c>
      <c r="O35" s="8">
        <v>5.9999999999999995E-4</v>
      </c>
      <c r="P35" s="9">
        <v>3.16740780664196E-2</v>
      </c>
      <c r="Q35" s="25">
        <v>8.9999999999999998E-4</v>
      </c>
      <c r="R35" s="26">
        <v>3.3120463359078998E-2</v>
      </c>
      <c r="S35" s="8">
        <v>0</v>
      </c>
      <c r="T35" s="9">
        <v>3.3009212136311403E-2</v>
      </c>
      <c r="U35" s="25">
        <v>9.9999999999999894E-4</v>
      </c>
      <c r="V35" s="26">
        <v>3.3007162902807599E-2</v>
      </c>
      <c r="W35" s="8">
        <v>-1.1999999999999999E-3</v>
      </c>
      <c r="X35" s="9">
        <v>3.0620263563518501E-2</v>
      </c>
      <c r="Y35" s="25">
        <v>1.0000000000000099E-4</v>
      </c>
      <c r="Z35" s="26">
        <v>3.2578798832853702E-2</v>
      </c>
    </row>
    <row r="36" spans="2:26" x14ac:dyDescent="0.25">
      <c r="B36" s="11" t="s">
        <v>33</v>
      </c>
      <c r="C36" s="12">
        <v>8.0000000000000002E-3</v>
      </c>
      <c r="D36" s="13">
        <v>1</v>
      </c>
      <c r="E36" s="27">
        <v>-1.6400000000000001E-2</v>
      </c>
      <c r="F36" s="28">
        <v>1</v>
      </c>
      <c r="G36" s="12">
        <v>1.04E-2</v>
      </c>
      <c r="H36" s="13">
        <v>1</v>
      </c>
      <c r="I36" s="27">
        <v>2E-3</v>
      </c>
      <c r="J36" s="28">
        <v>1</v>
      </c>
      <c r="K36" s="12">
        <v>8.8999999999999999E-3</v>
      </c>
      <c r="L36" s="13">
        <v>1</v>
      </c>
      <c r="M36" s="27">
        <v>2.5000000000000001E-3</v>
      </c>
      <c r="N36" s="28">
        <v>1</v>
      </c>
      <c r="O36" s="12">
        <v>2.7000000000000001E-3</v>
      </c>
      <c r="P36" s="13">
        <v>1</v>
      </c>
      <c r="Q36" s="27">
        <v>3.5999999999999999E-3</v>
      </c>
      <c r="R36" s="28">
        <v>1</v>
      </c>
      <c r="S36" s="12">
        <v>-5.1999999999999998E-3</v>
      </c>
      <c r="T36" s="13">
        <v>1</v>
      </c>
      <c r="U36" s="27">
        <v>-1.0999999999999999E-2</v>
      </c>
      <c r="V36" s="28">
        <v>1</v>
      </c>
      <c r="W36" s="12">
        <v>1.95E-2</v>
      </c>
      <c r="X36" s="13">
        <v>1</v>
      </c>
      <c r="Y36" s="27">
        <v>9.2999999999999992E-3</v>
      </c>
      <c r="Z36" s="28">
        <v>1</v>
      </c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41" t="s">
        <v>0</v>
      </c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3"/>
    </row>
    <row r="39" spans="2:26" ht="15.75" x14ac:dyDescent="0.25">
      <c r="B39" s="21" t="s">
        <v>41</v>
      </c>
      <c r="C39" s="44">
        <v>44927</v>
      </c>
      <c r="D39" s="45"/>
      <c r="E39" s="46">
        <v>44958</v>
      </c>
      <c r="F39" s="47"/>
      <c r="G39" s="44">
        <v>44986</v>
      </c>
      <c r="H39" s="45"/>
      <c r="I39" s="46">
        <v>45017</v>
      </c>
      <c r="J39" s="47"/>
      <c r="K39" s="44">
        <v>45047</v>
      </c>
      <c r="L39" s="45"/>
      <c r="M39" s="46">
        <v>45078</v>
      </c>
      <c r="N39" s="47"/>
      <c r="O39" s="44">
        <v>45108</v>
      </c>
      <c r="P39" s="45"/>
      <c r="Q39" s="46">
        <v>45139</v>
      </c>
      <c r="R39" s="47"/>
      <c r="S39" s="44">
        <v>45170</v>
      </c>
      <c r="T39" s="45"/>
      <c r="U39" s="46">
        <v>45200</v>
      </c>
      <c r="V39" s="47"/>
      <c r="W39" s="44">
        <v>45231</v>
      </c>
      <c r="X39" s="45"/>
      <c r="Y39" s="46">
        <v>45261</v>
      </c>
      <c r="Z39" s="47"/>
    </row>
    <row r="40" spans="2:26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 x14ac:dyDescent="0.25">
      <c r="B41" s="7" t="s">
        <v>36</v>
      </c>
      <c r="C41" s="16">
        <v>7.7000000000000002E-3</v>
      </c>
      <c r="D41" s="17">
        <v>0.99886056852080995</v>
      </c>
      <c r="E41" s="29">
        <v>-1.4800000000000001E-2</v>
      </c>
      <c r="F41" s="30">
        <v>0.99811820558521802</v>
      </c>
      <c r="G41" s="16">
        <v>1.03E-2</v>
      </c>
      <c r="H41" s="17">
        <v>0.99815053278896204</v>
      </c>
      <c r="I41" s="29">
        <v>2E-3</v>
      </c>
      <c r="J41" s="30">
        <v>0.99817300200976999</v>
      </c>
      <c r="K41" s="16">
        <v>8.9999999999999993E-3</v>
      </c>
      <c r="L41" s="17">
        <v>0.99798741859086304</v>
      </c>
      <c r="M41" s="29">
        <v>2.3999999999999998E-3</v>
      </c>
      <c r="N41" s="30">
        <v>0.99806392257922705</v>
      </c>
      <c r="O41" s="16">
        <v>2.7000000000000001E-3</v>
      </c>
      <c r="P41" s="17">
        <v>0.99778856499369195</v>
      </c>
      <c r="Q41" s="29">
        <v>3.5999999999999999E-3</v>
      </c>
      <c r="R41" s="30">
        <v>0.99665147711785196</v>
      </c>
      <c r="S41" s="16">
        <v>-5.1000000000000004E-3</v>
      </c>
      <c r="T41" s="17">
        <v>0.99669278122676097</v>
      </c>
      <c r="U41" s="29">
        <v>-1.0800000000000001E-2</v>
      </c>
      <c r="V41" s="30">
        <v>0.99698295671159998</v>
      </c>
      <c r="W41" s="16">
        <v>1.9E-2</v>
      </c>
      <c r="X41" s="17">
        <v>0.99660397622290497</v>
      </c>
      <c r="Y41" s="29">
        <v>9.2999999999999992E-3</v>
      </c>
      <c r="Z41" s="30">
        <v>0.99679204523536502</v>
      </c>
    </row>
    <row r="42" spans="2:26" x14ac:dyDescent="0.25">
      <c r="B42" s="10" t="s">
        <v>37</v>
      </c>
      <c r="C42" s="8">
        <v>2.9999999999999997E-4</v>
      </c>
      <c r="D42" s="9">
        <v>1.13943147919017E-3</v>
      </c>
      <c r="E42" s="25">
        <v>-1.6000000000000001E-3</v>
      </c>
      <c r="F42" s="26">
        <v>1.88179441478217E-3</v>
      </c>
      <c r="G42" s="8">
        <v>1E-4</v>
      </c>
      <c r="H42" s="9">
        <v>1.84946721103809E-3</v>
      </c>
      <c r="I42" s="25">
        <v>0</v>
      </c>
      <c r="J42" s="26">
        <v>1.8269979902302599E-3</v>
      </c>
      <c r="K42" s="8">
        <v>-9.9999999999999503E-5</v>
      </c>
      <c r="L42" s="9">
        <v>2.0125814091371901E-3</v>
      </c>
      <c r="M42" s="25">
        <v>1E-4</v>
      </c>
      <c r="N42" s="26">
        <v>1.93607742077309E-3</v>
      </c>
      <c r="O42" s="8">
        <v>0</v>
      </c>
      <c r="P42" s="9">
        <v>2.21143500630833E-3</v>
      </c>
      <c r="Q42" s="25">
        <v>0</v>
      </c>
      <c r="R42" s="26">
        <v>3.3485228821485001E-3</v>
      </c>
      <c r="S42" s="8">
        <v>-1E-4</v>
      </c>
      <c r="T42" s="9">
        <v>3.3072187732387198E-3</v>
      </c>
      <c r="U42" s="25">
        <v>-2.0000000000000001E-4</v>
      </c>
      <c r="V42" s="26">
        <v>3.01704328840022E-3</v>
      </c>
      <c r="W42" s="8">
        <v>5.0000000000000196E-4</v>
      </c>
      <c r="X42" s="9">
        <v>3.39602377709519E-3</v>
      </c>
      <c r="Y42" s="25">
        <v>5.5511151231257799E-19</v>
      </c>
      <c r="Z42" s="26">
        <v>3.2079547646350001E-3</v>
      </c>
    </row>
    <row r="43" spans="2:26" x14ac:dyDescent="0.25">
      <c r="B43" s="11" t="s">
        <v>33</v>
      </c>
      <c r="C43" s="12">
        <v>8.0000000000000002E-3</v>
      </c>
      <c r="D43" s="13">
        <v>1</v>
      </c>
      <c r="E43" s="27">
        <v>-1.6400000000000001E-2</v>
      </c>
      <c r="F43" s="28">
        <v>1</v>
      </c>
      <c r="G43" s="12">
        <v>1.04E-2</v>
      </c>
      <c r="H43" s="13">
        <v>1</v>
      </c>
      <c r="I43" s="27">
        <v>2E-3</v>
      </c>
      <c r="J43" s="28">
        <v>1</v>
      </c>
      <c r="K43" s="12">
        <v>8.8999999999999999E-3</v>
      </c>
      <c r="L43" s="13">
        <v>1</v>
      </c>
      <c r="M43" s="27">
        <v>2.5000000000000001E-3</v>
      </c>
      <c r="N43" s="28">
        <v>1</v>
      </c>
      <c r="O43" s="12">
        <v>2.7000000000000001E-3</v>
      </c>
      <c r="P43" s="13">
        <v>1</v>
      </c>
      <c r="Q43" s="27">
        <v>3.5999999999999999E-3</v>
      </c>
      <c r="R43" s="28">
        <v>1</v>
      </c>
      <c r="S43" s="12">
        <v>-5.1999999999999998E-3</v>
      </c>
      <c r="T43" s="13">
        <v>1</v>
      </c>
      <c r="U43" s="27">
        <v>-1.0999999999999999E-2</v>
      </c>
      <c r="V43" s="28">
        <v>1</v>
      </c>
      <c r="W43" s="12">
        <v>1.95E-2</v>
      </c>
      <c r="X43" s="13">
        <v>1</v>
      </c>
      <c r="Y43" s="27">
        <v>9.2999999999999992E-3</v>
      </c>
      <c r="Z43" s="28">
        <v>1</v>
      </c>
    </row>
    <row r="45" spans="2:26" ht="15.75" x14ac:dyDescent="0.25">
      <c r="C45" s="41" t="s">
        <v>0</v>
      </c>
      <c r="D45" s="42"/>
      <c r="E45" s="42"/>
      <c r="F45" s="42"/>
      <c r="G45" s="42"/>
      <c r="H45" s="42"/>
      <c r="I45" s="42"/>
      <c r="J45" s="43"/>
    </row>
    <row r="46" spans="2:26" ht="15.75" x14ac:dyDescent="0.25">
      <c r="B46" s="21" t="s">
        <v>38</v>
      </c>
      <c r="C46" s="48" t="s">
        <v>45</v>
      </c>
      <c r="D46" s="49"/>
      <c r="E46" s="50" t="s">
        <v>46</v>
      </c>
      <c r="F46" s="51"/>
      <c r="G46" s="48" t="s">
        <v>47</v>
      </c>
      <c r="H46" s="49"/>
      <c r="I46" s="50" t="s">
        <v>48</v>
      </c>
      <c r="J46" s="51"/>
    </row>
    <row r="47" spans="2:26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 x14ac:dyDescent="0.25">
      <c r="B48" s="7" t="s">
        <v>5</v>
      </c>
      <c r="C48" s="8">
        <v>2.000099999999172E-4</v>
      </c>
      <c r="D48" s="9">
        <v>9.9951687944630201E-3</v>
      </c>
      <c r="E48" s="25">
        <v>3.0003000099987354E-4</v>
      </c>
      <c r="F48" s="26">
        <v>6.22910123881834E-4</v>
      </c>
      <c r="G48" s="8">
        <v>3.0003000099987354E-4</v>
      </c>
      <c r="H48" s="9">
        <v>8.5043278255653404E-4</v>
      </c>
      <c r="I48" s="25">
        <v>6.001500200012444E-4</v>
      </c>
      <c r="J48" s="26">
        <v>7.9017519705776706E-3</v>
      </c>
    </row>
    <row r="49" spans="2:10" x14ac:dyDescent="0.25">
      <c r="B49" s="10" t="s">
        <v>7</v>
      </c>
      <c r="C49" s="8">
        <v>1.4158567719999571E-3</v>
      </c>
      <c r="D49" s="9">
        <v>0.769597353127629</v>
      </c>
      <c r="E49" s="25">
        <v>9.237116635018694E-3</v>
      </c>
      <c r="F49" s="26">
        <v>0.77996931957973603</v>
      </c>
      <c r="G49" s="8">
        <v>8.5202670365605027E-3</v>
      </c>
      <c r="H49" s="9">
        <v>0.77363308858757995</v>
      </c>
      <c r="I49" s="25">
        <v>1.844092067474179E-2</v>
      </c>
      <c r="J49" s="26">
        <v>0.76766290676013405</v>
      </c>
    </row>
    <row r="50" spans="2:10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</row>
    <row r="51" spans="2:10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</row>
    <row r="52" spans="2:10" x14ac:dyDescent="0.25">
      <c r="B52" s="10" t="s">
        <v>13</v>
      </c>
      <c r="C52" s="8">
        <v>1.4762764499998027E-3</v>
      </c>
      <c r="D52" s="9">
        <v>0.216076556734836</v>
      </c>
      <c r="E52" s="25">
        <v>6.9936744078216151E-3</v>
      </c>
      <c r="F52" s="26">
        <v>0.21455964630251001</v>
      </c>
      <c r="G52" s="8">
        <v>8.8045983665545613E-3</v>
      </c>
      <c r="H52" s="9">
        <v>0.22220925985662501</v>
      </c>
      <c r="I52" s="25">
        <v>1.6156722872605833E-2</v>
      </c>
      <c r="J52" s="26">
        <v>0.22122738650465401</v>
      </c>
    </row>
    <row r="53" spans="2:10" x14ac:dyDescent="0.25">
      <c r="B53" s="10" t="s">
        <v>15</v>
      </c>
      <c r="C53" s="8">
        <v>-9.9999999999988987E-5</v>
      </c>
      <c r="D53" s="9">
        <v>1.73213154413523E-3</v>
      </c>
      <c r="E53" s="25">
        <v>-9.9999999999988987E-5</v>
      </c>
      <c r="F53" s="26">
        <v>1.9692544559413898E-3</v>
      </c>
      <c r="G53" s="8">
        <v>-9.9999999999988987E-5</v>
      </c>
      <c r="H53" s="9">
        <v>3.3085598368081401E-3</v>
      </c>
      <c r="I53" s="25">
        <v>-1.9999999878450581E-8</v>
      </c>
      <c r="J53" s="26">
        <v>3.13738113152242E-3</v>
      </c>
    </row>
    <row r="54" spans="2:10" x14ac:dyDescent="0.25">
      <c r="B54" s="10" t="s">
        <v>17</v>
      </c>
      <c r="C54" s="8">
        <v>0</v>
      </c>
      <c r="D54" s="9">
        <v>0</v>
      </c>
      <c r="E54" s="25">
        <v>0</v>
      </c>
      <c r="F54" s="26">
        <v>0</v>
      </c>
      <c r="G54" s="8">
        <v>0</v>
      </c>
      <c r="H54" s="9">
        <v>0</v>
      </c>
      <c r="I54" s="25">
        <v>0</v>
      </c>
      <c r="J54" s="26">
        <v>0</v>
      </c>
    </row>
    <row r="55" spans="2:10" x14ac:dyDescent="0.25">
      <c r="B55" s="10" t="s">
        <v>44</v>
      </c>
      <c r="C55" s="8">
        <v>9.9999999999988987E-5</v>
      </c>
      <c r="D55" s="9">
        <v>2.48145413203491E-3</v>
      </c>
      <c r="E55" s="25">
        <v>9.9999999999988987E-5</v>
      </c>
      <c r="F55" s="26">
        <v>2.9120465730979499E-3</v>
      </c>
      <c r="G55" s="8">
        <v>3.0003000099987354E-4</v>
      </c>
      <c r="H55" s="9">
        <v>0</v>
      </c>
      <c r="I55" s="25">
        <v>3.0003000099987354E-4</v>
      </c>
      <c r="J55" s="26">
        <v>0</v>
      </c>
    </row>
    <row r="56" spans="2:10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</row>
    <row r="57" spans="2:10" x14ac:dyDescent="0.25">
      <c r="B57" s="10" t="s">
        <v>22</v>
      </c>
      <c r="C57" s="8">
        <v>0</v>
      </c>
      <c r="D57" s="9">
        <v>0</v>
      </c>
      <c r="E57" s="25">
        <v>0</v>
      </c>
      <c r="F57" s="26">
        <v>0</v>
      </c>
      <c r="G57" s="8">
        <v>0</v>
      </c>
      <c r="H57" s="9">
        <v>0</v>
      </c>
      <c r="I57" s="25">
        <v>0</v>
      </c>
      <c r="J57" s="26">
        <v>0</v>
      </c>
    </row>
    <row r="58" spans="2:10" x14ac:dyDescent="0.25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>
        <v>0</v>
      </c>
      <c r="H58" s="9">
        <v>0</v>
      </c>
      <c r="I58" s="25">
        <v>0</v>
      </c>
      <c r="J58" s="26">
        <v>0</v>
      </c>
    </row>
    <row r="59" spans="2:10" x14ac:dyDescent="0.25">
      <c r="B59" s="10" t="s">
        <v>25</v>
      </c>
      <c r="C59" s="8">
        <v>-1.1005700450000822E-3</v>
      </c>
      <c r="D59" s="9">
        <v>-1.5575335428902501E-5</v>
      </c>
      <c r="E59" s="25">
        <v>-1.2004599879955613E-3</v>
      </c>
      <c r="F59" s="26">
        <v>-4.6650716489818697E-5</v>
      </c>
      <c r="G59" s="8">
        <v>-1.4002099080024921E-3</v>
      </c>
      <c r="H59" s="9">
        <v>-2.8808202232157899E-5</v>
      </c>
      <c r="I59" s="25">
        <v>-1.1006399599686745E-3</v>
      </c>
      <c r="J59" s="26">
        <v>7.0573776838456901E-5</v>
      </c>
    </row>
    <row r="60" spans="2:10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</row>
    <row r="61" spans="2:10" x14ac:dyDescent="0.25">
      <c r="B61" s="10" t="s">
        <v>27</v>
      </c>
      <c r="C61" s="8">
        <v>0</v>
      </c>
      <c r="D61" s="9">
        <v>7.6565264225447806E-5</v>
      </c>
      <c r="E61" s="25">
        <v>0</v>
      </c>
      <c r="F61" s="26">
        <v>0</v>
      </c>
      <c r="G61" s="8">
        <v>0</v>
      </c>
      <c r="H61" s="9">
        <v>0</v>
      </c>
      <c r="I61" s="25">
        <v>0</v>
      </c>
      <c r="J61" s="26">
        <v>0</v>
      </c>
    </row>
    <row r="62" spans="2:10" x14ac:dyDescent="0.25">
      <c r="B62" s="10" t="s">
        <v>28</v>
      </c>
      <c r="C62" s="8">
        <v>0</v>
      </c>
      <c r="D62" s="9">
        <v>0</v>
      </c>
      <c r="E62" s="25">
        <v>0</v>
      </c>
      <c r="F62" s="26">
        <v>0</v>
      </c>
      <c r="G62" s="8">
        <v>0</v>
      </c>
      <c r="H62" s="9">
        <v>0</v>
      </c>
      <c r="I62" s="25">
        <v>0</v>
      </c>
      <c r="J62" s="26">
        <v>0</v>
      </c>
    </row>
    <row r="63" spans="2:10" x14ac:dyDescent="0.25">
      <c r="B63" s="10" t="s">
        <v>29</v>
      </c>
      <c r="C63" s="8">
        <v>0</v>
      </c>
      <c r="D63" s="9">
        <v>0</v>
      </c>
      <c r="E63" s="25">
        <v>0</v>
      </c>
      <c r="F63" s="26">
        <v>0</v>
      </c>
      <c r="G63" s="8">
        <v>0</v>
      </c>
      <c r="H63" s="9">
        <v>0</v>
      </c>
      <c r="I63" s="25">
        <v>0</v>
      </c>
      <c r="J63" s="26">
        <v>0</v>
      </c>
    </row>
    <row r="64" spans="2:10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</row>
    <row r="65" spans="2:10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</row>
    <row r="66" spans="2:10" x14ac:dyDescent="0.25">
      <c r="B66" s="10" t="s">
        <v>32</v>
      </c>
      <c r="C66" s="8">
        <v>-1.9998999999992773E-4</v>
      </c>
      <c r="D66" s="9">
        <v>5.6345738106002198E-5</v>
      </c>
      <c r="E66" s="25">
        <v>-1.0000999899995033E-4</v>
      </c>
      <c r="F66" s="26">
        <v>1.3473681322003701E-5</v>
      </c>
      <c r="G66" s="8">
        <v>-1.0001999799991168E-4</v>
      </c>
      <c r="H66" s="9">
        <v>2.7467138662865098E-5</v>
      </c>
      <c r="I66" s="25">
        <v>-2.0002999399970633E-4</v>
      </c>
      <c r="J66" s="26">
        <v>-1.4372590288053201E-10</v>
      </c>
    </row>
    <row r="67" spans="2:10" x14ac:dyDescent="0.25">
      <c r="B67" s="11" t="s">
        <v>42</v>
      </c>
      <c r="C67" s="12">
        <v>1.7915831769996669E-3</v>
      </c>
      <c r="D67" s="13">
        <v>1</v>
      </c>
      <c r="E67" s="35">
        <v>1.5230351056844671E-2</v>
      </c>
      <c r="F67" s="28">
        <v>1</v>
      </c>
      <c r="G67" s="12">
        <v>1.6324695499112418E-2</v>
      </c>
      <c r="H67" s="13">
        <v>1</v>
      </c>
      <c r="I67" s="27">
        <v>3.4197133614380482E-2</v>
      </c>
      <c r="J67" s="28">
        <v>1</v>
      </c>
    </row>
    <row r="68" spans="2:10" x14ac:dyDescent="0.25">
      <c r="B68" s="31" t="s">
        <v>39</v>
      </c>
      <c r="C68" s="39">
        <f>C28+E28+G28</f>
        <v>48.284269999999935</v>
      </c>
      <c r="D68" s="40"/>
      <c r="E68" s="37">
        <v>402.68466999999703</v>
      </c>
      <c r="F68" s="38"/>
      <c r="G68" s="39">
        <v>444.55858999999799</v>
      </c>
      <c r="H68" s="40"/>
      <c r="I68" s="37">
        <v>827.59857999999895</v>
      </c>
      <c r="J68" s="38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41" t="s">
        <v>0</v>
      </c>
      <c r="D70" s="42"/>
      <c r="E70" s="42"/>
      <c r="F70" s="42"/>
      <c r="G70" s="42"/>
      <c r="H70" s="42"/>
      <c r="I70" s="42"/>
      <c r="J70" s="43"/>
    </row>
    <row r="71" spans="2:10" ht="15.75" x14ac:dyDescent="0.25">
      <c r="B71" s="21" t="s">
        <v>38</v>
      </c>
      <c r="C71" s="48" t="s">
        <v>45</v>
      </c>
      <c r="D71" s="49"/>
      <c r="E71" s="50" t="s">
        <v>46</v>
      </c>
      <c r="F71" s="51"/>
      <c r="G71" s="48" t="s">
        <v>47</v>
      </c>
      <c r="H71" s="49"/>
      <c r="I71" s="50" t="s">
        <v>48</v>
      </c>
      <c r="J71" s="51"/>
    </row>
    <row r="72" spans="2:10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</row>
    <row r="73" spans="2:10" x14ac:dyDescent="0.25">
      <c r="B73" s="7" t="s">
        <v>34</v>
      </c>
      <c r="C73" s="8">
        <v>5.4876814200000013E-4</v>
      </c>
      <c r="D73" s="17">
        <v>0.96225477574368901</v>
      </c>
      <c r="E73" s="25">
        <v>1.2692485325515901E-2</v>
      </c>
      <c r="F73" s="30">
        <v>0.95435866587357598</v>
      </c>
      <c r="G73" s="8">
        <v>1.2267843635118458E-2</v>
      </c>
      <c r="H73" s="17">
        <v>0.96699078786368897</v>
      </c>
      <c r="I73" s="25">
        <v>3.0300000000000001E-2</v>
      </c>
      <c r="J73" s="30">
        <v>0.96742120116714603</v>
      </c>
    </row>
    <row r="74" spans="2:10" x14ac:dyDescent="0.25">
      <c r="B74" s="10" t="s">
        <v>35</v>
      </c>
      <c r="C74" s="8">
        <v>1.3994498500000895E-3</v>
      </c>
      <c r="D74" s="9">
        <v>3.7745224256310599E-2</v>
      </c>
      <c r="E74" s="25">
        <v>2.5008186914874386E-3</v>
      </c>
      <c r="F74" s="26">
        <v>4.5641334126424203E-2</v>
      </c>
      <c r="G74" s="8">
        <v>4.0051112699666103E-3</v>
      </c>
      <c r="H74" s="9">
        <v>3.3009212136311403E-2</v>
      </c>
      <c r="I74" s="25">
        <v>3.9034857521231814E-3</v>
      </c>
      <c r="J74" s="26">
        <v>3.2578798832853702E-2</v>
      </c>
    </row>
    <row r="75" spans="2:10" x14ac:dyDescent="0.25">
      <c r="B75" s="11" t="s">
        <v>42</v>
      </c>
      <c r="C75" s="12">
        <v>1.9482179920000896E-3</v>
      </c>
      <c r="D75" s="13">
        <v>1</v>
      </c>
      <c r="E75" s="35">
        <v>1.5193304017003339E-2</v>
      </c>
      <c r="F75" s="28">
        <v>1</v>
      </c>
      <c r="G75" s="12">
        <v>1.6272954905085069E-2</v>
      </c>
      <c r="H75" s="13">
        <v>1</v>
      </c>
      <c r="I75" s="27">
        <v>3.4203485752123182E-2</v>
      </c>
      <c r="J75" s="28">
        <v>1</v>
      </c>
    </row>
    <row r="76" spans="2:10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 x14ac:dyDescent="0.25">
      <c r="C77" s="41" t="s">
        <v>0</v>
      </c>
      <c r="D77" s="42"/>
      <c r="E77" s="42"/>
      <c r="F77" s="42"/>
      <c r="G77" s="42"/>
      <c r="H77" s="42"/>
      <c r="I77" s="42"/>
      <c r="J77" s="43"/>
    </row>
    <row r="78" spans="2:10" ht="15.75" x14ac:dyDescent="0.25">
      <c r="B78" s="21" t="s">
        <v>38</v>
      </c>
      <c r="C78" s="48" t="s">
        <v>45</v>
      </c>
      <c r="D78" s="49"/>
      <c r="E78" s="50" t="s">
        <v>46</v>
      </c>
      <c r="F78" s="51"/>
      <c r="G78" s="48" t="s">
        <v>47</v>
      </c>
      <c r="H78" s="49"/>
      <c r="I78" s="50" t="s">
        <v>48</v>
      </c>
      <c r="J78" s="51"/>
    </row>
    <row r="79" spans="2:10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</row>
    <row r="80" spans="2:10" x14ac:dyDescent="0.25">
      <c r="B80" s="7" t="s">
        <v>36</v>
      </c>
      <c r="C80" s="8">
        <v>3.1117362119999045E-3</v>
      </c>
      <c r="D80" s="17">
        <v>0.99815053278896204</v>
      </c>
      <c r="E80" s="25">
        <v>1.6398014972755372E-2</v>
      </c>
      <c r="F80" s="30">
        <v>0.99806392257922705</v>
      </c>
      <c r="G80" s="8">
        <v>1.7594864726324877E-2</v>
      </c>
      <c r="H80" s="17">
        <v>0.99669278122676097</v>
      </c>
      <c r="I80" s="25">
        <v>3.5200000000000002E-2</v>
      </c>
      <c r="J80" s="30">
        <v>0.99679204523536502</v>
      </c>
    </row>
    <row r="81" spans="2:10" x14ac:dyDescent="0.25">
      <c r="B81" s="10" t="s">
        <v>37</v>
      </c>
      <c r="C81" s="8">
        <v>-1.2006100480000947E-3</v>
      </c>
      <c r="D81" s="9">
        <v>1.84946721103809E-3</v>
      </c>
      <c r="E81" s="25">
        <v>-1.2006200359940822E-3</v>
      </c>
      <c r="F81" s="26">
        <v>1.93607742077309E-3</v>
      </c>
      <c r="G81" s="8">
        <v>-1.3004999739905099E-3</v>
      </c>
      <c r="H81" s="9">
        <v>3.3072187732387198E-3</v>
      </c>
      <c r="I81" s="25">
        <v>-1.0009899939327216E-3</v>
      </c>
      <c r="J81" s="26">
        <v>3.2079547646350001E-3</v>
      </c>
    </row>
    <row r="82" spans="2:10" x14ac:dyDescent="0.25">
      <c r="B82" s="11" t="s">
        <v>42</v>
      </c>
      <c r="C82" s="12">
        <v>1.9111261639998098E-3</v>
      </c>
      <c r="D82" s="13">
        <v>1</v>
      </c>
      <c r="E82" s="35">
        <v>1.519739493676129E-2</v>
      </c>
      <c r="F82" s="28">
        <v>1</v>
      </c>
      <c r="G82" s="12">
        <v>1.6294364752334367E-2</v>
      </c>
      <c r="H82" s="13">
        <v>1</v>
      </c>
      <c r="I82" s="27">
        <v>3.4199010006067281E-2</v>
      </c>
      <c r="J82" s="28">
        <v>1</v>
      </c>
    </row>
    <row r="84" spans="2:10" x14ac:dyDescent="0.25">
      <c r="G84" s="34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G28:H28"/>
    <mergeCell ref="M6:N6"/>
    <mergeCell ref="O28:P28"/>
    <mergeCell ref="Q32:R32"/>
    <mergeCell ref="S32:T32"/>
    <mergeCell ref="U32:V32"/>
    <mergeCell ref="W32:X32"/>
    <mergeCell ref="Y32:Z32"/>
    <mergeCell ref="C70:J70"/>
    <mergeCell ref="W6:X6"/>
    <mergeCell ref="C39:D39"/>
    <mergeCell ref="E39:F39"/>
    <mergeCell ref="G39:H39"/>
    <mergeCell ref="I39:J39"/>
    <mergeCell ref="K39:L39"/>
    <mergeCell ref="W39:X39"/>
    <mergeCell ref="M39:N39"/>
    <mergeCell ref="O39:P39"/>
    <mergeCell ref="Q39:R39"/>
    <mergeCell ref="S39:T39"/>
    <mergeCell ref="U39:V39"/>
    <mergeCell ref="U28:V28"/>
    <mergeCell ref="C68:D68"/>
    <mergeCell ref="E68:F68"/>
    <mergeCell ref="C78:D78"/>
    <mergeCell ref="E78:F78"/>
    <mergeCell ref="G78:H78"/>
    <mergeCell ref="I78:J78"/>
    <mergeCell ref="C71:D71"/>
    <mergeCell ref="E71:F71"/>
    <mergeCell ref="G71:H71"/>
    <mergeCell ref="I71:J71"/>
    <mergeCell ref="C77:J77"/>
    <mergeCell ref="C46:D46"/>
    <mergeCell ref="E46:F46"/>
    <mergeCell ref="G46:H46"/>
    <mergeCell ref="I46:J46"/>
    <mergeCell ref="Y39:Z39"/>
    <mergeCell ref="U6:V6"/>
    <mergeCell ref="C28:D28"/>
    <mergeCell ref="C31:Z31"/>
    <mergeCell ref="C38:Z38"/>
    <mergeCell ref="C45:J45"/>
    <mergeCell ref="S28:T28"/>
    <mergeCell ref="W28:X28"/>
    <mergeCell ref="Y28:Z28"/>
    <mergeCell ref="Y6:Z6"/>
    <mergeCell ref="C32:D32"/>
    <mergeCell ref="E32:F32"/>
    <mergeCell ref="G32:H32"/>
    <mergeCell ref="I32:J32"/>
    <mergeCell ref="K32:L32"/>
    <mergeCell ref="M32:N32"/>
    <mergeCell ref="O32:P32"/>
    <mergeCell ref="I68:J68"/>
    <mergeCell ref="G68:H68"/>
    <mergeCell ref="C5:Z5"/>
    <mergeCell ref="I28:J28"/>
    <mergeCell ref="K28:L28"/>
    <mergeCell ref="Q28:R28"/>
    <mergeCell ref="E28:F28"/>
    <mergeCell ref="M28:N28"/>
    <mergeCell ref="C6:D6"/>
    <mergeCell ref="E6:F6"/>
    <mergeCell ref="G6:H6"/>
    <mergeCell ref="I6:J6"/>
    <mergeCell ref="K6:L6"/>
    <mergeCell ref="O6:P6"/>
    <mergeCell ref="Q6:R6"/>
    <mergeCell ref="S6:T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purl.org/dc/elements/1.1/"/>
    <ds:schemaRef ds:uri="http://purl.org/dc/terms/"/>
    <ds:schemaRef ds:uri="a46656d4-8850-49b3-aebd-68bd05f7f43d"/>
    <ds:schemaRef ds:uri="http://schemas.microsoft.com/sharepoint/v3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2024-01-23T13:48:33Z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