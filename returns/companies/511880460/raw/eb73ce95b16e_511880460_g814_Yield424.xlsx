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G73" i="6" l="1"/>
  <c r="G75" i="6" s="1"/>
  <c r="G67" i="6"/>
  <c r="G66" i="6"/>
  <c r="G65" i="6"/>
  <c r="G64" i="6"/>
  <c r="G63" i="6"/>
  <c r="G62" i="6"/>
  <c r="G61" i="6"/>
  <c r="G60" i="6"/>
  <c r="G58" i="6"/>
  <c r="G57" i="6"/>
  <c r="G56" i="6"/>
  <c r="G55" i="6"/>
  <c r="G54" i="6"/>
  <c r="G53" i="6"/>
  <c r="G52" i="6"/>
  <c r="G51" i="6"/>
  <c r="G50" i="6"/>
  <c r="G49" i="6"/>
  <c r="G48" i="6"/>
  <c r="C82" i="6" l="1"/>
  <c r="C75" i="6"/>
  <c r="C67" i="6" l="1"/>
</calcChain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<sst xmlns="http://schemas.openxmlformats.org/spreadsheetml/2006/main" count="194" uniqueCount="51">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</sst>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wrapText="1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zoomScale="69" zoomScaleNormal="69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40" t="s">
        <v>49</v>
      </c>
    </row>
    <row r="2" spans="2:31" ht="18.75" x14ac:dyDescent="0.3">
      <c r="B2" s="19" t="s">
        <v>43</v>
      </c>
      <c r="AA2" s="40"/>
    </row>
    <row r="3" spans="2:31" ht="18.75" x14ac:dyDescent="0.3">
      <c r="B3" s="20" t="s">
        <v>50</v>
      </c>
      <c r="C3" s="22" t="s">
        <v>40</v>
      </c>
      <c r="AA3" s="40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40"/>
      <c r="AE4" s="1">
        <v>2016</v>
      </c>
    </row>
    <row r="5" spans="2:31" ht="15.75" x14ac:dyDescent="0.25">
      <c r="B5" s="2"/>
      <c r="C5" s="51" t="s">
        <v>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/>
      <c r="AA5" s="40"/>
      <c r="AE5" s="3" t="s">
        <v>1</v>
      </c>
    </row>
    <row r="6" spans="2:31" ht="15.75" x14ac:dyDescent="0.25">
      <c r="B6" s="21" t="s">
        <v>41</v>
      </c>
      <c r="C6" s="43">
        <v>45292</v>
      </c>
      <c r="D6" s="44"/>
      <c r="E6" s="45">
        <v>45323</v>
      </c>
      <c r="F6" s="46"/>
      <c r="G6" s="43">
        <v>45352</v>
      </c>
      <c r="H6" s="44"/>
      <c r="I6" s="45">
        <v>45383</v>
      </c>
      <c r="J6" s="46"/>
      <c r="K6" s="43">
        <v>45413</v>
      </c>
      <c r="L6" s="44"/>
      <c r="M6" s="45">
        <v>45444</v>
      </c>
      <c r="N6" s="46"/>
      <c r="O6" s="43">
        <v>45474</v>
      </c>
      <c r="P6" s="44"/>
      <c r="Q6" s="45">
        <v>45505</v>
      </c>
      <c r="R6" s="46"/>
      <c r="S6" s="43">
        <v>45536</v>
      </c>
      <c r="T6" s="44"/>
      <c r="U6" s="45">
        <v>45566</v>
      </c>
      <c r="V6" s="46"/>
      <c r="W6" s="43">
        <v>45597</v>
      </c>
      <c r="X6" s="44"/>
      <c r="Y6" s="45">
        <v>45627</v>
      </c>
      <c r="Z6" s="46"/>
      <c r="AA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40"/>
      <c r="AE7" s="3" t="s">
        <v>6</v>
      </c>
    </row>
    <row r="8" spans="2:31" x14ac:dyDescent="0.25">
      <c r="B8" s="7" t="s">
        <v>5</v>
      </c>
      <c r="C8" s="8">
        <v>8.0000000000000004E-4</v>
      </c>
      <c r="D8" s="9">
        <v>0.173675621432337</v>
      </c>
      <c r="E8" s="25">
        <v>4.0000000000000002E-4</v>
      </c>
      <c r="F8" s="26">
        <v>0.15415411438026499</v>
      </c>
      <c r="G8" s="8">
        <v>8.0000000000000004E-4</v>
      </c>
      <c r="H8" s="9">
        <v>0.19384161942398501</v>
      </c>
      <c r="I8" s="25">
        <v>8.0000000000000004E-4</v>
      </c>
      <c r="J8" s="26">
        <v>0.14236424747516699</v>
      </c>
      <c r="K8" s="8">
        <v>1E-4</v>
      </c>
      <c r="L8" s="9">
        <v>0.159321966765373</v>
      </c>
      <c r="M8" s="25">
        <v>1.6000000000000001E-3</v>
      </c>
      <c r="N8" s="26">
        <v>0.140905360326985</v>
      </c>
      <c r="O8" s="8">
        <v>5.0000000000000001E-4</v>
      </c>
      <c r="P8" s="9">
        <v>0.17947320348719401</v>
      </c>
      <c r="Q8" s="25">
        <v>-1.8E-3</v>
      </c>
      <c r="R8" s="26">
        <v>0.18369873867592901</v>
      </c>
      <c r="S8" s="8">
        <v>2.2000000000000001E-3</v>
      </c>
      <c r="T8" s="9">
        <v>0.18081540120893599</v>
      </c>
      <c r="U8" s="25">
        <v>-2.9999999999999997E-4</v>
      </c>
      <c r="V8" s="26">
        <v>0.18181252551006499</v>
      </c>
      <c r="W8" s="8">
        <v>-1.5E-3</v>
      </c>
      <c r="X8" s="9">
        <v>0.18445300177408699</v>
      </c>
      <c r="Y8" s="25">
        <v>1.9E-3</v>
      </c>
      <c r="Z8" s="26">
        <v>0.19235992365865801</v>
      </c>
      <c r="AA8" s="40"/>
      <c r="AE8" s="3" t="s">
        <v>8</v>
      </c>
    </row>
    <row r="9" spans="2:31" x14ac:dyDescent="0.25">
      <c r="B9" s="10" t="s">
        <v>7</v>
      </c>
      <c r="C9" s="8">
        <v>1E-3</v>
      </c>
      <c r="D9" s="9">
        <v>0.27237221093053998</v>
      </c>
      <c r="E9" s="25">
        <v>4.0000000000000002E-4</v>
      </c>
      <c r="F9" s="26">
        <v>0.27638158213117697</v>
      </c>
      <c r="G9" s="8">
        <v>1.9E-3</v>
      </c>
      <c r="H9" s="9">
        <v>0.28274093016152402</v>
      </c>
      <c r="I9" s="25">
        <v>1.5E-3</v>
      </c>
      <c r="J9" s="26">
        <v>0.33922713100724</v>
      </c>
      <c r="K9" s="8">
        <v>8.0000000000000004E-4</v>
      </c>
      <c r="L9" s="9">
        <v>0.33763736430851499</v>
      </c>
      <c r="M9" s="25">
        <v>2.0999999999999999E-3</v>
      </c>
      <c r="N9" s="26">
        <v>0.37166564702204502</v>
      </c>
      <c r="O9" s="8">
        <v>1.6000000000000001E-3</v>
      </c>
      <c r="P9" s="9">
        <v>0.35793578318930003</v>
      </c>
      <c r="Q9" s="25">
        <v>-5.0000000000000001E-4</v>
      </c>
      <c r="R9" s="26">
        <v>0.35166222061228403</v>
      </c>
      <c r="S9" s="8">
        <v>1.9E-3</v>
      </c>
      <c r="T9" s="9">
        <v>0.35314940219990798</v>
      </c>
      <c r="U9" s="25">
        <v>1.4E-3</v>
      </c>
      <c r="V9" s="26">
        <v>0.35919344740321202</v>
      </c>
      <c r="W9" s="8">
        <v>5.9999999999999995E-4</v>
      </c>
      <c r="X9" s="9">
        <v>0.33785374057739398</v>
      </c>
      <c r="Y9" s="25">
        <v>1.8E-3</v>
      </c>
      <c r="Z9" s="26">
        <v>0.37265237592866801</v>
      </c>
      <c r="AA9" s="40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40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40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40"/>
      <c r="AE12" s="3" t="s">
        <v>16</v>
      </c>
    </row>
    <row r="13" spans="2:31" x14ac:dyDescent="0.25">
      <c r="B13" s="10" t="s">
        <v>15</v>
      </c>
      <c r="C13" s="8">
        <v>0</v>
      </c>
      <c r="D13" s="9">
        <v>7.0853681960562102E-6</v>
      </c>
      <c r="E13" s="25">
        <v>0</v>
      </c>
      <c r="F13" s="26">
        <v>6.4472855102435197E-6</v>
      </c>
      <c r="G13" s="8">
        <v>0</v>
      </c>
      <c r="H13" s="9">
        <v>5.8192163656317596E-6</v>
      </c>
      <c r="I13" s="25">
        <v>0</v>
      </c>
      <c r="J13" s="26">
        <v>7.0921298883829201E-6</v>
      </c>
      <c r="K13" s="8">
        <v>0</v>
      </c>
      <c r="L13" s="9">
        <v>6.5775897317298396E-6</v>
      </c>
      <c r="M13" s="25">
        <v>0</v>
      </c>
      <c r="N13" s="26">
        <v>6.2076645188572796E-6</v>
      </c>
      <c r="O13" s="8">
        <v>0</v>
      </c>
      <c r="P13" s="9">
        <v>5.8916820241461402E-6</v>
      </c>
      <c r="Q13" s="25">
        <v>0</v>
      </c>
      <c r="R13" s="26">
        <v>5.7159035202526698E-6</v>
      </c>
      <c r="S13" s="8">
        <v>0</v>
      </c>
      <c r="T13" s="9">
        <v>5.4240556453375996E-6</v>
      </c>
      <c r="U13" s="25">
        <v>0</v>
      </c>
      <c r="V13" s="26">
        <v>5.3055244794917202E-6</v>
      </c>
      <c r="W13" s="8">
        <v>0</v>
      </c>
      <c r="X13" s="9">
        <v>4.9925607481119301E-6</v>
      </c>
      <c r="Y13" s="25">
        <v>0</v>
      </c>
      <c r="Z13" s="26">
        <v>4.7793445129389799E-6</v>
      </c>
      <c r="AA13" s="40"/>
      <c r="AE13" s="3" t="s">
        <v>18</v>
      </c>
    </row>
    <row r="14" spans="2:31" x14ac:dyDescent="0.25">
      <c r="B14" s="10" t="s">
        <v>17</v>
      </c>
      <c r="C14" s="8">
        <v>-1.1999999999999999E-3</v>
      </c>
      <c r="D14" s="9">
        <v>0.20693628319735799</v>
      </c>
      <c r="E14" s="25">
        <v>1.1900000000000001E-2</v>
      </c>
      <c r="F14" s="26">
        <v>0.212265391878974</v>
      </c>
      <c r="G14" s="8">
        <v>6.1000000000000004E-3</v>
      </c>
      <c r="H14" s="9">
        <v>0.20290048671383801</v>
      </c>
      <c r="I14" s="25">
        <v>-7.7000000000000002E-3</v>
      </c>
      <c r="J14" s="26">
        <v>0.19867185070014101</v>
      </c>
      <c r="K14" s="8">
        <v>1.2999999999999999E-3</v>
      </c>
      <c r="L14" s="9">
        <v>0.18914525605899099</v>
      </c>
      <c r="M14" s="25">
        <v>-3.3999999999999998E-3</v>
      </c>
      <c r="N14" s="26">
        <v>0.17604469299778699</v>
      </c>
      <c r="O14" s="8">
        <v>4.0000000000000001E-3</v>
      </c>
      <c r="P14" s="9">
        <v>0.17651482743970601</v>
      </c>
      <c r="Q14" s="25">
        <v>7.6E-3</v>
      </c>
      <c r="R14" s="26">
        <v>0.18605724579219199</v>
      </c>
      <c r="S14" s="8">
        <v>3.8999999999999998E-3</v>
      </c>
      <c r="T14" s="9">
        <v>0.186303403525514</v>
      </c>
      <c r="U14" s="25">
        <v>8.6E-3</v>
      </c>
      <c r="V14" s="26">
        <v>0.19573831904563299</v>
      </c>
      <c r="W14" s="8">
        <v>1.0200000000000001E-2</v>
      </c>
      <c r="X14" s="9">
        <v>0.20084291637923901</v>
      </c>
      <c r="Y14" s="25">
        <v>0.01</v>
      </c>
      <c r="Z14" s="26">
        <v>0.20898763302434001</v>
      </c>
      <c r="AA14" s="40"/>
      <c r="AE14" s="3" t="s">
        <v>19</v>
      </c>
    </row>
    <row r="15" spans="2:31" x14ac:dyDescent="0.25">
      <c r="B15" s="10" t="s">
        <v>44</v>
      </c>
      <c r="C15" s="8">
        <v>3.5999999999999999E-3</v>
      </c>
      <c r="D15" s="9">
        <v>0.33030859415303698</v>
      </c>
      <c r="E15" s="25">
        <v>1.35E-2</v>
      </c>
      <c r="F15" s="26">
        <v>0.32298821367021302</v>
      </c>
      <c r="G15" s="8">
        <v>1.6E-2</v>
      </c>
      <c r="H15" s="9">
        <v>0.31054074761644501</v>
      </c>
      <c r="I15" s="25">
        <v>-7.7999999999999996E-3</v>
      </c>
      <c r="J15" s="26">
        <v>0.29967092483917401</v>
      </c>
      <c r="K15" s="8">
        <v>9.5999999999999992E-3</v>
      </c>
      <c r="L15" s="9">
        <v>0.29044740330920199</v>
      </c>
      <c r="M15" s="25">
        <v>1.11E-2</v>
      </c>
      <c r="N15" s="26">
        <v>0.28860763982792398</v>
      </c>
      <c r="O15" s="8">
        <v>3.8E-3</v>
      </c>
      <c r="P15" s="9">
        <v>0.28157235085304599</v>
      </c>
      <c r="Q15" s="25">
        <v>-2.5000000000000001E-3</v>
      </c>
      <c r="R15" s="26">
        <v>0.270387463319885</v>
      </c>
      <c r="S15" s="8">
        <v>1.2200000000000001E-2</v>
      </c>
      <c r="T15" s="9">
        <v>0.26813555088739499</v>
      </c>
      <c r="U15" s="25">
        <v>-1E-4</v>
      </c>
      <c r="V15" s="26">
        <v>0.26161204148676898</v>
      </c>
      <c r="W15" s="8">
        <v>8.3999999999999995E-3</v>
      </c>
      <c r="X15" s="9">
        <v>0.25392021277914401</v>
      </c>
      <c r="Y15" s="25">
        <v>4.0000000000000002E-4</v>
      </c>
      <c r="Z15" s="26">
        <v>0.243133336897039</v>
      </c>
      <c r="AA15" s="40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40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40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5.5869270151088498E-6</v>
      </c>
      <c r="I18" s="25">
        <v>0</v>
      </c>
      <c r="J18" s="26">
        <v>4.5533303525619599E-6</v>
      </c>
      <c r="K18" s="8">
        <v>0</v>
      </c>
      <c r="L18" s="9">
        <v>5.3476061010224898E-6</v>
      </c>
      <c r="M18" s="25">
        <v>0</v>
      </c>
      <c r="N18" s="26">
        <v>7.3870174895886303E-6</v>
      </c>
      <c r="O18" s="8">
        <v>0</v>
      </c>
      <c r="P18" s="9">
        <v>1.03093111522593E-5</v>
      </c>
      <c r="Q18" s="25">
        <v>-1E-4</v>
      </c>
      <c r="R18" s="26">
        <v>9.3302794065521692E-6</v>
      </c>
      <c r="S18" s="8">
        <v>0</v>
      </c>
      <c r="T18" s="9">
        <v>8.3109061889893103E-6</v>
      </c>
      <c r="U18" s="25">
        <v>0</v>
      </c>
      <c r="V18" s="26">
        <v>8.9367984427909608E-6</v>
      </c>
      <c r="W18" s="8">
        <v>1E-4</v>
      </c>
      <c r="X18" s="9">
        <v>1.02149746225751E-5</v>
      </c>
      <c r="Y18" s="25">
        <v>-2.0000000000000001E-4</v>
      </c>
      <c r="Z18" s="26">
        <v>1.55981173907138E-5</v>
      </c>
      <c r="AA18" s="40"/>
      <c r="AE18" s="3"/>
    </row>
    <row r="19" spans="2:31" x14ac:dyDescent="0.25">
      <c r="B19" s="10" t="s">
        <v>25</v>
      </c>
      <c r="C19" s="8">
        <v>3.8999999999999998E-3</v>
      </c>
      <c r="D19" s="9">
        <v>1.75577077766031E-2</v>
      </c>
      <c r="E19" s="25">
        <v>2.0500000000000001E-2</v>
      </c>
      <c r="F19" s="26">
        <v>3.5050390016279499E-2</v>
      </c>
      <c r="G19" s="8">
        <v>1.32E-2</v>
      </c>
      <c r="H19" s="9">
        <v>9.1483599021141802E-3</v>
      </c>
      <c r="I19" s="25">
        <v>-2.1600000000000001E-2</v>
      </c>
      <c r="J19" s="26">
        <v>-1.0731335097034E-2</v>
      </c>
      <c r="K19" s="8">
        <v>1.72E-2</v>
      </c>
      <c r="L19" s="9">
        <v>5.9338892922099996E-3</v>
      </c>
      <c r="M19" s="25">
        <v>1.5800000000000002E-2</v>
      </c>
      <c r="N19" s="26">
        <v>2.0525388868041501E-3</v>
      </c>
      <c r="O19" s="8">
        <v>2.7000000000000001E-3</v>
      </c>
      <c r="P19" s="9">
        <v>4.19734566180671E-3</v>
      </c>
      <c r="Q19" s="25">
        <v>5.4999999999999997E-3</v>
      </c>
      <c r="R19" s="26">
        <v>9.4996877639362994E-3</v>
      </c>
      <c r="S19" s="8">
        <v>1.29E-2</v>
      </c>
      <c r="T19" s="9">
        <v>1.35315758456316E-2</v>
      </c>
      <c r="U19" s="25">
        <v>-7.1000000000000004E-3</v>
      </c>
      <c r="V19" s="26">
        <v>4.5440057928103697E-3</v>
      </c>
      <c r="W19" s="8">
        <v>2.2800000000000001E-2</v>
      </c>
      <c r="X19" s="9">
        <v>2.5550970076626101E-2</v>
      </c>
      <c r="Y19" s="25">
        <v>-1.04E-2</v>
      </c>
      <c r="Z19" s="26">
        <v>-1.7701888594732901E-2</v>
      </c>
      <c r="AA19" s="40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40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40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40"/>
    </row>
    <row r="23" spans="2:31" x14ac:dyDescent="0.25">
      <c r="B23" s="10" t="s">
        <v>29</v>
      </c>
      <c r="C23" s="8">
        <v>-1E-4</v>
      </c>
      <c r="D23" s="9">
        <v>-1.1558388823843799E-3</v>
      </c>
      <c r="E23" s="25">
        <v>1E-4</v>
      </c>
      <c r="F23" s="26">
        <v>-1.4915636951456401E-3</v>
      </c>
      <c r="G23" s="8">
        <v>0</v>
      </c>
      <c r="H23" s="9">
        <v>8.16450037223367E-4</v>
      </c>
      <c r="I23" s="25">
        <v>-1E-4</v>
      </c>
      <c r="J23" s="26">
        <v>3.0460417834874898E-2</v>
      </c>
      <c r="K23" s="8">
        <v>-2.9999999999999997E-4</v>
      </c>
      <c r="L23" s="9">
        <v>1.6964251968560499E-2</v>
      </c>
      <c r="M23" s="25">
        <v>2.0000000000000001E-4</v>
      </c>
      <c r="N23" s="26">
        <v>2.0710526256005699E-2</v>
      </c>
      <c r="O23" s="8">
        <v>0</v>
      </c>
      <c r="P23" s="9">
        <v>-8.8644595461560499E-5</v>
      </c>
      <c r="Q23" s="25">
        <v>-1E-4</v>
      </c>
      <c r="R23" s="26">
        <v>-2.0394865022130798E-3</v>
      </c>
      <c r="S23" s="8">
        <v>0</v>
      </c>
      <c r="T23" s="9">
        <v>-1.94906862836858E-3</v>
      </c>
      <c r="U23" s="25">
        <v>0</v>
      </c>
      <c r="V23" s="26">
        <v>-3.20711975971318E-3</v>
      </c>
      <c r="W23" s="8">
        <v>1E-4</v>
      </c>
      <c r="X23" s="9">
        <v>-3.17170513008449E-3</v>
      </c>
      <c r="Y23" s="25">
        <v>-1E-4</v>
      </c>
      <c r="Z23" s="26">
        <v>5.4824162414816001E-4</v>
      </c>
      <c r="AA23" s="40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40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40"/>
    </row>
    <row r="26" spans="2:31" x14ac:dyDescent="0.25">
      <c r="B26" s="10" t="s">
        <v>32</v>
      </c>
      <c r="C26" s="8">
        <v>2.99999999999999E-4</v>
      </c>
      <c r="D26" s="9">
        <v>2.9833602431378201E-4</v>
      </c>
      <c r="E26" s="25">
        <v>5.00000000000005E-4</v>
      </c>
      <c r="F26" s="26">
        <v>6.4542433272710001E-4</v>
      </c>
      <c r="G26" s="8">
        <v>-1.1999999999999999E-3</v>
      </c>
      <c r="H26" s="9">
        <v>1.48904511984571E-12</v>
      </c>
      <c r="I26" s="25">
        <v>4.0000000000000099E-4</v>
      </c>
      <c r="J26" s="26">
        <v>3.2511778019567102E-4</v>
      </c>
      <c r="K26" s="8">
        <v>4.00000000000003E-4</v>
      </c>
      <c r="L26" s="9">
        <v>5.3794310131514902E-4</v>
      </c>
      <c r="M26" s="25">
        <v>-5.0000000000000196E-4</v>
      </c>
      <c r="N26" s="26">
        <v>4.4145581287735599E-13</v>
      </c>
      <c r="O26" s="8">
        <v>2.99999999999999E-4</v>
      </c>
      <c r="P26" s="9">
        <v>3.78932971232141E-4</v>
      </c>
      <c r="Q26" s="25">
        <v>2.99999999999999E-4</v>
      </c>
      <c r="R26" s="26">
        <v>7.1908415505944298E-4</v>
      </c>
      <c r="S26" s="8">
        <v>-6.0000000000000103E-4</v>
      </c>
      <c r="T26" s="9">
        <v>-8.5089539580973597E-13</v>
      </c>
      <c r="U26" s="25">
        <v>3.9999999999999899E-4</v>
      </c>
      <c r="V26" s="26">
        <v>2.9253819830093802E-4</v>
      </c>
      <c r="W26" s="8">
        <v>1.99999999999998E-4</v>
      </c>
      <c r="X26" s="9">
        <v>5.3565600822426602E-4</v>
      </c>
      <c r="Y26" s="25">
        <v>-6.9999999999999804E-4</v>
      </c>
      <c r="Z26" s="26">
        <v>-2.2471278310343101E-14</v>
      </c>
      <c r="AA26" s="40"/>
    </row>
    <row r="27" spans="2:31" x14ac:dyDescent="0.25">
      <c r="B27" s="11" t="s">
        <v>33</v>
      </c>
      <c r="C27" s="12">
        <v>8.3000000000000001E-3</v>
      </c>
      <c r="D27" s="13">
        <v>1</v>
      </c>
      <c r="E27" s="27">
        <v>4.7300000000000002E-2</v>
      </c>
      <c r="F27" s="28">
        <v>1</v>
      </c>
      <c r="G27" s="12">
        <v>3.6799999999999999E-2</v>
      </c>
      <c r="H27" s="13">
        <v>1</v>
      </c>
      <c r="I27" s="27">
        <v>-3.4500000000000003E-2</v>
      </c>
      <c r="J27" s="28">
        <v>1</v>
      </c>
      <c r="K27" s="12">
        <v>2.9100000000000001E-2</v>
      </c>
      <c r="L27" s="13">
        <v>1</v>
      </c>
      <c r="M27" s="27">
        <v>2.69E-2</v>
      </c>
      <c r="N27" s="28">
        <v>1</v>
      </c>
      <c r="O27" s="12">
        <v>1.29E-2</v>
      </c>
      <c r="P27" s="13">
        <v>1</v>
      </c>
      <c r="Q27" s="27">
        <v>8.3999999999999995E-3</v>
      </c>
      <c r="R27" s="28">
        <v>1</v>
      </c>
      <c r="S27" s="12">
        <v>3.2500000000000001E-2</v>
      </c>
      <c r="T27" s="13">
        <v>1</v>
      </c>
      <c r="U27" s="27">
        <v>2.8999999999999998E-3</v>
      </c>
      <c r="V27" s="28">
        <v>1</v>
      </c>
      <c r="W27" s="12">
        <v>4.0899999999999999E-2</v>
      </c>
      <c r="X27" s="13">
        <v>1</v>
      </c>
      <c r="Y27" s="27">
        <v>2.7000000000000001E-3</v>
      </c>
      <c r="Z27" s="28">
        <v>1</v>
      </c>
      <c r="AA27" s="40"/>
    </row>
    <row r="28" spans="2:31" x14ac:dyDescent="0.25">
      <c r="B28" s="31" t="s">
        <v>39</v>
      </c>
      <c r="C28" s="54">
        <v>17738.594219999799</v>
      </c>
      <c r="D28" s="55"/>
      <c r="E28" s="56">
        <v>110190.19572</v>
      </c>
      <c r="F28" s="57"/>
      <c r="G28" s="54">
        <v>95564.242719999995</v>
      </c>
      <c r="H28" s="55"/>
      <c r="I28" s="36">
        <v>-97715.340909999693</v>
      </c>
      <c r="J28" s="37"/>
      <c r="K28" s="38">
        <v>82750.961739999999</v>
      </c>
      <c r="L28" s="37"/>
      <c r="M28" s="36">
        <v>83401.092189999894</v>
      </c>
      <c r="N28" s="37"/>
      <c r="O28" s="38">
        <v>41790.128050009698</v>
      </c>
      <c r="P28" s="37"/>
      <c r="Q28" s="36">
        <v>28961.251630000101</v>
      </c>
      <c r="R28" s="37"/>
      <c r="S28" s="38">
        <v>115477.84514</v>
      </c>
      <c r="T28" s="37"/>
      <c r="U28" s="36">
        <v>10149.696170000199</v>
      </c>
      <c r="V28" s="37"/>
      <c r="W28" s="38">
        <v>154218.46106999999</v>
      </c>
      <c r="X28" s="37"/>
      <c r="Y28" s="36">
        <v>9355.0699500004193</v>
      </c>
      <c r="Z28" s="37"/>
      <c r="AA28" s="40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40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40"/>
    </row>
    <row r="31" spans="2:31" ht="15.75" x14ac:dyDescent="0.25">
      <c r="B31" s="14"/>
      <c r="C31" s="51" t="s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  <c r="AA31" s="40"/>
    </row>
    <row r="32" spans="2:31" ht="15.75" x14ac:dyDescent="0.25">
      <c r="B32" s="21" t="s">
        <v>41</v>
      </c>
      <c r="C32" s="43">
        <v>45292</v>
      </c>
      <c r="D32" s="44"/>
      <c r="E32" s="45">
        <v>45323</v>
      </c>
      <c r="F32" s="46"/>
      <c r="G32" s="43">
        <v>45352</v>
      </c>
      <c r="H32" s="44"/>
      <c r="I32" s="45">
        <v>45383</v>
      </c>
      <c r="J32" s="46"/>
      <c r="K32" s="43">
        <v>45413</v>
      </c>
      <c r="L32" s="44"/>
      <c r="M32" s="45">
        <v>45444</v>
      </c>
      <c r="N32" s="46"/>
      <c r="O32" s="43">
        <v>45474</v>
      </c>
      <c r="P32" s="44"/>
      <c r="Q32" s="45">
        <v>45505</v>
      </c>
      <c r="R32" s="46"/>
      <c r="S32" s="43">
        <v>45536</v>
      </c>
      <c r="T32" s="44"/>
      <c r="U32" s="45">
        <v>45566</v>
      </c>
      <c r="V32" s="46"/>
      <c r="W32" s="43">
        <v>45597</v>
      </c>
      <c r="X32" s="44"/>
      <c r="Y32" s="45">
        <v>45627</v>
      </c>
      <c r="Z32" s="46"/>
      <c r="AA32" s="40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40"/>
    </row>
    <row r="34" spans="2:27" x14ac:dyDescent="0.25">
      <c r="B34" s="7" t="s">
        <v>34</v>
      </c>
      <c r="C34" s="16">
        <v>5.9999999999999995E-4</v>
      </c>
      <c r="D34" s="17">
        <v>0.67594653919456904</v>
      </c>
      <c r="E34" s="29">
        <v>1.5800000000000002E-2</v>
      </c>
      <c r="F34" s="30">
        <v>0.64317116491315096</v>
      </c>
      <c r="G34" s="16">
        <v>4.5900000000000003E-2</v>
      </c>
      <c r="H34" s="17">
        <v>0.682320214123181</v>
      </c>
      <c r="I34" s="29">
        <v>-7.3000000000000001E-3</v>
      </c>
      <c r="J34" s="30">
        <v>0.70169754385181005</v>
      </c>
      <c r="K34" s="16">
        <v>-2.9999999999999997E-4</v>
      </c>
      <c r="L34" s="17">
        <v>0.69578889372409203</v>
      </c>
      <c r="M34" s="29">
        <v>-4.3E-3</v>
      </c>
      <c r="N34" s="30">
        <v>0.65959124162884797</v>
      </c>
      <c r="O34" s="16">
        <v>7.7000000000000002E-3</v>
      </c>
      <c r="P34" s="17">
        <v>0.66727703953905004</v>
      </c>
      <c r="Q34" s="29">
        <v>9.7000000000000003E-3</v>
      </c>
      <c r="R34" s="30">
        <v>0.69950266135125005</v>
      </c>
      <c r="S34" s="16">
        <v>6.3E-3</v>
      </c>
      <c r="T34" s="17">
        <v>0.699006899539792</v>
      </c>
      <c r="U34" s="29">
        <v>1.18E-2</v>
      </c>
      <c r="V34" s="30">
        <v>0.72706893522399596</v>
      </c>
      <c r="W34" s="16">
        <v>1.2E-2</v>
      </c>
      <c r="X34" s="17">
        <v>0.71589196716807302</v>
      </c>
      <c r="Y34" s="29">
        <v>1.54E-2</v>
      </c>
      <c r="Z34" s="30">
        <v>0.76119163960437197</v>
      </c>
      <c r="AA34" s="40"/>
    </row>
    <row r="35" spans="2:27" x14ac:dyDescent="0.25">
      <c r="B35" s="10" t="s">
        <v>35</v>
      </c>
      <c r="C35" s="8">
        <v>7.7000000000000002E-3</v>
      </c>
      <c r="D35" s="9">
        <v>0.32405346080543201</v>
      </c>
      <c r="E35" s="25">
        <v>3.15E-2</v>
      </c>
      <c r="F35" s="26">
        <v>0.35682883508684898</v>
      </c>
      <c r="G35" s="8">
        <v>-9.1000000000000004E-3</v>
      </c>
      <c r="H35" s="9">
        <v>0.317679785876819</v>
      </c>
      <c r="I35" s="25">
        <v>-2.7199999999999998E-2</v>
      </c>
      <c r="J35" s="26">
        <v>0.29830245614819001</v>
      </c>
      <c r="K35" s="8">
        <v>2.9399999999999999E-2</v>
      </c>
      <c r="L35" s="9">
        <v>0.30421110627590803</v>
      </c>
      <c r="M35" s="25">
        <v>3.1199999999999999E-2</v>
      </c>
      <c r="N35" s="26">
        <v>0.34040875837115198</v>
      </c>
      <c r="O35" s="8">
        <v>5.1999999999999998E-3</v>
      </c>
      <c r="P35" s="9">
        <v>0.33272296046095001</v>
      </c>
      <c r="Q35" s="25">
        <v>-1.2999999999999999E-3</v>
      </c>
      <c r="R35" s="26">
        <v>0.30049733864875</v>
      </c>
      <c r="S35" s="8">
        <v>2.6200000000000001E-2</v>
      </c>
      <c r="T35" s="9">
        <v>0.300993100460208</v>
      </c>
      <c r="U35" s="25">
        <v>-8.8999999999999999E-3</v>
      </c>
      <c r="V35" s="26">
        <v>0.27293106477600398</v>
      </c>
      <c r="W35" s="8">
        <v>2.8899999999999999E-2</v>
      </c>
      <c r="X35" s="9">
        <v>0.28410803283192698</v>
      </c>
      <c r="Y35" s="25">
        <v>-1.2699999999999999E-2</v>
      </c>
      <c r="Z35" s="26">
        <v>0.238808360395628</v>
      </c>
      <c r="AA35" s="40"/>
    </row>
    <row r="36" spans="2:27" x14ac:dyDescent="0.25">
      <c r="B36" s="11" t="s">
        <v>33</v>
      </c>
      <c r="C36" s="12">
        <v>8.3000000000000001E-3</v>
      </c>
      <c r="D36" s="13">
        <v>1</v>
      </c>
      <c r="E36" s="27">
        <v>4.7300000000000002E-2</v>
      </c>
      <c r="F36" s="28">
        <v>1</v>
      </c>
      <c r="G36" s="12">
        <v>3.6799999999999999E-2</v>
      </c>
      <c r="H36" s="13">
        <v>1</v>
      </c>
      <c r="I36" s="27">
        <v>-3.4500000000000003E-2</v>
      </c>
      <c r="J36" s="28">
        <v>1</v>
      </c>
      <c r="K36" s="12">
        <v>2.9100000000000001E-2</v>
      </c>
      <c r="L36" s="13">
        <v>1</v>
      </c>
      <c r="M36" s="27">
        <v>2.69E-2</v>
      </c>
      <c r="N36" s="28">
        <v>1</v>
      </c>
      <c r="O36" s="12">
        <v>1.29E-2</v>
      </c>
      <c r="P36" s="13">
        <v>1</v>
      </c>
      <c r="Q36" s="27">
        <v>8.3999999999999995E-3</v>
      </c>
      <c r="R36" s="28">
        <v>1</v>
      </c>
      <c r="S36" s="12">
        <v>3.2500000000000001E-2</v>
      </c>
      <c r="T36" s="13">
        <v>1</v>
      </c>
      <c r="U36" s="27">
        <v>2.8999999999999998E-3</v>
      </c>
      <c r="V36" s="28">
        <v>1</v>
      </c>
      <c r="W36" s="12">
        <v>4.0899999999999999E-2</v>
      </c>
      <c r="X36" s="13">
        <v>1</v>
      </c>
      <c r="Y36" s="27">
        <v>2.7000000000000001E-3</v>
      </c>
      <c r="Z36" s="28">
        <v>1</v>
      </c>
      <c r="AA36" s="40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40"/>
    </row>
    <row r="38" spans="2:27" ht="15.75" x14ac:dyDescent="0.25">
      <c r="C38" s="51" t="s">
        <v>0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  <c r="AA38" s="40"/>
    </row>
    <row r="39" spans="2:27" ht="15.75" x14ac:dyDescent="0.25">
      <c r="B39" s="21" t="s">
        <v>41</v>
      </c>
      <c r="C39" s="43">
        <v>45292</v>
      </c>
      <c r="D39" s="44"/>
      <c r="E39" s="45">
        <v>45323</v>
      </c>
      <c r="F39" s="46"/>
      <c r="G39" s="43">
        <v>45352</v>
      </c>
      <c r="H39" s="44"/>
      <c r="I39" s="45">
        <v>45383</v>
      </c>
      <c r="J39" s="46"/>
      <c r="K39" s="43">
        <v>45413</v>
      </c>
      <c r="L39" s="44"/>
      <c r="M39" s="45">
        <v>45444</v>
      </c>
      <c r="N39" s="46"/>
      <c r="O39" s="43">
        <v>45474</v>
      </c>
      <c r="P39" s="44"/>
      <c r="Q39" s="45">
        <v>45505</v>
      </c>
      <c r="R39" s="46"/>
      <c r="S39" s="43">
        <v>45536</v>
      </c>
      <c r="T39" s="44"/>
      <c r="U39" s="45">
        <v>45566</v>
      </c>
      <c r="V39" s="46"/>
      <c r="W39" s="43">
        <v>45597</v>
      </c>
      <c r="X39" s="44"/>
      <c r="Y39" s="45">
        <v>45627</v>
      </c>
      <c r="Z39" s="46"/>
      <c r="AA39" s="40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40"/>
    </row>
    <row r="41" spans="2:27" x14ac:dyDescent="0.25">
      <c r="B41" s="7" t="s">
        <v>36</v>
      </c>
      <c r="C41" s="16">
        <v>8.2000000000000007E-3</v>
      </c>
      <c r="D41" s="17">
        <v>0.998604271674711</v>
      </c>
      <c r="E41" s="29">
        <v>4.6300000000000001E-2</v>
      </c>
      <c r="F41" s="30">
        <v>0.99828274747464196</v>
      </c>
      <c r="G41" s="16">
        <v>7.85E-2</v>
      </c>
      <c r="H41" s="17">
        <v>1.0000209175025701</v>
      </c>
      <c r="I41" s="29">
        <v>-3.4099999999999998E-2</v>
      </c>
      <c r="J41" s="30">
        <v>0.96898435479168699</v>
      </c>
      <c r="K41" s="16">
        <v>2.9000000000000001E-2</v>
      </c>
      <c r="L41" s="17">
        <v>0.98216477685414005</v>
      </c>
      <c r="M41" s="29">
        <v>2.6599999999999999E-2</v>
      </c>
      <c r="N41" s="30">
        <v>0.97876441972182304</v>
      </c>
      <c r="O41" s="16">
        <v>1.18E-2</v>
      </c>
      <c r="P41" s="17">
        <v>0.99889849904184702</v>
      </c>
      <c r="Q41" s="29">
        <v>6.7999999999999996E-3</v>
      </c>
      <c r="R41" s="30">
        <v>0.99931052184607205</v>
      </c>
      <c r="S41" s="16">
        <v>3.1899999999999998E-2</v>
      </c>
      <c r="T41" s="17">
        <v>0.99891558427289595</v>
      </c>
      <c r="U41" s="29">
        <v>3.3E-3</v>
      </c>
      <c r="V41" s="30">
        <v>1.00224330820828</v>
      </c>
      <c r="W41" s="16">
        <v>3.7100000000000001E-2</v>
      </c>
      <c r="X41" s="17">
        <v>0.99904383932105101</v>
      </c>
      <c r="Y41" s="29">
        <v>4.8999999999999998E-3</v>
      </c>
      <c r="Z41" s="30">
        <v>1.0005304861487601</v>
      </c>
      <c r="AA41" s="40"/>
    </row>
    <row r="42" spans="2:27" x14ac:dyDescent="0.25">
      <c r="B42" s="10" t="s">
        <v>37</v>
      </c>
      <c r="C42" s="8">
        <v>1.0000000000000099E-4</v>
      </c>
      <c r="D42" s="9">
        <v>1.3957283252889301E-3</v>
      </c>
      <c r="E42" s="25">
        <v>1.00000000000001E-3</v>
      </c>
      <c r="F42" s="26">
        <v>1.71725252535747E-3</v>
      </c>
      <c r="G42" s="8">
        <v>-4.1700000000000001E-2</v>
      </c>
      <c r="H42" s="9">
        <v>-2.0917502566199099E-5</v>
      </c>
      <c r="I42" s="25">
        <v>-4.0000000000000002E-4</v>
      </c>
      <c r="J42" s="26">
        <v>3.1015645208312501E-2</v>
      </c>
      <c r="K42" s="8">
        <v>1.00000000000002E-4</v>
      </c>
      <c r="L42" s="9">
        <v>1.78352231458602E-2</v>
      </c>
      <c r="M42" s="25">
        <v>2.9999999999999602E-4</v>
      </c>
      <c r="N42" s="26">
        <v>2.12355802781772E-2</v>
      </c>
      <c r="O42" s="8">
        <v>1.1000000000000001E-3</v>
      </c>
      <c r="P42" s="9">
        <v>1.1015009581531799E-3</v>
      </c>
      <c r="Q42" s="25">
        <v>1.6000000000000001E-3</v>
      </c>
      <c r="R42" s="26">
        <v>6.8947815392837004E-4</v>
      </c>
      <c r="S42" s="8">
        <v>5.9999999999999995E-4</v>
      </c>
      <c r="T42" s="9">
        <v>1.08441572710396E-3</v>
      </c>
      <c r="U42" s="25">
        <v>-4.0000000000000002E-4</v>
      </c>
      <c r="V42" s="26">
        <v>-2.2433082082806699E-3</v>
      </c>
      <c r="W42" s="8">
        <v>3.8E-3</v>
      </c>
      <c r="X42" s="9">
        <v>9.5616067894877205E-4</v>
      </c>
      <c r="Y42" s="25">
        <v>-2.2000000000000001E-3</v>
      </c>
      <c r="Z42" s="26">
        <v>-5.3048614876028896E-4</v>
      </c>
      <c r="AA42" s="40"/>
    </row>
    <row r="43" spans="2:27" x14ac:dyDescent="0.25">
      <c r="B43" s="11" t="s">
        <v>33</v>
      </c>
      <c r="C43" s="12">
        <v>8.3000000000000001E-3</v>
      </c>
      <c r="D43" s="13">
        <v>1</v>
      </c>
      <c r="E43" s="27">
        <v>4.7300000000000002E-2</v>
      </c>
      <c r="F43" s="28">
        <v>1</v>
      </c>
      <c r="G43" s="12">
        <v>3.6799999999999999E-2</v>
      </c>
      <c r="H43" s="13">
        <v>1</v>
      </c>
      <c r="I43" s="27">
        <v>-3.4500000000000003E-2</v>
      </c>
      <c r="J43" s="28">
        <v>1</v>
      </c>
      <c r="K43" s="12">
        <v>2.9100000000000001E-2</v>
      </c>
      <c r="L43" s="13">
        <v>1</v>
      </c>
      <c r="M43" s="27">
        <v>2.69E-2</v>
      </c>
      <c r="N43" s="28">
        <v>1</v>
      </c>
      <c r="O43" s="12">
        <v>1.29E-2</v>
      </c>
      <c r="P43" s="13">
        <v>1</v>
      </c>
      <c r="Q43" s="27">
        <v>8.3999999999999995E-3</v>
      </c>
      <c r="R43" s="28">
        <v>1</v>
      </c>
      <c r="S43" s="12">
        <v>3.2500000000000001E-2</v>
      </c>
      <c r="T43" s="13">
        <v>1</v>
      </c>
      <c r="U43" s="27">
        <v>2.8999999999999998E-3</v>
      </c>
      <c r="V43" s="28">
        <v>1</v>
      </c>
      <c r="W43" s="12">
        <v>4.0899999999999999E-2</v>
      </c>
      <c r="X43" s="13">
        <v>1</v>
      </c>
      <c r="Y43" s="27">
        <v>2.7000000000000001E-3</v>
      </c>
      <c r="Z43" s="28">
        <v>1</v>
      </c>
      <c r="AA43" s="40"/>
    </row>
    <row r="44" spans="2:27" x14ac:dyDescent="0.25">
      <c r="K44" s="40" t="s">
        <v>49</v>
      </c>
      <c r="L44" s="41" t="s">
        <v>49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2:27" ht="15.75" x14ac:dyDescent="0.25">
      <c r="C45" s="51" t="s">
        <v>0</v>
      </c>
      <c r="D45" s="52"/>
      <c r="E45" s="52"/>
      <c r="F45" s="52"/>
      <c r="G45" s="52"/>
      <c r="H45" s="52"/>
      <c r="I45" s="52"/>
      <c r="J45" s="53"/>
      <c r="K45" s="40"/>
    </row>
    <row r="46" spans="2:27" ht="15.75" x14ac:dyDescent="0.25">
      <c r="B46" s="21" t="s">
        <v>38</v>
      </c>
      <c r="C46" s="47" t="s">
        <v>45</v>
      </c>
      <c r="D46" s="48"/>
      <c r="E46" s="49" t="s">
        <v>46</v>
      </c>
      <c r="F46" s="50"/>
      <c r="G46" s="47" t="s">
        <v>47</v>
      </c>
      <c r="H46" s="48"/>
      <c r="I46" s="49" t="s">
        <v>48</v>
      </c>
      <c r="J46" s="50"/>
      <c r="K46" s="40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40"/>
    </row>
    <row r="48" spans="2:27" x14ac:dyDescent="0.25">
      <c r="B48" s="7" t="s">
        <v>5</v>
      </c>
      <c r="C48" s="8">
        <v>2.0012802559998821E-3</v>
      </c>
      <c r="D48" s="9">
        <v>0.19384161942398501</v>
      </c>
      <c r="E48" s="25">
        <v>4.5078066268418038E-3</v>
      </c>
      <c r="F48" s="26">
        <v>0.140905360326985</v>
      </c>
      <c r="G48" s="8">
        <f>(1+E48)*(1+S8)*(1+Q8)*(1+O8)-1</f>
        <v>5.4080847145274724E-3</v>
      </c>
      <c r="H48" s="9">
        <v>0.18081540120893599</v>
      </c>
      <c r="I48" s="25">
        <v>5.5056403206112936E-3</v>
      </c>
      <c r="J48" s="26">
        <v>0.19235992365865801</v>
      </c>
      <c r="K48" s="40"/>
    </row>
    <row r="49" spans="2:11" x14ac:dyDescent="0.25">
      <c r="B49" s="10" t="s">
        <v>7</v>
      </c>
      <c r="C49" s="8">
        <v>3.3030607599999762E-3</v>
      </c>
      <c r="D49" s="9">
        <v>0.28274093016152402</v>
      </c>
      <c r="E49" s="25">
        <v>7.7236466731240849E-3</v>
      </c>
      <c r="F49" s="26">
        <v>0.37166564702204502</v>
      </c>
      <c r="G49" s="8">
        <f t="shared" ref="G49:G66" si="0">(1+E49)*(1+S9)*(1+Q9)*(1+O9)-1</f>
        <v>1.0748116044907885E-2</v>
      </c>
      <c r="H49" s="9">
        <v>0.35314940219990798</v>
      </c>
      <c r="I49" s="25">
        <v>1.4593448135765019E-2</v>
      </c>
      <c r="J49" s="26">
        <v>0.37265237592866801</v>
      </c>
      <c r="K49" s="40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f t="shared" si="0"/>
        <v>0</v>
      </c>
      <c r="H50" s="9">
        <v>0</v>
      </c>
      <c r="I50" s="25">
        <v>0</v>
      </c>
      <c r="J50" s="26">
        <v>0</v>
      </c>
      <c r="K50" s="40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f t="shared" si="0"/>
        <v>0</v>
      </c>
      <c r="H51" s="9">
        <v>0</v>
      </c>
      <c r="I51" s="25">
        <v>0</v>
      </c>
      <c r="J51" s="26">
        <v>0</v>
      </c>
      <c r="K51" s="40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f t="shared" si="0"/>
        <v>0</v>
      </c>
      <c r="H52" s="9">
        <v>0</v>
      </c>
      <c r="I52" s="25">
        <v>0</v>
      </c>
      <c r="J52" s="26">
        <v>0</v>
      </c>
      <c r="K52" s="40"/>
    </row>
    <row r="53" spans="2:11" x14ac:dyDescent="0.25">
      <c r="B53" s="10" t="s">
        <v>15</v>
      </c>
      <c r="C53" s="8">
        <v>0</v>
      </c>
      <c r="D53" s="9">
        <v>5.8192163656317596E-6</v>
      </c>
      <c r="E53" s="25">
        <v>0</v>
      </c>
      <c r="F53" s="26">
        <v>6.2076645188572796E-6</v>
      </c>
      <c r="G53" s="8">
        <f t="shared" si="0"/>
        <v>0</v>
      </c>
      <c r="H53" s="9">
        <v>5.4240556453375996E-6</v>
      </c>
      <c r="I53" s="25">
        <v>0</v>
      </c>
      <c r="J53" s="26">
        <v>4.7793445129389799E-6</v>
      </c>
      <c r="K53" s="40"/>
    </row>
    <row r="54" spans="2:11" x14ac:dyDescent="0.25">
      <c r="B54" s="10" t="s">
        <v>17</v>
      </c>
      <c r="C54" s="8">
        <v>1.6850902892000086E-2</v>
      </c>
      <c r="D54" s="9">
        <v>0.20290048671383801</v>
      </c>
      <c r="E54" s="25">
        <v>6.8977466492712303E-3</v>
      </c>
      <c r="F54" s="26">
        <v>0.17604469299778699</v>
      </c>
      <c r="G54" s="8">
        <f t="shared" si="0"/>
        <v>2.2580942845688234E-2</v>
      </c>
      <c r="H54" s="9">
        <v>0.186303403525514</v>
      </c>
      <c r="I54" s="25">
        <v>5.2314117025208384E-2</v>
      </c>
      <c r="J54" s="26">
        <v>0.20898763302434001</v>
      </c>
      <c r="K54" s="40"/>
    </row>
    <row r="55" spans="2:11" x14ac:dyDescent="0.25">
      <c r="B55" s="10" t="s">
        <v>44</v>
      </c>
      <c r="C55" s="8">
        <v>3.3599999999999998E-2</v>
      </c>
      <c r="D55" s="9">
        <v>0.31054074761644501</v>
      </c>
      <c r="E55" s="25">
        <v>4.7399999999999998E-2</v>
      </c>
      <c r="F55" s="26">
        <v>0.28860763982792398</v>
      </c>
      <c r="G55" s="8">
        <f t="shared" si="0"/>
        <v>6.1546440070340269E-2</v>
      </c>
      <c r="H55" s="9">
        <v>0.26813555088739499</v>
      </c>
      <c r="I55" s="25">
        <v>7.17E-2</v>
      </c>
      <c r="J55" s="26">
        <v>0.243133336897039</v>
      </c>
      <c r="K55" s="40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f t="shared" si="0"/>
        <v>0</v>
      </c>
      <c r="H56" s="9">
        <v>0</v>
      </c>
      <c r="I56" s="25">
        <v>0</v>
      </c>
      <c r="J56" s="26">
        <v>0</v>
      </c>
      <c r="K56" s="40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f t="shared" si="0"/>
        <v>0</v>
      </c>
      <c r="H57" s="9">
        <v>0</v>
      </c>
      <c r="I57" s="25">
        <v>0</v>
      </c>
      <c r="J57" s="26">
        <v>0</v>
      </c>
      <c r="K57" s="40"/>
    </row>
    <row r="58" spans="2:11" x14ac:dyDescent="0.25">
      <c r="B58" s="10" t="s">
        <v>24</v>
      </c>
      <c r="C58" s="8">
        <v>0</v>
      </c>
      <c r="D58" s="9">
        <v>5.5869270151088498E-6</v>
      </c>
      <c r="E58" s="25">
        <v>0</v>
      </c>
      <c r="F58" s="26">
        <v>7.3870174895886303E-6</v>
      </c>
      <c r="G58" s="8">
        <f t="shared" si="0"/>
        <v>-9.9999999999988987E-5</v>
      </c>
      <c r="H58" s="9">
        <v>8.3109061889893103E-6</v>
      </c>
      <c r="I58" s="25">
        <v>-2.0000999800007246E-4</v>
      </c>
      <c r="J58" s="26">
        <v>1.55981173907138E-5</v>
      </c>
      <c r="K58" s="40"/>
    </row>
    <row r="59" spans="2:11" x14ac:dyDescent="0.25">
      <c r="B59" s="10" t="s">
        <v>25</v>
      </c>
      <c r="C59" s="8">
        <v>3.95E-2</v>
      </c>
      <c r="D59" s="9">
        <v>9.1483599021141802E-3</v>
      </c>
      <c r="E59" s="25">
        <v>5.0885737038368406E-2</v>
      </c>
      <c r="F59" s="26">
        <v>2.0525388868041501E-3</v>
      </c>
      <c r="G59" s="8">
        <v>7.8200000000000006E-2</v>
      </c>
      <c r="H59" s="9">
        <v>1.35315758456316E-2</v>
      </c>
      <c r="I59" s="25">
        <v>8.9599999999999999E-2</v>
      </c>
      <c r="J59" s="26">
        <v>-1.7701888594732901E-2</v>
      </c>
      <c r="K59" s="40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f t="shared" si="0"/>
        <v>0</v>
      </c>
      <c r="H60" s="9">
        <v>0</v>
      </c>
      <c r="I60" s="25">
        <v>0</v>
      </c>
      <c r="J60" s="26">
        <v>0</v>
      </c>
      <c r="K60" s="40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f t="shared" si="0"/>
        <v>0</v>
      </c>
      <c r="H61" s="9">
        <v>0</v>
      </c>
      <c r="I61" s="25">
        <v>0</v>
      </c>
      <c r="J61" s="26">
        <v>0</v>
      </c>
      <c r="K61" s="40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f t="shared" si="0"/>
        <v>0</v>
      </c>
      <c r="H62" s="9">
        <v>0</v>
      </c>
      <c r="I62" s="25">
        <v>0</v>
      </c>
      <c r="J62" s="26">
        <v>0</v>
      </c>
      <c r="K62" s="40"/>
    </row>
    <row r="63" spans="2:11" x14ac:dyDescent="0.25">
      <c r="B63" s="10" t="s">
        <v>29</v>
      </c>
      <c r="C63" s="8">
        <v>-1.0000000050247593E-8</v>
      </c>
      <c r="D63" s="9">
        <v>8.16450037223367E-4</v>
      </c>
      <c r="E63" s="25">
        <v>-2.0005999199945723E-4</v>
      </c>
      <c r="F63" s="26">
        <v>2.0710526256005699E-2</v>
      </c>
      <c r="G63" s="8">
        <f t="shared" si="0"/>
        <v>-3.0003998600025561E-4</v>
      </c>
      <c r="H63" s="9">
        <v>-1.94906862836858E-3</v>
      </c>
      <c r="I63" s="25">
        <v>-3.0004998299992813E-4</v>
      </c>
      <c r="J63" s="26">
        <v>5.4824162414816001E-4</v>
      </c>
      <c r="K63" s="40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f t="shared" si="0"/>
        <v>0</v>
      </c>
      <c r="H64" s="9">
        <v>0</v>
      </c>
      <c r="I64" s="25">
        <v>0</v>
      </c>
      <c r="J64" s="26">
        <v>0</v>
      </c>
      <c r="K64" s="40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f t="shared" si="0"/>
        <v>0</v>
      </c>
      <c r="H65" s="9">
        <v>0</v>
      </c>
      <c r="I65" s="25">
        <v>0</v>
      </c>
      <c r="J65" s="26">
        <v>0</v>
      </c>
      <c r="K65" s="40"/>
    </row>
    <row r="66" spans="2:11" x14ac:dyDescent="0.25">
      <c r="B66" s="10" t="s">
        <v>32</v>
      </c>
      <c r="C66" s="8">
        <v>-4.0081018000004409E-4</v>
      </c>
      <c r="D66" s="9">
        <v>1.48904511984571E-12</v>
      </c>
      <c r="E66" s="25">
        <v>-1.0117040682766643E-4</v>
      </c>
      <c r="F66" s="26">
        <v>4.4145581287735599E-13</v>
      </c>
      <c r="G66" s="8">
        <f t="shared" si="0"/>
        <v>-1.0144043350635013E-4</v>
      </c>
      <c r="H66" s="9">
        <v>-8.5089539580973597E-13</v>
      </c>
      <c r="I66" s="25">
        <v>-2.0177031096757503E-4</v>
      </c>
      <c r="J66" s="26">
        <v>-2.2471278310343101E-14</v>
      </c>
      <c r="K66" s="40"/>
    </row>
    <row r="67" spans="2:11" x14ac:dyDescent="0.25">
      <c r="B67" s="11" t="s">
        <v>42</v>
      </c>
      <c r="C67" s="12">
        <f>SUM(C48:C66)</f>
        <v>9.4854423727999848E-2</v>
      </c>
      <c r="D67" s="13">
        <v>1</v>
      </c>
      <c r="E67" s="39">
        <v>0.1171137065887784</v>
      </c>
      <c r="F67" s="28">
        <v>1</v>
      </c>
      <c r="G67" s="12">
        <f>SUM(G48:G66)</f>
        <v>0.17798210325595726</v>
      </c>
      <c r="H67" s="13">
        <v>1</v>
      </c>
      <c r="I67" s="27">
        <v>0.23301137518961712</v>
      </c>
      <c r="J67" s="28">
        <v>1</v>
      </c>
      <c r="K67" s="40"/>
    </row>
    <row r="68" spans="2:11" x14ac:dyDescent="0.25">
      <c r="B68" s="31" t="s">
        <v>39</v>
      </c>
      <c r="C68" s="54">
        <v>223493.03266</v>
      </c>
      <c r="D68" s="55"/>
      <c r="E68" s="36">
        <v>291929.74567999999</v>
      </c>
      <c r="F68" s="37"/>
      <c r="G68" s="38">
        <v>478158.97050001001</v>
      </c>
      <c r="H68" s="37"/>
      <c r="I68" s="36">
        <v>651882.19769000995</v>
      </c>
      <c r="J68" s="37"/>
      <c r="K68" s="40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40"/>
    </row>
    <row r="70" spans="2:11" ht="15.75" x14ac:dyDescent="0.25">
      <c r="C70" s="51" t="s">
        <v>0</v>
      </c>
      <c r="D70" s="52"/>
      <c r="E70" s="52"/>
      <c r="F70" s="52"/>
      <c r="G70" s="52"/>
      <c r="H70" s="52"/>
      <c r="I70" s="52"/>
      <c r="J70" s="53"/>
      <c r="K70" s="40"/>
    </row>
    <row r="71" spans="2:11" ht="15.75" x14ac:dyDescent="0.25">
      <c r="B71" s="21" t="s">
        <v>38</v>
      </c>
      <c r="C71" s="47" t="s">
        <v>45</v>
      </c>
      <c r="D71" s="48"/>
      <c r="E71" s="49" t="s">
        <v>46</v>
      </c>
      <c r="F71" s="50"/>
      <c r="G71" s="47" t="s">
        <v>47</v>
      </c>
      <c r="H71" s="48"/>
      <c r="I71" s="49" t="s">
        <v>48</v>
      </c>
      <c r="J71" s="50"/>
      <c r="K71" s="40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40"/>
    </row>
    <row r="73" spans="2:11" x14ac:dyDescent="0.25">
      <c r="B73" s="7" t="s">
        <v>34</v>
      </c>
      <c r="C73" s="8">
        <v>6.4899999999999999E-2</v>
      </c>
      <c r="D73" s="17">
        <v>0.682320214123181</v>
      </c>
      <c r="E73" s="25">
        <v>5.3499999999999999E-2</v>
      </c>
      <c r="F73" s="30">
        <v>0.65959124162884797</v>
      </c>
      <c r="G73" s="8">
        <f>(1+E73)*(1+S34)*(1+Q34)*(1+O34)-1</f>
        <v>7.8662616306264477E-2</v>
      </c>
      <c r="H73" s="17">
        <v>0.699006899539792</v>
      </c>
      <c r="I73" s="25">
        <v>0.12570000000000001</v>
      </c>
      <c r="J73" s="30">
        <v>0.76119163960437197</v>
      </c>
      <c r="K73" s="40"/>
    </row>
    <row r="74" spans="2:11" x14ac:dyDescent="0.25">
      <c r="B74" s="10" t="s">
        <v>35</v>
      </c>
      <c r="C74" s="8">
        <v>2.9983622795000109E-2</v>
      </c>
      <c r="D74" s="9">
        <v>0.317679785876819</v>
      </c>
      <c r="E74" s="25">
        <v>6.3606418460876446E-2</v>
      </c>
      <c r="F74" s="26">
        <v>0.34040875837115198</v>
      </c>
      <c r="G74" s="8">
        <v>9.9299999999999999E-2</v>
      </c>
      <c r="H74" s="9">
        <v>0.300993100460208</v>
      </c>
      <c r="I74" s="25">
        <v>0.10730000000000001</v>
      </c>
      <c r="J74" s="26">
        <v>0.238808360395628</v>
      </c>
      <c r="K74" s="40"/>
    </row>
    <row r="75" spans="2:11" x14ac:dyDescent="0.25">
      <c r="B75" s="11" t="s">
        <v>42</v>
      </c>
      <c r="C75" s="12">
        <f>SUM(C73:C74)</f>
        <v>9.4883622795000108E-2</v>
      </c>
      <c r="D75" s="13">
        <v>1</v>
      </c>
      <c r="E75" s="39">
        <v>0.11710641846087644</v>
      </c>
      <c r="F75" s="28">
        <v>1</v>
      </c>
      <c r="G75" s="12">
        <f>SUM(G73:G74)</f>
        <v>0.17796261630626448</v>
      </c>
      <c r="H75" s="13">
        <v>1</v>
      </c>
      <c r="I75" s="27">
        <v>0.23300000000000001</v>
      </c>
      <c r="J75" s="28">
        <v>1</v>
      </c>
      <c r="K75" s="40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40"/>
    </row>
    <row r="77" spans="2:11" ht="15.75" x14ac:dyDescent="0.25">
      <c r="C77" s="51" t="s">
        <v>0</v>
      </c>
      <c r="D77" s="52"/>
      <c r="E77" s="52"/>
      <c r="F77" s="52"/>
      <c r="G77" s="52"/>
      <c r="H77" s="52"/>
      <c r="I77" s="52"/>
      <c r="J77" s="53"/>
      <c r="K77" s="40"/>
    </row>
    <row r="78" spans="2:11" ht="15.75" x14ac:dyDescent="0.25">
      <c r="B78" s="21" t="s">
        <v>38</v>
      </c>
      <c r="C78" s="47" t="s">
        <v>45</v>
      </c>
      <c r="D78" s="48"/>
      <c r="E78" s="49" t="s">
        <v>46</v>
      </c>
      <c r="F78" s="50"/>
      <c r="G78" s="47" t="s">
        <v>47</v>
      </c>
      <c r="H78" s="48"/>
      <c r="I78" s="49" t="s">
        <v>48</v>
      </c>
      <c r="J78" s="50"/>
      <c r="K78" s="40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40"/>
    </row>
    <row r="80" spans="2:11" x14ac:dyDescent="0.25">
      <c r="B80" s="7" t="s">
        <v>36</v>
      </c>
      <c r="C80" s="8">
        <v>0.13768771330999985</v>
      </c>
      <c r="D80" s="17">
        <v>1.0000209175025701</v>
      </c>
      <c r="E80" s="25">
        <v>0.16</v>
      </c>
      <c r="F80" s="30">
        <v>0.97876441972182304</v>
      </c>
      <c r="G80" s="8">
        <v>0.2177</v>
      </c>
      <c r="H80" s="17">
        <v>0.99891558427289595</v>
      </c>
      <c r="I80" s="25">
        <v>0.27160000000000001</v>
      </c>
      <c r="J80" s="30">
        <v>1.0005304861487601</v>
      </c>
      <c r="K80" s="40"/>
    </row>
    <row r="81" spans="2:11" x14ac:dyDescent="0.25">
      <c r="B81" s="10" t="s">
        <v>37</v>
      </c>
      <c r="C81" s="8">
        <v>-4.2799999999999998E-2</v>
      </c>
      <c r="D81" s="9">
        <v>-2.0917502566199099E-5</v>
      </c>
      <c r="E81" s="25">
        <v>-4.2900000000000001E-2</v>
      </c>
      <c r="F81" s="26">
        <v>2.12355802781772E-2</v>
      </c>
      <c r="G81" s="8">
        <v>-3.9738333991302333E-2</v>
      </c>
      <c r="H81" s="9">
        <v>1.08441572710396E-3</v>
      </c>
      <c r="I81" s="25">
        <v>-3.8594659135970932E-2</v>
      </c>
      <c r="J81" s="26">
        <v>-5.3048614876028896E-4</v>
      </c>
      <c r="K81" s="40"/>
    </row>
    <row r="82" spans="2:11" x14ac:dyDescent="0.25">
      <c r="B82" s="11" t="s">
        <v>42</v>
      </c>
      <c r="C82" s="12">
        <f>SUM(C80:C81)</f>
        <v>9.4887713309999844E-2</v>
      </c>
      <c r="D82" s="13">
        <v>1</v>
      </c>
      <c r="E82" s="39">
        <v>0.11710000000000001</v>
      </c>
      <c r="F82" s="28">
        <v>1</v>
      </c>
      <c r="G82" s="12">
        <v>0.17796166600869767</v>
      </c>
      <c r="H82" s="13">
        <v>1</v>
      </c>
      <c r="I82" s="27">
        <v>0.23300534086402908</v>
      </c>
      <c r="J82" s="28">
        <v>1</v>
      </c>
      <c r="K82" s="40"/>
    </row>
    <row r="83" spans="2:11" x14ac:dyDescent="0.25">
      <c r="B83" s="42" t="s">
        <v>49</v>
      </c>
      <c r="C83" s="42"/>
      <c r="D83" s="42"/>
      <c r="E83" s="42"/>
      <c r="F83" s="42"/>
      <c r="G83" s="42"/>
      <c r="H83" s="42"/>
      <c r="I83" s="42"/>
      <c r="J83" s="42"/>
      <c r="K83" s="40"/>
    </row>
    <row r="84" spans="2:11" x14ac:dyDescent="0.25">
      <c r="G84" s="34"/>
      <c r="K84" s="40"/>
    </row>
    <row r="85" spans="2:11" x14ac:dyDescent="0.25">
      <c r="K85" s="40"/>
    </row>
    <row r="86" spans="2:11" x14ac:dyDescent="0.25">
      <c r="K86" s="40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K32:L32"/>
    <mergeCell ref="M32:N32"/>
    <mergeCell ref="C39:D39"/>
    <mergeCell ref="E39:F39"/>
    <mergeCell ref="G39:H39"/>
    <mergeCell ref="I39:J39"/>
    <mergeCell ref="K39:L39"/>
    <mergeCell ref="K44:K86"/>
    <mergeCell ref="AA1:AA43"/>
    <mergeCell ref="L44:AA44"/>
    <mergeCell ref="B83:J83"/>
    <mergeCell ref="W32:X32"/>
    <mergeCell ref="O39:P39"/>
    <mergeCell ref="Q39:R39"/>
    <mergeCell ref="S39:T39"/>
    <mergeCell ref="O32:P32"/>
    <mergeCell ref="Q32:R32"/>
    <mergeCell ref="S32:T32"/>
    <mergeCell ref="U39:V39"/>
    <mergeCell ref="M39:N39"/>
    <mergeCell ref="U32:V32"/>
    <mergeCell ref="G32:H32"/>
    <mergeCell ref="I32:J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a46656d4-8850-49b3-aebd-68bd05f7f43d"/>
    <ds:schemaRef ds:uri="http://schemas.microsoft.com/office/2006/documentManagement/types"/>
    <ds:schemaRef ds:uri="http://schemas.microsoft.com/sharepoint/v3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מניות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