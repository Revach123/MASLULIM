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oot\HomeFolder\Shared\כספים\כספים\2026\06\נתונים לאתר הקופה\דיווח רבעוני\"/>
    </mc:Choice>
  </mc:AlternateContent>
  <xr:revisionPtr revIDLastSave="0" documentId="13_ncr:1_{E80AFDBE-3F04-4523-ADA4-59294AFD5165}" xr6:coauthVersionLast="36" xr6:coauthVersionMax="36" xr10:uidLastSave="{00000000-0000-0000-0000-000000000000}"/>
  <bookViews>
    <workbookView xWindow="120" yWindow="120" windowWidth="17040" windowHeight="10560" xr2:uid="{00000000-000D-0000-FFFF-FFFF00000000}"/>
  </bookViews>
  <sheets>
    <sheet name="פרסום מרכיבי תשואה" sheetId="1" r:id="rId1"/>
    <sheet name="מצטבר" sheetId="2" state="hidden" r:id="rId2"/>
  </sheets>
  <externalReferences>
    <externalReference r:id="rId3"/>
    <externalReference r:id="rId4"/>
  </externalReferences>
  <definedNames>
    <definedName name="Tsua">[1]תשואה!$A$6</definedName>
    <definedName name="tsua1">[2]תשואה!$A$6</definedName>
  </definedNames>
  <calcPr calcId="191029"/>
</workbook>
</file>

<file path=xl/calcChain.xml><?xml version="1.0" encoding="utf-8"?>
<calcChain xmlns="http://schemas.openxmlformats.org/spreadsheetml/2006/main">
  <c r="D30" i="2" l="1"/>
  <c r="D26" i="2"/>
  <c r="I29" i="2"/>
  <c r="I28" i="2"/>
  <c r="I25" i="2"/>
  <c r="I24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" i="2"/>
  <c r="G29" i="2"/>
  <c r="G28" i="2"/>
  <c r="G25" i="2"/>
  <c r="G24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" i="2"/>
  <c r="E29" i="2"/>
  <c r="E28" i="2"/>
  <c r="E25" i="2"/>
  <c r="E24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" i="2"/>
  <c r="C29" i="2"/>
  <c r="C28" i="2"/>
  <c r="C25" i="2"/>
  <c r="C24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" i="2"/>
  <c r="B29" i="2"/>
  <c r="D29" i="2"/>
  <c r="B28" i="2"/>
  <c r="D28" i="2" s="1"/>
  <c r="B25" i="2"/>
  <c r="D25" i="2"/>
  <c r="B24" i="2"/>
  <c r="D24" i="2" s="1"/>
  <c r="B21" i="2"/>
  <c r="D21" i="2"/>
  <c r="B20" i="2"/>
  <c r="D20" i="2" s="1"/>
  <c r="B19" i="2"/>
  <c r="D19" i="2"/>
  <c r="B18" i="2"/>
  <c r="D18" i="2" s="1"/>
  <c r="B17" i="2"/>
  <c r="D17" i="2" s="1"/>
  <c r="B16" i="2"/>
  <c r="D16" i="2"/>
  <c r="B15" i="2"/>
  <c r="D15" i="2"/>
  <c r="B14" i="2"/>
  <c r="D14" i="2"/>
  <c r="B13" i="2"/>
  <c r="D13" i="2"/>
  <c r="B12" i="2"/>
  <c r="D12" i="2" s="1"/>
  <c r="B11" i="2"/>
  <c r="D11" i="2"/>
  <c r="B10" i="2"/>
  <c r="D10" i="2" s="1"/>
  <c r="B9" i="2"/>
  <c r="D9" i="2"/>
  <c r="B8" i="2"/>
  <c r="D8" i="2"/>
  <c r="B7" i="2"/>
  <c r="D7" i="2"/>
  <c r="B6" i="2"/>
  <c r="D6" i="2" s="1"/>
  <c r="B5" i="2"/>
  <c r="D5" i="2"/>
  <c r="B4" i="2"/>
  <c r="D4" i="2" s="1"/>
  <c r="B3" i="2"/>
  <c r="D3" i="2"/>
  <c r="B2" i="2"/>
  <c r="D2" i="2"/>
</calcChain>
</file>

<file path=xl/sharedStrings.xml><?xml version="1.0" encoding="utf-8"?>
<sst xmlns="http://schemas.openxmlformats.org/spreadsheetml/2006/main" count="128" uniqueCount="72">
  <si>
    <t>פירוט תרומת אפיקי ההשקעה לתשואה הכוללת</t>
  </si>
  <si>
    <t>עתודות</t>
  </si>
  <si>
    <t>קרן עתודות ותיקה</t>
  </si>
  <si>
    <t>אפיקי השקעה: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</si>
  <si>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</si>
  <si>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</si>
  <si>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</si>
  <si>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</si>
  <si>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</si>
  <si>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</si>
  <si>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</si>
  <si>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</si>
  <si>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</si>
  <si>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</si>
  <si>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</si>
  <si>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</si>
  <si>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</si>
  <si>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</si>
  <si>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</si>
  <si>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</si>
  <si>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</si>
  <si>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</si>
  <si>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</si>
  <si>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</si>
  <si>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ש"ח)</t>
  </si>
  <si>
    <t>נכסים בארץ</t>
  </si>
  <si>
    <t>נכסים בחול</t>
  </si>
  <si>
    <t>נכסים סחירים</t>
  </si>
  <si>
    <t>נכסים לא סחירים</t>
  </si>
  <si>
    <t>נתונים מצטברים</t>
  </si>
  <si>
    <t>תשואה מצטברת</t>
  </si>
  <si>
    <t>הופק בתוכנת פריים זהב, מהדורה 5.20, פריים מערכות, טלפון 03-7760600, www.primesys.co.il</t>
  </si>
  <si>
    <t>התרומה לתשואה ינואר-מרץ 2023</t>
  </si>
  <si>
    <t>שיעור מסך הנכסים ינואר-מרץ 2023</t>
  </si>
  <si>
    <t>התרומה לתשואה ינואר-יוני 2023</t>
  </si>
  <si>
    <t>שיעור מסך הנכסים ינואר-יוני 2023</t>
  </si>
  <si>
    <t>התרומה לתשואה ינואר-ספטמבר 2023</t>
  </si>
  <si>
    <t>שיעור מסך הנכסים ינואר-ספטמבר 2023</t>
  </si>
  <si>
    <t>התרומה לתשואה ינואר-דצמבר 2023</t>
  </si>
  <si>
    <t>שיעור מסך הנכסים ינואר-דצמבר 2023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</si>
  <si>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</si>
  <si>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</si>
  <si>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</si>
  <si>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</si>
  <si>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</si>
  <si>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</si>
  <si>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</si>
  <si>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</si>
  <si>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</si>
  <si>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</si>
  <si>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</si>
  <si>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</si>
  <si>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</si>
  <si>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</si>
  <si>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</si>
  <si>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</si>
  <si>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</si>
  <si>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</si>
  <si>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</si>
  <si>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</si>
  <si>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</si>
  <si>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</si>
  <si>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</si>
  <si>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</si>
  <si>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התרומה לתשואה ינואר-מרץ 2026</t>
  </si>
  <si>
    <t>שיעור מסך הנכסים ינואר-מרץ 2026</t>
  </si>
  <si>
    <t>התרומה לתשואה ינואר-יוני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</si>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</sst>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##0.00%"/>
  </numFmts>
  <fonts count="25">
    <font>
      <sz val="10"/>
      <name val="Arial"/>
    </font>
    <font>
      <sz val="11"/>
      <color theme="1"/>
      <name val="Arial"/>
      <family val="2"/>
      <charset val="177"/>
      <scheme val="minor"/>
    </font>
    <font>
      <b/>
      <sz val="10"/>
      <color rgb="FF000000"/>
      <name val="Ariel"/>
    </font>
    <font>
      <sz val="10"/>
      <color rgb="FF000000"/>
      <name val="Ariel"/>
    </font>
    <font>
      <b/>
      <sz val="10"/>
      <color rgb="FF0000FF"/>
      <name val="Ariel"/>
    </font>
    <font>
      <b/>
      <sz val="14"/>
      <color rgb="FF000000"/>
      <name val="Ariel"/>
    </font>
    <font>
      <sz val="10"/>
      <name val="Arial"/>
      <family val="2"/>
    </font>
    <font>
      <sz val="10"/>
      <name val="Arial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EB9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8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7">
    <xf numFmtId="0" fontId="0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15" applyNumberFormat="0" applyFill="0" applyAlignment="0" applyProtection="0"/>
    <xf numFmtId="0" fontId="10" fillId="0" borderId="16" applyNumberFormat="0" applyFill="0" applyAlignment="0" applyProtection="0"/>
    <xf numFmtId="0" fontId="11" fillId="0" borderId="17" applyNumberFormat="0" applyFill="0" applyAlignment="0" applyProtection="0"/>
    <xf numFmtId="0" fontId="11" fillId="0" borderId="0" applyNumberFormat="0" applyFill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0" applyNumberFormat="0" applyBorder="0" applyAlignment="0" applyProtection="0"/>
    <xf numFmtId="0" fontId="15" fillId="9" borderId="18" applyNumberFormat="0" applyAlignment="0" applyProtection="0"/>
    <xf numFmtId="0" fontId="16" fillId="10" borderId="19" applyNumberFormat="0" applyAlignment="0" applyProtection="0"/>
    <xf numFmtId="0" fontId="17" fillId="10" borderId="18" applyNumberFormat="0" applyAlignment="0" applyProtection="0"/>
    <xf numFmtId="0" fontId="18" fillId="0" borderId="20" applyNumberFormat="0" applyFill="0" applyAlignment="0" applyProtection="0"/>
    <xf numFmtId="0" fontId="19" fillId="11" borderId="21" applyNumberFormat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23" applyNumberFormat="0" applyFill="0" applyAlignment="0" applyProtection="0"/>
    <xf numFmtId="0" fontId="23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3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3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3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3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3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/>
    <xf numFmtId="0" fontId="6" fillId="0" borderId="0"/>
    <xf numFmtId="0" fontId="1" fillId="12" borderId="22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7" fillId="0" borderId="0"/>
    <xf numFmtId="0" fontId="7" fillId="0" borderId="0"/>
    <xf numFmtId="0" fontId="6" fillId="0" borderId="0"/>
  </cellStyleXfs>
  <cellXfs count="112">
    <xf numFmtId="0" fontId="0" fillId="0" borderId="0" xfId="0"/>
    <xf numFmtId="0" fontId="3" fillId="0" borderId="0" xfId="0" applyFont="1" applyAlignment="1">
      <alignment horizontal="right" readingOrder="2"/>
    </xf>
    <xf numFmtId="0" fontId="4" fillId="3" borderId="0" xfId="0" applyFont="1" applyFill="1" applyAlignment="1">
      <alignment horizontal="right" vertical="center" readingOrder="2"/>
    </xf>
    <xf numFmtId="4" fontId="4" fillId="4" borderId="8" xfId="0" applyNumberFormat="1" applyFont="1" applyFill="1" applyBorder="1" applyAlignment="1">
      <alignment horizontal="right"/>
    </xf>
    <xf numFmtId="0" fontId="3" fillId="2" borderId="6" xfId="0" applyFont="1" applyFill="1" applyBorder="1" applyAlignment="1">
      <alignment horizontal="right" readingOrder="2"/>
    </xf>
    <xf numFmtId="0" fontId="3" fillId="2" borderId="7" xfId="0" applyFont="1" applyFill="1" applyBorder="1" applyAlignment="1">
      <alignment horizontal="right" readingOrder="2"/>
    </xf>
    <xf numFmtId="0" fontId="4" fillId="2" borderId="7" xfId="0" applyFont="1" applyFill="1" applyBorder="1" applyAlignment="1">
      <alignment horizontal="right" readingOrder="2"/>
    </xf>
    <xf numFmtId="0" fontId="4" fillId="2" borderId="8" xfId="0" applyFont="1" applyFill="1" applyBorder="1" applyAlignment="1">
      <alignment horizontal="right" readingOrder="2"/>
    </xf>
    <xf numFmtId="164" fontId="3" fillId="4" borderId="7" xfId="0" applyNumberFormat="1" applyFont="1" applyFill="1" applyBorder="1" applyAlignment="1">
      <alignment horizontal="right"/>
    </xf>
    <xf numFmtId="164" fontId="4" fillId="4" borderId="7" xfId="0" applyNumberFormat="1" applyFont="1" applyFill="1" applyBorder="1" applyAlignment="1">
      <alignment horizontal="right"/>
    </xf>
    <xf numFmtId="164" fontId="4" fillId="4" borderId="8" xfId="0" applyNumberFormat="1" applyFont="1" applyFill="1" applyBorder="1" applyAlignment="1">
      <alignment horizontal="right"/>
    </xf>
    <xf numFmtId="164" fontId="4" fillId="4" borderId="6" xfId="0" applyNumberFormat="1" applyFont="1" applyFill="1" applyBorder="1" applyAlignment="1">
      <alignment horizontal="center" vertical="center" wrapText="1" readingOrder="2"/>
    </xf>
    <xf numFmtId="4" fontId="4" fillId="5" borderId="8" xfId="0" applyNumberFormat="1" applyFont="1" applyFill="1" applyBorder="1" applyAlignment="1">
      <alignment horizontal="right"/>
    </xf>
    <xf numFmtId="164" fontId="4" fillId="4" borderId="4" xfId="0" applyNumberFormat="1" applyFont="1" applyFill="1" applyBorder="1" applyAlignment="1">
      <alignment horizontal="center" vertical="center" wrapText="1" readingOrder="2"/>
    </xf>
    <xf numFmtId="164" fontId="3" fillId="4" borderId="0" xfId="0" applyNumberFormat="1" applyFont="1" applyFill="1" applyBorder="1" applyAlignment="1">
      <alignment horizontal="right"/>
    </xf>
    <xf numFmtId="164" fontId="3" fillId="5" borderId="7" xfId="0" applyNumberFormat="1" applyFont="1" applyFill="1" applyBorder="1" applyAlignment="1">
      <alignment horizontal="right"/>
    </xf>
    <xf numFmtId="164" fontId="4" fillId="5" borderId="7" xfId="0" applyNumberFormat="1" applyFont="1" applyFill="1" applyBorder="1" applyAlignment="1">
      <alignment horizontal="right"/>
    </xf>
    <xf numFmtId="164" fontId="4" fillId="5" borderId="8" xfId="0" applyNumberFormat="1" applyFont="1" applyFill="1" applyBorder="1" applyAlignment="1">
      <alignment horizontal="right"/>
    </xf>
    <xf numFmtId="164" fontId="4" fillId="5" borderId="6" xfId="0" applyNumberFormat="1" applyFont="1" applyFill="1" applyBorder="1" applyAlignment="1">
      <alignment horizontal="center" vertical="center" wrapText="1" readingOrder="2"/>
    </xf>
    <xf numFmtId="164" fontId="4" fillId="5" borderId="2" xfId="0" applyNumberFormat="1" applyFont="1" applyFill="1" applyBorder="1" applyAlignment="1">
      <alignment horizontal="center" vertical="center" wrapText="1" readingOrder="2"/>
    </xf>
    <xf numFmtId="164" fontId="4" fillId="5" borderId="4" xfId="0" applyNumberFormat="1" applyFont="1" applyFill="1" applyBorder="1" applyAlignment="1">
      <alignment horizontal="center" vertical="center" wrapText="1" readingOrder="2"/>
    </xf>
    <xf numFmtId="164" fontId="3" fillId="5" borderId="0" xfId="0" applyNumberFormat="1" applyFont="1" applyFill="1" applyBorder="1" applyAlignment="1">
      <alignment horizontal="right"/>
    </xf>
    <xf numFmtId="164" fontId="4" fillId="5" borderId="0" xfId="0" applyNumberFormat="1" applyFont="1" applyFill="1" applyBorder="1" applyAlignment="1">
      <alignment horizontal="right"/>
    </xf>
    <xf numFmtId="4" fontId="4" fillId="5" borderId="5" xfId="0" applyNumberFormat="1" applyFont="1" applyFill="1" applyBorder="1" applyAlignment="1">
      <alignment horizontal="right" readingOrder="2"/>
    </xf>
    <xf numFmtId="164" fontId="3" fillId="4" borderId="6" xfId="0" applyNumberFormat="1" applyFont="1" applyFill="1" applyBorder="1" applyAlignment="1">
      <alignment horizontal="right"/>
    </xf>
    <xf numFmtId="164" fontId="3" fillId="4" borderId="4" xfId="0" applyNumberFormat="1" applyFont="1" applyFill="1" applyBorder="1" applyAlignment="1">
      <alignment horizontal="right"/>
    </xf>
    <xf numFmtId="164" fontId="4" fillId="4" borderId="5" xfId="0" applyNumberFormat="1" applyFont="1" applyFill="1" applyBorder="1" applyAlignment="1">
      <alignment horizontal="right"/>
    </xf>
    <xf numFmtId="164" fontId="3" fillId="5" borderId="6" xfId="0" applyNumberFormat="1" applyFont="1" applyFill="1" applyBorder="1" applyAlignment="1">
      <alignment horizontal="right"/>
    </xf>
    <xf numFmtId="164" fontId="3" fillId="5" borderId="4" xfId="0" applyNumberFormat="1" applyFont="1" applyFill="1" applyBorder="1" applyAlignment="1">
      <alignment horizontal="right"/>
    </xf>
    <xf numFmtId="164" fontId="4" fillId="5" borderId="5" xfId="0" applyNumberFormat="1" applyFont="1" applyFill="1" applyBorder="1" applyAlignment="1">
      <alignment horizontal="right"/>
    </xf>
    <xf numFmtId="164" fontId="3" fillId="4" borderId="9" xfId="0" applyNumberFormat="1" applyFont="1" applyFill="1" applyBorder="1" applyAlignment="1">
      <alignment horizontal="right"/>
    </xf>
    <xf numFmtId="164" fontId="3" fillId="4" borderId="10" xfId="0" applyNumberFormat="1" applyFont="1" applyFill="1" applyBorder="1" applyAlignment="1">
      <alignment horizontal="right"/>
    </xf>
    <xf numFmtId="164" fontId="3" fillId="4" borderId="11" xfId="0" applyNumberFormat="1" applyFont="1" applyFill="1" applyBorder="1" applyAlignment="1">
      <alignment horizontal="right"/>
    </xf>
    <xf numFmtId="164" fontId="3" fillId="4" borderId="12" xfId="0" applyNumberFormat="1" applyFont="1" applyFill="1" applyBorder="1" applyAlignment="1">
      <alignment horizontal="right"/>
    </xf>
    <xf numFmtId="164" fontId="4" fillId="4" borderId="13" xfId="0" applyNumberFormat="1" applyFont="1" applyFill="1" applyBorder="1" applyAlignment="1">
      <alignment horizontal="right"/>
    </xf>
    <xf numFmtId="164" fontId="4" fillId="4" borderId="14" xfId="0" applyNumberFormat="1" applyFont="1" applyFill="1" applyBorder="1" applyAlignment="1">
      <alignment horizontal="right"/>
    </xf>
    <xf numFmtId="4" fontId="4" fillId="5" borderId="5" xfId="0" applyNumberFormat="1" applyFont="1" applyFill="1" applyBorder="1" applyAlignment="1">
      <alignment horizontal="right"/>
    </xf>
    <xf numFmtId="164" fontId="4" fillId="4" borderId="9" xfId="0" applyNumberFormat="1" applyFont="1" applyFill="1" applyBorder="1" applyAlignment="1">
      <alignment horizontal="center" vertical="center" wrapText="1" readingOrder="2"/>
    </xf>
    <xf numFmtId="164" fontId="4" fillId="4" borderId="10" xfId="0" applyNumberFormat="1" applyFont="1" applyFill="1" applyBorder="1" applyAlignment="1">
      <alignment horizontal="center" vertical="center" wrapText="1" readingOrder="2"/>
    </xf>
    <xf numFmtId="164" fontId="4" fillId="4" borderId="11" xfId="0" applyNumberFormat="1" applyFont="1" applyFill="1" applyBorder="1" applyAlignment="1">
      <alignment horizontal="right"/>
    </xf>
    <xf numFmtId="164" fontId="4" fillId="4" borderId="12" xfId="0" applyNumberFormat="1" applyFont="1" applyFill="1" applyBorder="1" applyAlignment="1">
      <alignment horizontal="right"/>
    </xf>
    <xf numFmtId="4" fontId="4" fillId="4" borderId="13" xfId="0" applyNumberFormat="1" applyFont="1" applyFill="1" applyBorder="1" applyAlignment="1">
      <alignment horizontal="right"/>
    </xf>
    <xf numFmtId="4" fontId="4" fillId="4" borderId="14" xfId="0" applyNumberFormat="1" applyFont="1" applyFill="1" applyBorder="1" applyAlignment="1">
      <alignment horizontal="right" readingOrder="2"/>
    </xf>
    <xf numFmtId="164" fontId="3" fillId="5" borderId="9" xfId="0" applyNumberFormat="1" applyFont="1" applyFill="1" applyBorder="1" applyAlignment="1">
      <alignment horizontal="right"/>
    </xf>
    <xf numFmtId="164" fontId="3" fillId="5" borderId="10" xfId="0" applyNumberFormat="1" applyFont="1" applyFill="1" applyBorder="1" applyAlignment="1">
      <alignment horizontal="right"/>
    </xf>
    <xf numFmtId="164" fontId="3" fillId="5" borderId="11" xfId="0" applyNumberFormat="1" applyFont="1" applyFill="1" applyBorder="1" applyAlignment="1">
      <alignment horizontal="right"/>
    </xf>
    <xf numFmtId="164" fontId="3" fillId="5" borderId="12" xfId="0" applyNumberFormat="1" applyFont="1" applyFill="1" applyBorder="1" applyAlignment="1">
      <alignment horizontal="right"/>
    </xf>
    <xf numFmtId="164" fontId="4" fillId="5" borderId="14" xfId="0" applyNumberFormat="1" applyFont="1" applyFill="1" applyBorder="1" applyAlignment="1">
      <alignment horizontal="right"/>
    </xf>
    <xf numFmtId="164" fontId="3" fillId="5" borderId="13" xfId="0" applyNumberFormat="1" applyFont="1" applyFill="1" applyBorder="1" applyAlignment="1">
      <alignment horizontal="right"/>
    </xf>
    <xf numFmtId="0" fontId="3" fillId="0" borderId="0" xfId="2" applyFont="1" applyAlignment="1">
      <alignment horizontal="right" readingOrder="2"/>
    </xf>
    <xf numFmtId="0" fontId="5" fillId="0" borderId="0" xfId="2" applyFont="1" applyAlignment="1">
      <alignment horizontal="right" readingOrder="2"/>
    </xf>
    <xf numFmtId="0" fontId="6" fillId="0" borderId="0" xfId="2"/>
    <xf numFmtId="0" fontId="3" fillId="0" borderId="0" xfId="2" applyFont="1" applyAlignment="1">
      <alignment horizontal="right" readingOrder="1"/>
    </xf>
    <xf numFmtId="0" fontId="4" fillId="0" borderId="0" xfId="2" applyFont="1" applyAlignment="1">
      <alignment horizontal="right" readingOrder="2"/>
    </xf>
    <xf numFmtId="0" fontId="2" fillId="0" borderId="0" xfId="2" applyFont="1" applyAlignment="1">
      <alignment horizontal="right" readingOrder="2"/>
    </xf>
    <xf numFmtId="0" fontId="1" fillId="0" borderId="0" xfId="44"/>
    <xf numFmtId="0" fontId="3" fillId="0" borderId="0" xfId="2" applyFont="1" applyAlignment="1">
      <alignment horizontal="right" readingOrder="2"/>
    </xf>
    <xf numFmtId="0" fontId="4" fillId="3" borderId="0" xfId="2" applyFont="1" applyFill="1" applyAlignment="1">
      <alignment horizontal="right" vertical="center" readingOrder="2"/>
    </xf>
    <xf numFmtId="164" fontId="4" fillId="4" borderId="6" xfId="2" applyNumberFormat="1" applyFont="1" applyFill="1" applyBorder="1" applyAlignment="1">
      <alignment horizontal="center" vertical="center" wrapText="1" readingOrder="2"/>
    </xf>
    <xf numFmtId="164" fontId="4" fillId="4" borderId="4" xfId="2" applyNumberFormat="1" applyFont="1" applyFill="1" applyBorder="1" applyAlignment="1">
      <alignment horizontal="center" vertical="center" wrapText="1" readingOrder="2"/>
    </xf>
    <xf numFmtId="164" fontId="4" fillId="5" borderId="6" xfId="2" applyNumberFormat="1" applyFont="1" applyFill="1" applyBorder="1" applyAlignment="1">
      <alignment horizontal="center" vertical="center" wrapText="1" readingOrder="2"/>
    </xf>
    <xf numFmtId="164" fontId="4" fillId="5" borderId="4" xfId="2" applyNumberFormat="1" applyFont="1" applyFill="1" applyBorder="1" applyAlignment="1">
      <alignment horizontal="center" vertical="center" wrapText="1" readingOrder="2"/>
    </xf>
    <xf numFmtId="164" fontId="4" fillId="5" borderId="2" xfId="2" applyNumberFormat="1" applyFont="1" applyFill="1" applyBorder="1" applyAlignment="1">
      <alignment horizontal="center" vertical="center" wrapText="1" readingOrder="2"/>
    </xf>
    <xf numFmtId="0" fontId="3" fillId="2" borderId="6" xfId="2" applyFont="1" applyFill="1" applyBorder="1" applyAlignment="1">
      <alignment horizontal="right" readingOrder="2"/>
    </xf>
    <xf numFmtId="164" fontId="3" fillId="4" borderId="7" xfId="2" applyNumberFormat="1" applyFont="1" applyFill="1" applyBorder="1" applyAlignment="1">
      <alignment horizontal="right"/>
    </xf>
    <xf numFmtId="164" fontId="3" fillId="4" borderId="0" xfId="2" applyNumberFormat="1" applyFont="1" applyFill="1" applyBorder="1" applyAlignment="1">
      <alignment horizontal="right"/>
    </xf>
    <xf numFmtId="164" fontId="3" fillId="5" borderId="7" xfId="2" applyNumberFormat="1" applyFont="1" applyFill="1" applyBorder="1" applyAlignment="1">
      <alignment horizontal="right"/>
    </xf>
    <xf numFmtId="164" fontId="3" fillId="5" borderId="0" xfId="2" applyNumberFormat="1" applyFont="1" applyFill="1" applyBorder="1" applyAlignment="1">
      <alignment horizontal="right"/>
    </xf>
    <xf numFmtId="164" fontId="3" fillId="5" borderId="1" xfId="2" applyNumberFormat="1" applyFont="1" applyFill="1" applyBorder="1" applyAlignment="1">
      <alignment horizontal="right"/>
    </xf>
    <xf numFmtId="0" fontId="3" fillId="2" borderId="7" xfId="2" applyFont="1" applyFill="1" applyBorder="1" applyAlignment="1">
      <alignment horizontal="right" readingOrder="2"/>
    </xf>
    <xf numFmtId="0" fontId="4" fillId="2" borderId="7" xfId="2" applyFont="1" applyFill="1" applyBorder="1" applyAlignment="1">
      <alignment horizontal="right" readingOrder="2"/>
    </xf>
    <xf numFmtId="164" fontId="4" fillId="4" borderId="7" xfId="2" applyNumberFormat="1" applyFont="1" applyFill="1" applyBorder="1" applyAlignment="1">
      <alignment horizontal="right"/>
    </xf>
    <xf numFmtId="164" fontId="4" fillId="4" borderId="0" xfId="2" applyNumberFormat="1" applyFont="1" applyFill="1" applyBorder="1" applyAlignment="1">
      <alignment horizontal="right"/>
    </xf>
    <xf numFmtId="164" fontId="4" fillId="5" borderId="7" xfId="2" applyNumberFormat="1" applyFont="1" applyFill="1" applyBorder="1" applyAlignment="1">
      <alignment horizontal="right"/>
    </xf>
    <xf numFmtId="164" fontId="4" fillId="5" borderId="0" xfId="2" applyNumberFormat="1" applyFont="1" applyFill="1" applyBorder="1" applyAlignment="1">
      <alignment horizontal="right"/>
    </xf>
    <xf numFmtId="164" fontId="4" fillId="5" borderId="1" xfId="2" applyNumberFormat="1" applyFont="1" applyFill="1" applyBorder="1" applyAlignment="1">
      <alignment horizontal="right"/>
    </xf>
    <xf numFmtId="0" fontId="4" fillId="2" borderId="8" xfId="2" applyFont="1" applyFill="1" applyBorder="1" applyAlignment="1">
      <alignment horizontal="right" readingOrder="2"/>
    </xf>
    <xf numFmtId="4" fontId="4" fillId="4" borderId="8" xfId="2" applyNumberFormat="1" applyFont="1" applyFill="1" applyBorder="1" applyAlignment="1">
      <alignment horizontal="right"/>
    </xf>
    <xf numFmtId="4" fontId="4" fillId="4" borderId="5" xfId="2" applyNumberFormat="1" applyFont="1" applyFill="1" applyBorder="1" applyAlignment="1">
      <alignment horizontal="right" readingOrder="2"/>
    </xf>
    <xf numFmtId="4" fontId="4" fillId="5" borderId="8" xfId="2" applyNumberFormat="1" applyFont="1" applyFill="1" applyBorder="1" applyAlignment="1">
      <alignment horizontal="right"/>
    </xf>
    <xf numFmtId="4" fontId="4" fillId="5" borderId="5" xfId="2" applyNumberFormat="1" applyFont="1" applyFill="1" applyBorder="1" applyAlignment="1">
      <alignment horizontal="right" readingOrder="2"/>
    </xf>
    <xf numFmtId="4" fontId="4" fillId="5" borderId="3" xfId="2" applyNumberFormat="1" applyFont="1" applyFill="1" applyBorder="1" applyAlignment="1">
      <alignment horizontal="right" readingOrder="2"/>
    </xf>
    <xf numFmtId="164" fontId="3" fillId="4" borderId="6" xfId="2" applyNumberFormat="1" applyFont="1" applyFill="1" applyBorder="1" applyAlignment="1">
      <alignment horizontal="right"/>
    </xf>
    <xf numFmtId="164" fontId="3" fillId="4" borderId="4" xfId="2" applyNumberFormat="1" applyFont="1" applyFill="1" applyBorder="1" applyAlignment="1">
      <alignment horizontal="right"/>
    </xf>
    <xf numFmtId="164" fontId="3" fillId="5" borderId="6" xfId="2" applyNumberFormat="1" applyFont="1" applyFill="1" applyBorder="1" applyAlignment="1">
      <alignment horizontal="right"/>
    </xf>
    <xf numFmtId="164" fontId="3" fillId="5" borderId="4" xfId="2" applyNumberFormat="1" applyFont="1" applyFill="1" applyBorder="1" applyAlignment="1">
      <alignment horizontal="right"/>
    </xf>
    <xf numFmtId="164" fontId="3" fillId="5" borderId="2" xfId="2" applyNumberFormat="1" applyFont="1" applyFill="1" applyBorder="1" applyAlignment="1">
      <alignment horizontal="right"/>
    </xf>
    <xf numFmtId="164" fontId="4" fillId="4" borderId="8" xfId="2" applyNumberFormat="1" applyFont="1" applyFill="1" applyBorder="1" applyAlignment="1">
      <alignment horizontal="right"/>
    </xf>
    <xf numFmtId="164" fontId="4" fillId="4" borderId="5" xfId="2" applyNumberFormat="1" applyFont="1" applyFill="1" applyBorder="1" applyAlignment="1">
      <alignment horizontal="right"/>
    </xf>
    <xf numFmtId="164" fontId="4" fillId="5" borderId="8" xfId="2" applyNumberFormat="1" applyFont="1" applyFill="1" applyBorder="1" applyAlignment="1">
      <alignment horizontal="right"/>
    </xf>
    <xf numFmtId="164" fontId="4" fillId="5" borderId="5" xfId="2" applyNumberFormat="1" applyFont="1" applyFill="1" applyBorder="1" applyAlignment="1">
      <alignment horizontal="right"/>
    </xf>
    <xf numFmtId="164" fontId="4" fillId="5" borderId="3" xfId="2" applyNumberFormat="1" applyFont="1" applyFill="1" applyBorder="1" applyAlignment="1">
      <alignment horizontal="right"/>
    </xf>
    <xf numFmtId="4" fontId="6" fillId="0" borderId="0" xfId="2" applyNumberFormat="1"/>
    <xf numFmtId="10" fontId="1" fillId="0" borderId="0" xfId="3" applyNumberFormat="1" applyFont="1"/>
    <xf numFmtId="164" fontId="3" fillId="4" borderId="9" xfId="2" applyNumberFormat="1" applyFont="1" applyFill="1" applyBorder="1" applyAlignment="1">
      <alignment horizontal="right"/>
    </xf>
    <xf numFmtId="164" fontId="3" fillId="4" borderId="10" xfId="2" applyNumberFormat="1" applyFont="1" applyFill="1" applyBorder="1" applyAlignment="1">
      <alignment horizontal="right"/>
    </xf>
    <xf numFmtId="164" fontId="3" fillId="4" borderId="11" xfId="2" applyNumberFormat="1" applyFont="1" applyFill="1" applyBorder="1" applyAlignment="1">
      <alignment horizontal="right"/>
    </xf>
    <xf numFmtId="164" fontId="3" fillId="4" borderId="12" xfId="2" applyNumberFormat="1" applyFont="1" applyFill="1" applyBorder="1" applyAlignment="1">
      <alignment horizontal="right"/>
    </xf>
    <xf numFmtId="164" fontId="4" fillId="4" borderId="13" xfId="2" applyNumberFormat="1" applyFont="1" applyFill="1" applyBorder="1" applyAlignment="1">
      <alignment horizontal="right"/>
    </xf>
    <xf numFmtId="164" fontId="4" fillId="4" borderId="14" xfId="2" applyNumberFormat="1" applyFont="1" applyFill="1" applyBorder="1" applyAlignment="1">
      <alignment horizontal="right"/>
    </xf>
    <xf numFmtId="164" fontId="3" fillId="5" borderId="9" xfId="2" applyNumberFormat="1" applyFont="1" applyFill="1" applyBorder="1" applyAlignment="1">
      <alignment horizontal="right"/>
    </xf>
    <xf numFmtId="164" fontId="3" fillId="5" borderId="10" xfId="2" applyNumberFormat="1" applyFont="1" applyFill="1" applyBorder="1" applyAlignment="1">
      <alignment horizontal="right"/>
    </xf>
    <xf numFmtId="164" fontId="3" fillId="5" borderId="11" xfId="2" applyNumberFormat="1" applyFont="1" applyFill="1" applyBorder="1" applyAlignment="1">
      <alignment horizontal="right"/>
    </xf>
    <xf numFmtId="164" fontId="3" fillId="5" borderId="12" xfId="2" applyNumberFormat="1" applyFont="1" applyFill="1" applyBorder="1" applyAlignment="1">
      <alignment horizontal="right"/>
    </xf>
    <xf numFmtId="164" fontId="4" fillId="5" borderId="13" xfId="2" applyNumberFormat="1" applyFont="1" applyFill="1" applyBorder="1" applyAlignment="1">
      <alignment horizontal="right"/>
    </xf>
    <xf numFmtId="164" fontId="4" fillId="5" borderId="14" xfId="2" applyNumberFormat="1" applyFont="1" applyFill="1" applyBorder="1" applyAlignment="1">
      <alignment horizontal="right"/>
    </xf>
    <xf numFmtId="164" fontId="4" fillId="5" borderId="9" xfId="2" applyNumberFormat="1" applyFont="1" applyFill="1" applyBorder="1" applyAlignment="1">
      <alignment horizontal="center" vertical="center" wrapText="1" readingOrder="2"/>
    </xf>
    <xf numFmtId="164" fontId="4" fillId="5" borderId="10" xfId="2" applyNumberFormat="1" applyFont="1" applyFill="1" applyBorder="1" applyAlignment="1">
      <alignment horizontal="center" vertical="center" wrapText="1" readingOrder="2"/>
    </xf>
    <xf numFmtId="164" fontId="4" fillId="5" borderId="12" xfId="2" applyNumberFormat="1" applyFont="1" applyFill="1" applyBorder="1" applyAlignment="1">
      <alignment horizontal="right"/>
    </xf>
    <xf numFmtId="4" fontId="4" fillId="5" borderId="13" xfId="2" applyNumberFormat="1" applyFont="1" applyFill="1" applyBorder="1" applyAlignment="1">
      <alignment horizontal="right"/>
    </xf>
    <xf numFmtId="4" fontId="4" fillId="5" borderId="14" xfId="2" applyNumberFormat="1" applyFont="1" applyFill="1" applyBorder="1" applyAlignment="1">
      <alignment horizontal="right" readingOrder="2"/>
    </xf>
    <xf numFmtId="164" fontId="4" fillId="5" borderId="11" xfId="2" applyNumberFormat="1" applyFont="1" applyFill="1" applyBorder="1" applyAlignment="1">
      <alignment horizontal="right"/>
    </xf>
  </cellXfs>
  <cellStyles count="77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 2" xfId="54" xr:uid="{00000000-0005-0000-0000-000001000000}"/>
    <cellStyle name="Comma 2 2" xfId="73" xr:uid="{94B31669-23E9-4E30-B72E-F6B262769F5C}"/>
    <cellStyle name="Comma 3" xfId="72" xr:uid="{00000000-0005-0000-0000-00004B000000}"/>
    <cellStyle name="Comma 4" xfId="45" xr:uid="{00000000-0005-0000-0000-000032000000}"/>
    <cellStyle name="Explanatory Text" xfId="18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rmal 10" xfId="53" xr:uid="{00000000-0005-0000-0000-000003000000}"/>
    <cellStyle name="Normal 10 10" xfId="2" xr:uid="{758BDEF0-7C9C-4C1F-847A-D5A2EC18FD48}"/>
    <cellStyle name="Normal 11" xfId="63" xr:uid="{00000000-0005-0000-0000-000005000000}"/>
    <cellStyle name="Normal 12" xfId="65" xr:uid="{00000000-0005-0000-0000-000006000000}"/>
    <cellStyle name="Normal 13" xfId="66" xr:uid="{00000000-0005-0000-0000-000007000000}"/>
    <cellStyle name="Normal 14" xfId="67" xr:uid="{00000000-0005-0000-0000-000008000000}"/>
    <cellStyle name="Normal 15" xfId="68" xr:uid="{00000000-0005-0000-0000-000009000000}"/>
    <cellStyle name="Normal 16" xfId="69" xr:uid="{00000000-0005-0000-0000-000048000000}"/>
    <cellStyle name="Normal 17" xfId="70" xr:uid="{00000000-0005-0000-0000-00004A000000}"/>
    <cellStyle name="Normal 18" xfId="74" xr:uid="{00000000-0005-0000-0000-00004D000000}"/>
    <cellStyle name="Normal 19" xfId="44" xr:uid="{00000000-0005-0000-0000-000036000000}"/>
    <cellStyle name="Normal 2" xfId="46" xr:uid="{00000000-0005-0000-0000-00000A000000}"/>
    <cellStyle name="Normal 3" xfId="47" xr:uid="{00000000-0005-0000-0000-00000B000000}"/>
    <cellStyle name="Normal 3 2" xfId="55" xr:uid="{00000000-0005-0000-0000-00000C000000}"/>
    <cellStyle name="Normal 4" xfId="48" xr:uid="{00000000-0005-0000-0000-00000D000000}"/>
    <cellStyle name="Normal 4 2" xfId="56" xr:uid="{00000000-0005-0000-0000-00000E000000}"/>
    <cellStyle name="Normal 5" xfId="49" xr:uid="{00000000-0005-0000-0000-00000F000000}"/>
    <cellStyle name="Normal 5 2" xfId="57" xr:uid="{00000000-0005-0000-0000-000010000000}"/>
    <cellStyle name="Normal 6" xfId="50" xr:uid="{00000000-0005-0000-0000-000011000000}"/>
    <cellStyle name="Normal 6 2" xfId="58" xr:uid="{00000000-0005-0000-0000-000012000000}"/>
    <cellStyle name="Normal 7" xfId="51" xr:uid="{00000000-0005-0000-0000-000013000000}"/>
    <cellStyle name="Normal 7 2" xfId="59" xr:uid="{00000000-0005-0000-0000-000014000000}"/>
    <cellStyle name="Normal 76" xfId="62" xr:uid="{00000000-0005-0000-0000-000015000000}"/>
    <cellStyle name="Normal 8" xfId="52" xr:uid="{00000000-0005-0000-0000-000016000000}"/>
    <cellStyle name="Normal 8 2" xfId="60" xr:uid="{00000000-0005-0000-0000-000017000000}"/>
    <cellStyle name="Normal 85" xfId="64" xr:uid="{00000000-0005-0000-0000-000018000000}"/>
    <cellStyle name="Normal 9" xfId="1" xr:uid="{00000000-0005-0000-0000-000001000000}"/>
    <cellStyle name="Normal 93" xfId="76" xr:uid="{604483E6-CD27-4B97-A03B-88CC35C18A2D}"/>
    <cellStyle name="Normal 97" xfId="75" xr:uid="{04F66A8E-B57C-46BC-8474-35F383BB088E}"/>
    <cellStyle name="Note 2" xfId="71" xr:uid="{00000000-0005-0000-0000-000051000000}"/>
    <cellStyle name="Output" xfId="13" builtinId="21" customBuiltin="1"/>
    <cellStyle name="Percent 2" xfId="61" xr:uid="{00000000-0005-0000-0000-00001B000000}"/>
    <cellStyle name="Percent 3" xfId="3" xr:uid="{BB3C6931-CCE4-4563-B2A7-5CBF79587D18}"/>
    <cellStyle name="Title" xfId="4" builtinId="15" customBuiltin="1"/>
    <cellStyle name="Total" xfId="19" builtinId="25" customBuiltin="1"/>
    <cellStyle name="Warning Text" xfId="17" builtinId="11" customBuiltin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G-TS\HomeFolder\Shared\&#1499;&#1505;&#1508;&#1497;&#1501;\&#1499;&#1505;&#1508;&#1497;&#1501;\2023\05\&#1504;&#1514;&#1493;&#1504;&#1497;&#1501;%20&#1500;&#1488;&#1514;&#1512;%20&#1492;&#1511;&#1493;&#1508;&#1492;\&#1491;&#1497;&#1493;&#1493;&#1495;%20&#1512;&#1489;&#1506;&#1493;&#1504;&#1497;\&#1502;&#1512;&#1499;&#1497;&#1489;&#1497;%20&#1514;&#1513;&#1493;&#1488;&#1492;\&#1504;&#1497;&#1506;%20&#1495;&#1491;&#1513;%20-%20&#1514;&#1513;&#1493;&#1488;&#1492;%20&#1500;&#1488;&#1508;&#1497;&#1511;&#1497;&#1501;%20-%20&#1497;&#1504;&#1493;&#1488;&#1512;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G-TS\HomeFolder\Shared\&#1499;&#1505;&#1508;&#1497;&#1501;\&#1499;&#1505;&#1508;&#1497;&#1501;\2023\05\&#1504;&#1514;&#1493;&#1504;&#1497;&#1501;%20&#1500;&#1488;&#1514;&#1512;%20&#1492;&#1511;&#1493;&#1508;&#1492;\&#1491;&#1497;&#1493;&#1493;&#1495;%20&#1512;&#1489;&#1506;&#1493;&#1504;&#1497;\&#1502;&#1512;&#1499;&#1497;&#1489;&#1497;%20&#1514;&#1513;&#1493;&#1488;&#1492;\&#1504;&#1497;&#1506;%20-%20&#1514;&#1513;&#1493;&#1488;&#1492;%20&#1500;&#1488;&#1508;&#1497;&#1511;&#1497;&#1501;%20-%2012-2020%20-%20&#1491;&#1497;&#1493;&#1493;&#1495;%20&#1502;&#1510;&#1496;&#1489;&#151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נספחים"/>
      <sheetName val="תשואה"/>
      <sheetName val="דוח רווח"/>
      <sheetName val="דוח שערוך נוכחי"/>
      <sheetName val="דוח שערוך חודש קודם"/>
      <sheetName val="השלמה"/>
      <sheetName val="קודים לאוצר"/>
      <sheetName val="פורמט להדבקת ערכים"/>
    </sheetNames>
    <sheetDataSet>
      <sheetData sheetId="0" refreshError="1"/>
      <sheetData sheetId="1" refreshError="1">
        <row r="6">
          <cell r="A6">
            <v>8.8610000000000008E-3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נספח א"/>
      <sheetName val="נספח ב"/>
      <sheetName val="נספח ג"/>
      <sheetName val="תשואה"/>
      <sheetName val="דוח רווח"/>
      <sheetName val="דוח שערוך נוכחי"/>
      <sheetName val="דוח שערוך חודש קודם"/>
      <sheetName val="השלמה"/>
      <sheetName val="קודים לאוצר"/>
    </sheetNames>
    <sheetDataSet>
      <sheetData sheetId="0"/>
      <sheetData sheetId="1"/>
      <sheetData sheetId="2"/>
      <sheetData sheetId="3">
        <row r="6">
          <cell r="A6">
            <v>4.6843340632848784E-2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8"/>
  <sheetViews>
    <sheetView rightToLeft="1" tabSelected="1" workbookViewId="0">
      <selection activeCell="E37" sqref="E37:F65"/>
    </sheetView>
  </sheetViews>
  <sheetFormatPr defaultColWidth="9.140625" defaultRowHeight="12.75"/>
  <cols>
    <col min="1" max="1" width="3.7109375" style="51" customWidth="1"/>
    <col min="2" max="2" width="34.7109375" style="51" customWidth="1"/>
    <col min="3" max="4" width="11" style="51" customWidth="1"/>
    <col min="5" max="5" width="13" style="51" customWidth="1"/>
    <col min="6" max="6" width="12" style="51" customWidth="1"/>
    <col min="7" max="7" width="12.140625" style="51" bestFit="1" customWidth="1"/>
    <col min="8" max="8" width="11.85546875" style="51" customWidth="1"/>
    <col min="9" max="9" width="11.7109375" style="51" bestFit="1" customWidth="1"/>
    <col min="10" max="14" width="11" style="51" customWidth="1"/>
    <col min="15" max="15" width="11.7109375" style="51" bestFit="1" customWidth="1"/>
    <col min="16" max="26" width="11" style="51" customWidth="1"/>
    <col min="27" max="16384" width="9.140625" style="51"/>
  </cols>
  <sheetData>
    <row r="1" spans="1:26" ht="18">
      <c r="A1" s="49"/>
      <c r="B1" s="50" t="s">
        <v>0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 spans="1:26" ht="18">
      <c r="A2" s="49"/>
      <c r="B2" s="50" t="s">
        <v>1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 spans="1:26" ht="18">
      <c r="A3" s="49"/>
      <c r="B3" s="50" t="s">
        <v>2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spans="1:26">
      <c r="A4" s="49"/>
      <c r="B4" s="52">
        <v>2026</v>
      </c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spans="1:26" ht="60" customHeight="1">
      <c r="A5" s="53"/>
      <c r="B5" s="57" t="s">
        <v>3</v>
      </c>
      <c r="C5" s="58" t="s">
        <v>40</v>
      </c>
      <c r="D5" s="59" t="s">
        <v>41</v>
      </c>
      <c r="E5" s="60" t="s">
        <v>42</v>
      </c>
      <c r="F5" s="61" t="s">
        <v>43</v>
      </c>
      <c r="G5" s="58" t="s">
        <v>44</v>
      </c>
      <c r="H5" s="59" t="s">
        <v>45</v>
      </c>
      <c r="I5" s="60" t="s">
        <v>46</v>
      </c>
      <c r="J5" s="61" t="s">
        <v>47</v>
      </c>
      <c r="K5" s="58" t="s">
        <v>48</v>
      </c>
      <c r="L5" s="59" t="s">
        <v>49</v>
      </c>
      <c r="M5" s="60" t="s">
        <v>50</v>
      </c>
      <c r="N5" s="61" t="s">
        <v>51</v>
      </c>
      <c r="O5" s="58" t="s">
        <v>52</v>
      </c>
      <c r="P5" s="59" t="s">
        <v>53</v>
      </c>
      <c r="Q5" s="60" t="s">
        <v>54</v>
      </c>
      <c r="R5" s="61" t="s">
        <v>55</v>
      </c>
      <c r="S5" s="58" t="s">
        <v>56</v>
      </c>
      <c r="T5" s="59" t="s">
        <v>57</v>
      </c>
      <c r="U5" s="60" t="s">
        <v>58</v>
      </c>
      <c r="V5" s="61" t="s">
        <v>59</v>
      </c>
      <c r="W5" s="58" t="s">
        <v>60</v>
      </c>
      <c r="X5" s="59" t="s">
        <v>61</v>
      </c>
      <c r="Y5" s="60" t="s">
        <v>62</v>
      </c>
      <c r="Z5" s="62" t="s">
        <v>63</v>
      </c>
    </row>
    <row r="6" spans="1:26">
      <c r="A6" s="49"/>
      <c r="B6" s="63" t="s">
        <v>4</v>
      </c>
      <c r="C6" s="64">
        <v>-8.0835148772934138E-5</v>
      </c>
      <c r="D6" s="65">
        <v>2.8384243915598982E-2</v>
      </c>
      <c r="E6" s="66">
        <v>-1.131446437070645E-4</v>
      </c>
      <c r="F6" s="67">
        <v>2.8704948975680721E-2</v>
      </c>
      <c r="G6" s="64">
        <v>8.1264258819392228E-5</v>
      </c>
      <c r="H6" s="65">
        <v>2.7265394938514407E-2</v>
      </c>
      <c r="I6" s="66">
        <v>-5.3931920622271904E-4</v>
      </c>
      <c r="J6" s="67">
        <v>2.7007016633193635E-2</v>
      </c>
      <c r="K6" s="64">
        <v>-2.8189576525524768E-4</v>
      </c>
      <c r="L6" s="65">
        <v>2.5441667598173786E-2</v>
      </c>
      <c r="M6" s="66">
        <v>4.609495909373134E-4</v>
      </c>
      <c r="N6" s="67">
        <v>2.7684683414798256E-2</v>
      </c>
      <c r="O6" s="64"/>
      <c r="P6" s="65"/>
      <c r="Q6" s="66"/>
      <c r="R6" s="67"/>
      <c r="S6" s="64"/>
      <c r="T6" s="65"/>
      <c r="U6" s="66"/>
      <c r="V6" s="67"/>
      <c r="W6" s="64"/>
      <c r="X6" s="65"/>
      <c r="Y6" s="66"/>
      <c r="Z6" s="68"/>
    </row>
    <row r="7" spans="1:26">
      <c r="A7" s="49"/>
      <c r="B7" s="69" t="s">
        <v>5</v>
      </c>
      <c r="C7" s="64">
        <v>1.3457008473074879E-4</v>
      </c>
      <c r="D7" s="65">
        <v>0.52334968273429339</v>
      </c>
      <c r="E7" s="66">
        <v>-3.9810639329948922E-3</v>
      </c>
      <c r="F7" s="67">
        <v>0.52064459184048784</v>
      </c>
      <c r="G7" s="64">
        <v>-8.4616073609639544E-3</v>
      </c>
      <c r="H7" s="65">
        <v>0.51467419727406116</v>
      </c>
      <c r="I7" s="66">
        <v>6.058020486609206E-3</v>
      </c>
      <c r="J7" s="67">
        <v>0.50918558155477334</v>
      </c>
      <c r="K7" s="64">
        <v>8.2900985008749917E-3</v>
      </c>
      <c r="L7" s="65">
        <v>0.51099021534253553</v>
      </c>
      <c r="M7" s="66">
        <v>6.3657108791488994E-4</v>
      </c>
      <c r="N7" s="67">
        <v>0.51058989014033207</v>
      </c>
      <c r="O7" s="64"/>
      <c r="P7" s="65"/>
      <c r="Q7" s="66"/>
      <c r="R7" s="67"/>
      <c r="S7" s="64"/>
      <c r="T7" s="65"/>
      <c r="U7" s="66"/>
      <c r="V7" s="67"/>
      <c r="W7" s="64"/>
      <c r="X7" s="65"/>
      <c r="Y7" s="66"/>
      <c r="Z7" s="68"/>
    </row>
    <row r="8" spans="1:26">
      <c r="A8" s="49"/>
      <c r="B8" s="69" t="s">
        <v>6</v>
      </c>
      <c r="C8" s="64">
        <v>0</v>
      </c>
      <c r="D8" s="65">
        <v>0</v>
      </c>
      <c r="E8" s="66">
        <v>0</v>
      </c>
      <c r="F8" s="67">
        <v>0</v>
      </c>
      <c r="G8" s="64">
        <v>0</v>
      </c>
      <c r="H8" s="65">
        <v>0</v>
      </c>
      <c r="I8" s="66">
        <v>0</v>
      </c>
      <c r="J8" s="67">
        <v>0</v>
      </c>
      <c r="K8" s="64">
        <v>0</v>
      </c>
      <c r="L8" s="65">
        <v>0</v>
      </c>
      <c r="M8" s="66">
        <v>0</v>
      </c>
      <c r="N8" s="67">
        <v>0</v>
      </c>
      <c r="O8" s="64"/>
      <c r="P8" s="65"/>
      <c r="Q8" s="66"/>
      <c r="R8" s="67"/>
      <c r="S8" s="64"/>
      <c r="T8" s="65"/>
      <c r="U8" s="66"/>
      <c r="V8" s="67"/>
      <c r="W8" s="64"/>
      <c r="X8" s="65"/>
      <c r="Y8" s="66"/>
      <c r="Z8" s="68"/>
    </row>
    <row r="9" spans="1:26">
      <c r="A9" s="49"/>
      <c r="B9" s="69" t="s">
        <v>7</v>
      </c>
      <c r="C9" s="64">
        <v>0</v>
      </c>
      <c r="D9" s="65">
        <v>0</v>
      </c>
      <c r="E9" s="66">
        <v>0</v>
      </c>
      <c r="F9" s="67">
        <v>0</v>
      </c>
      <c r="G9" s="64">
        <v>0</v>
      </c>
      <c r="H9" s="65">
        <v>0</v>
      </c>
      <c r="I9" s="66">
        <v>0</v>
      </c>
      <c r="J9" s="67">
        <v>0</v>
      </c>
      <c r="K9" s="64">
        <v>0</v>
      </c>
      <c r="L9" s="65">
        <v>0</v>
      </c>
      <c r="M9" s="66">
        <v>0</v>
      </c>
      <c r="N9" s="67">
        <v>0</v>
      </c>
      <c r="O9" s="64"/>
      <c r="P9" s="65"/>
      <c r="Q9" s="66"/>
      <c r="R9" s="67"/>
      <c r="S9" s="64"/>
      <c r="T9" s="65"/>
      <c r="U9" s="66"/>
      <c r="V9" s="67"/>
      <c r="W9" s="64"/>
      <c r="X9" s="65"/>
      <c r="Y9" s="66"/>
      <c r="Z9" s="68"/>
    </row>
    <row r="10" spans="1:26">
      <c r="A10" s="49"/>
      <c r="B10" s="69" t="s">
        <v>8</v>
      </c>
      <c r="C10" s="64">
        <v>1.8964150787876576E-4</v>
      </c>
      <c r="D10" s="65">
        <v>0.10924740801394708</v>
      </c>
      <c r="E10" s="66">
        <v>-7.4567577357161356E-4</v>
      </c>
      <c r="F10" s="67">
        <v>0.10860909332440701</v>
      </c>
      <c r="G10" s="64">
        <v>-4.7720547792374525E-4</v>
      </c>
      <c r="H10" s="65">
        <v>0.1154626271378224</v>
      </c>
      <c r="I10" s="66">
        <v>1.37779078847004E-3</v>
      </c>
      <c r="J10" s="67">
        <v>0.11882923763650531</v>
      </c>
      <c r="K10" s="64">
        <v>2.5339624953767607E-3</v>
      </c>
      <c r="L10" s="65">
        <v>0.12391527921724278</v>
      </c>
      <c r="M10" s="66">
        <v>4.4635506259708963E-4</v>
      </c>
      <c r="N10" s="67">
        <v>0.12201597869415501</v>
      </c>
      <c r="O10" s="64"/>
      <c r="P10" s="65"/>
      <c r="Q10" s="66"/>
      <c r="R10" s="67"/>
      <c r="S10" s="64"/>
      <c r="T10" s="65"/>
      <c r="U10" s="66"/>
      <c r="V10" s="67"/>
      <c r="W10" s="64"/>
      <c r="X10" s="65"/>
      <c r="Y10" s="66"/>
      <c r="Z10" s="68"/>
    </row>
    <row r="11" spans="1:26">
      <c r="A11" s="49"/>
      <c r="B11" s="69" t="s">
        <v>9</v>
      </c>
      <c r="C11" s="64">
        <v>1.7017283905618991E-4</v>
      </c>
      <c r="D11" s="65">
        <v>1.7641571978877828E-2</v>
      </c>
      <c r="E11" s="66">
        <v>-2.5159713668201179E-4</v>
      </c>
      <c r="F11" s="67">
        <v>1.7586883909610003E-2</v>
      </c>
      <c r="G11" s="64">
        <v>-1.3384642048008656E-4</v>
      </c>
      <c r="H11" s="65">
        <v>1.7443406879493608E-2</v>
      </c>
      <c r="I11" s="66">
        <v>2.9606909252384003E-4</v>
      </c>
      <c r="J11" s="67">
        <v>1.7465644968061633E-2</v>
      </c>
      <c r="K11" s="64">
        <v>3.3392934766368355E-4</v>
      </c>
      <c r="L11" s="65">
        <v>1.1680043321737308E-2</v>
      </c>
      <c r="M11" s="66">
        <v>1.7905508747521431E-5</v>
      </c>
      <c r="N11" s="67">
        <v>1.2441567430445511E-2</v>
      </c>
      <c r="O11" s="64"/>
      <c r="P11" s="65"/>
      <c r="Q11" s="66"/>
      <c r="R11" s="67"/>
      <c r="S11" s="64"/>
      <c r="T11" s="65"/>
      <c r="U11" s="66"/>
      <c r="V11" s="67"/>
      <c r="W11" s="64"/>
      <c r="X11" s="65"/>
      <c r="Y11" s="66"/>
      <c r="Z11" s="68"/>
    </row>
    <row r="12" spans="1:26">
      <c r="A12" s="49"/>
      <c r="B12" s="69" t="s">
        <v>10</v>
      </c>
      <c r="C12" s="64">
        <v>3.9445644085282991E-3</v>
      </c>
      <c r="D12" s="65">
        <v>6.5480314440589563E-2</v>
      </c>
      <c r="E12" s="66">
        <v>1.7390734693482183E-3</v>
      </c>
      <c r="F12" s="67">
        <v>6.6891300933360043E-2</v>
      </c>
      <c r="G12" s="64">
        <v>-7.5561277132995608E-4</v>
      </c>
      <c r="H12" s="65">
        <v>6.6385067275156265E-2</v>
      </c>
      <c r="I12" s="66">
        <v>4.1096313039688153E-3</v>
      </c>
      <c r="J12" s="67">
        <v>6.2629746104579026E-2</v>
      </c>
      <c r="K12" s="64">
        <v>1.3480971534137038E-3</v>
      </c>
      <c r="L12" s="65">
        <v>6.1459222056631763E-2</v>
      </c>
      <c r="M12" s="66">
        <v>-3.0804361750947184E-3</v>
      </c>
      <c r="N12" s="67">
        <v>5.8904296075911099E-2</v>
      </c>
      <c r="O12" s="64"/>
      <c r="P12" s="65"/>
      <c r="Q12" s="66"/>
      <c r="R12" s="67"/>
      <c r="S12" s="64"/>
      <c r="T12" s="65"/>
      <c r="U12" s="66"/>
      <c r="V12" s="67"/>
      <c r="W12" s="64"/>
      <c r="X12" s="65"/>
      <c r="Y12" s="66"/>
      <c r="Z12" s="68"/>
    </row>
    <row r="13" spans="1:26">
      <c r="A13" s="49"/>
      <c r="B13" s="69" t="s">
        <v>11</v>
      </c>
      <c r="C13" s="64">
        <v>3.492015375045696E-4</v>
      </c>
      <c r="D13" s="65">
        <v>4.7793067310710716E-2</v>
      </c>
      <c r="E13" s="66">
        <v>4.1980801103479827E-4</v>
      </c>
      <c r="F13" s="67">
        <v>4.7866152032238075E-2</v>
      </c>
      <c r="G13" s="64">
        <v>-2.7661469108658386E-3</v>
      </c>
      <c r="H13" s="65">
        <v>4.6102727231198716E-2</v>
      </c>
      <c r="I13" s="66">
        <v>1.896742245476522E-3</v>
      </c>
      <c r="J13" s="67">
        <v>5.6752342689693383E-2</v>
      </c>
      <c r="K13" s="64">
        <v>6.1624022086361461E-4</v>
      </c>
      <c r="L13" s="65">
        <v>5.6375089299962995E-2</v>
      </c>
      <c r="M13" s="66">
        <v>2.5822132758541311E-3</v>
      </c>
      <c r="N13" s="67">
        <v>5.9594831391698883E-2</v>
      </c>
      <c r="O13" s="64"/>
      <c r="P13" s="65"/>
      <c r="Q13" s="66"/>
      <c r="R13" s="67"/>
      <c r="S13" s="64"/>
      <c r="T13" s="65"/>
      <c r="U13" s="66"/>
      <c r="V13" s="67"/>
      <c r="W13" s="64"/>
      <c r="X13" s="65"/>
      <c r="Y13" s="66"/>
      <c r="Z13" s="68"/>
    </row>
    <row r="14" spans="1:26">
      <c r="A14" s="49"/>
      <c r="B14" s="69" t="s">
        <v>12</v>
      </c>
      <c r="C14" s="64">
        <v>3.0105725471686096E-5</v>
      </c>
      <c r="D14" s="65">
        <v>9.3203337090448229E-3</v>
      </c>
      <c r="E14" s="66">
        <v>1.7824708276374245E-4</v>
      </c>
      <c r="F14" s="67">
        <v>8.8159870725595547E-3</v>
      </c>
      <c r="G14" s="64">
        <v>-2.781812855937848E-4</v>
      </c>
      <c r="H14" s="65">
        <v>5.4405996405299068E-3</v>
      </c>
      <c r="I14" s="66">
        <v>2.0528213418081822E-5</v>
      </c>
      <c r="J14" s="67">
        <v>3.8978664807210392E-3</v>
      </c>
      <c r="K14" s="64">
        <v>-5.9857562540347169E-5</v>
      </c>
      <c r="L14" s="65">
        <v>5.900878849222595E-3</v>
      </c>
      <c r="M14" s="66">
        <v>3.7597776904327779E-4</v>
      </c>
      <c r="N14" s="67">
        <v>5.4462687212741287E-3</v>
      </c>
      <c r="O14" s="64"/>
      <c r="P14" s="65"/>
      <c r="Q14" s="66"/>
      <c r="R14" s="67"/>
      <c r="S14" s="64"/>
      <c r="T14" s="65"/>
      <c r="U14" s="66"/>
      <c r="V14" s="67"/>
      <c r="W14" s="64"/>
      <c r="X14" s="65"/>
      <c r="Y14" s="66"/>
      <c r="Z14" s="68"/>
    </row>
    <row r="15" spans="1:26">
      <c r="A15" s="49"/>
      <c r="B15" s="69" t="s">
        <v>13</v>
      </c>
      <c r="C15" s="64">
        <v>-2.2126451639807106E-3</v>
      </c>
      <c r="D15" s="65">
        <v>8.9497719463703149E-2</v>
      </c>
      <c r="E15" s="66">
        <v>6.168750360027029E-4</v>
      </c>
      <c r="F15" s="67">
        <v>9.0090124322683082E-2</v>
      </c>
      <c r="G15" s="64">
        <v>2.2663097112751726E-3</v>
      </c>
      <c r="H15" s="65">
        <v>9.4412269470422888E-2</v>
      </c>
      <c r="I15" s="66">
        <v>-4.4925039907909295E-3</v>
      </c>
      <c r="J15" s="67">
        <v>8.8815740036779417E-2</v>
      </c>
      <c r="K15" s="64">
        <v>-2.9900167883085602E-3</v>
      </c>
      <c r="L15" s="65">
        <v>8.4512790734405208E-2</v>
      </c>
      <c r="M15" s="66">
        <v>3.3993832035766722E-3</v>
      </c>
      <c r="N15" s="67">
        <v>8.6035783345850728E-2</v>
      </c>
      <c r="O15" s="64"/>
      <c r="P15" s="65"/>
      <c r="Q15" s="66"/>
      <c r="R15" s="67"/>
      <c r="S15" s="64"/>
      <c r="T15" s="65"/>
      <c r="U15" s="66"/>
      <c r="V15" s="67"/>
      <c r="W15" s="64"/>
      <c r="X15" s="65"/>
      <c r="Y15" s="66"/>
      <c r="Z15" s="68"/>
    </row>
    <row r="16" spans="1:26">
      <c r="A16" s="49"/>
      <c r="B16" s="69" t="s">
        <v>14</v>
      </c>
      <c r="C16" s="64">
        <v>5.4024356035121947E-5</v>
      </c>
      <c r="D16" s="65">
        <v>5.525456612503946E-4</v>
      </c>
      <c r="E16" s="66">
        <v>-4.9970815373152166E-5</v>
      </c>
      <c r="F16" s="67">
        <v>5.1314376769851693E-4</v>
      </c>
      <c r="G16" s="64">
        <v>-7.6321935156238704E-5</v>
      </c>
      <c r="H16" s="65">
        <v>3.2053319615543262E-4</v>
      </c>
      <c r="I16" s="66">
        <v>2.6729599107206663E-5</v>
      </c>
      <c r="J16" s="67">
        <v>3.3279159585671199E-4</v>
      </c>
      <c r="K16" s="64">
        <v>4.8826286162850092E-5</v>
      </c>
      <c r="L16" s="65">
        <v>3.7556577607721444E-4</v>
      </c>
      <c r="M16" s="66">
        <v>-1.0014086196925686E-4</v>
      </c>
      <c r="N16" s="67">
        <v>2.830978595861347E-4</v>
      </c>
      <c r="O16" s="64"/>
      <c r="P16" s="65"/>
      <c r="Q16" s="66"/>
      <c r="R16" s="67"/>
      <c r="S16" s="64"/>
      <c r="T16" s="65"/>
      <c r="U16" s="66"/>
      <c r="V16" s="67"/>
      <c r="W16" s="64"/>
      <c r="X16" s="65"/>
      <c r="Y16" s="66"/>
      <c r="Z16" s="68"/>
    </row>
    <row r="17" spans="1:26">
      <c r="A17" s="49"/>
      <c r="B17" s="69" t="s">
        <v>15</v>
      </c>
      <c r="C17" s="64">
        <v>2.4648800308740802E-3</v>
      </c>
      <c r="D17" s="65">
        <v>4.6719712859119335E-3</v>
      </c>
      <c r="E17" s="66">
        <v>-4.9012314406996806E-4</v>
      </c>
      <c r="F17" s="67">
        <v>4.2322957958630097E-3</v>
      </c>
      <c r="G17" s="64">
        <v>-1.8299404774253644E-3</v>
      </c>
      <c r="H17" s="65">
        <v>2.331022127152966E-3</v>
      </c>
      <c r="I17" s="66">
        <v>5.9232561161627149E-3</v>
      </c>
      <c r="J17" s="67">
        <v>7.9675706200337398E-3</v>
      </c>
      <c r="K17" s="64">
        <v>4.0183516795827927E-3</v>
      </c>
      <c r="L17" s="65">
        <v>1.1206842339760404E-2</v>
      </c>
      <c r="M17" s="66">
        <v>-3.422758325289705E-3</v>
      </c>
      <c r="N17" s="67">
        <v>5.1637410565301784E-3</v>
      </c>
      <c r="O17" s="64"/>
      <c r="P17" s="65"/>
      <c r="Q17" s="66"/>
      <c r="R17" s="67"/>
      <c r="S17" s="64"/>
      <c r="T17" s="65"/>
      <c r="U17" s="66"/>
      <c r="V17" s="67"/>
      <c r="W17" s="64"/>
      <c r="X17" s="65"/>
      <c r="Y17" s="66"/>
      <c r="Z17" s="68"/>
    </row>
    <row r="18" spans="1:26">
      <c r="A18" s="49"/>
      <c r="B18" s="69" t="s">
        <v>16</v>
      </c>
      <c r="C18" s="64">
        <v>-1.784759339384931E-4</v>
      </c>
      <c r="D18" s="65">
        <v>1.4081541724456141E-4</v>
      </c>
      <c r="E18" s="66">
        <v>3.6668194186053339E-6</v>
      </c>
      <c r="F18" s="67">
        <v>1.4830637576346718E-4</v>
      </c>
      <c r="G18" s="64">
        <v>1.4694263372415605E-4</v>
      </c>
      <c r="H18" s="65">
        <v>2.3522117916623209E-4</v>
      </c>
      <c r="I18" s="66">
        <v>-1.8643008368687927E-4</v>
      </c>
      <c r="J18" s="67">
        <v>1.6841389070064555E-4</v>
      </c>
      <c r="K18" s="64">
        <v>-6.8179373569614505E-5</v>
      </c>
      <c r="L18" s="65">
        <v>2.4817359244674089E-4</v>
      </c>
      <c r="M18" s="66">
        <v>-6.2129359728520546E-5</v>
      </c>
      <c r="N18" s="67">
        <v>1.3117840185787233E-4</v>
      </c>
      <c r="O18" s="64"/>
      <c r="P18" s="65"/>
      <c r="Q18" s="66"/>
      <c r="R18" s="67"/>
      <c r="S18" s="64"/>
      <c r="T18" s="65"/>
      <c r="U18" s="66"/>
      <c r="V18" s="67"/>
      <c r="W18" s="64"/>
      <c r="X18" s="65"/>
      <c r="Y18" s="66"/>
      <c r="Z18" s="68"/>
    </row>
    <row r="19" spans="1:26">
      <c r="A19" s="49"/>
      <c r="B19" s="69" t="s">
        <v>17</v>
      </c>
      <c r="C19" s="64">
        <v>4.0391584108673735E-5</v>
      </c>
      <c r="D19" s="65">
        <v>1.3284990883814176E-2</v>
      </c>
      <c r="E19" s="66">
        <v>3.9874653117208493E-5</v>
      </c>
      <c r="F19" s="67">
        <v>1.3562122933378157E-2</v>
      </c>
      <c r="G19" s="64">
        <v>-4.7020351080384545E-5</v>
      </c>
      <c r="H19" s="65">
        <v>1.4529563837621882E-2</v>
      </c>
      <c r="I19" s="66">
        <v>1.9167327453517081E-4</v>
      </c>
      <c r="J19" s="67">
        <v>1.3404086195868355E-2</v>
      </c>
      <c r="K19" s="64">
        <v>7.741238685613538E-5</v>
      </c>
      <c r="L19" s="65">
        <v>1.4254545383952303E-2</v>
      </c>
      <c r="M19" s="66">
        <v>6.6466703440201417E-5</v>
      </c>
      <c r="N19" s="67">
        <v>1.5622879619656195E-2</v>
      </c>
      <c r="O19" s="64"/>
      <c r="P19" s="65"/>
      <c r="Q19" s="66"/>
      <c r="R19" s="67"/>
      <c r="S19" s="64"/>
      <c r="T19" s="65"/>
      <c r="U19" s="66"/>
      <c r="V19" s="67"/>
      <c r="W19" s="64"/>
      <c r="X19" s="65"/>
      <c r="Y19" s="66"/>
      <c r="Z19" s="68"/>
    </row>
    <row r="20" spans="1:26">
      <c r="A20" s="49"/>
      <c r="B20" s="69" t="s">
        <v>18</v>
      </c>
      <c r="C20" s="64">
        <v>7.7793171994062295E-5</v>
      </c>
      <c r="D20" s="65">
        <v>7.4774264411370653E-2</v>
      </c>
      <c r="E20" s="66">
        <v>2.7913604376832369E-4</v>
      </c>
      <c r="F20" s="67">
        <v>7.5903013554029952E-2</v>
      </c>
      <c r="G20" s="64">
        <v>-1.0856689654191375E-4</v>
      </c>
      <c r="H20" s="65">
        <v>7.6079580063355093E-2</v>
      </c>
      <c r="I20" s="66">
        <v>7.6708304291433235E-4</v>
      </c>
      <c r="J20" s="67">
        <v>7.4432736259179844E-2</v>
      </c>
      <c r="K20" s="64">
        <v>8.6270114547467745E-4</v>
      </c>
      <c r="L20" s="65">
        <v>7.4771200778824307E-2</v>
      </c>
      <c r="M20" s="66">
        <v>3.1599598806417352E-4</v>
      </c>
      <c r="N20" s="67">
        <v>7.3895199863269187E-2</v>
      </c>
      <c r="O20" s="64"/>
      <c r="P20" s="65"/>
      <c r="Q20" s="66"/>
      <c r="R20" s="67"/>
      <c r="S20" s="64"/>
      <c r="T20" s="65"/>
      <c r="U20" s="66"/>
      <c r="V20" s="67"/>
      <c r="W20" s="64"/>
      <c r="X20" s="65"/>
      <c r="Y20" s="66"/>
      <c r="Z20" s="68"/>
    </row>
    <row r="21" spans="1:26">
      <c r="A21" s="49"/>
      <c r="B21" s="69" t="s">
        <v>19</v>
      </c>
      <c r="C21" s="64">
        <v>7.53095593098289E-5</v>
      </c>
      <c r="D21" s="65">
        <v>3.8332216728547325E-4</v>
      </c>
      <c r="E21" s="66">
        <v>-4.7000068877567906E-5</v>
      </c>
      <c r="F21" s="67">
        <v>3.850139708904522E-4</v>
      </c>
      <c r="G21" s="64">
        <v>-5.582233319196473E-5</v>
      </c>
      <c r="H21" s="65">
        <v>3.9016493527477492E-4</v>
      </c>
      <c r="I21" s="66">
        <v>2.6226997238387462E-4</v>
      </c>
      <c r="J21" s="67">
        <v>3.917687874614543E-4</v>
      </c>
      <c r="K21" s="64">
        <v>3.1061525515344306E-4</v>
      </c>
      <c r="L21" s="65">
        <v>3.7519375149275535E-4</v>
      </c>
      <c r="M21" s="66">
        <v>-4.3764653735468866E-4</v>
      </c>
      <c r="N21" s="67">
        <v>3.7538529751723112E-4</v>
      </c>
      <c r="O21" s="64"/>
      <c r="P21" s="65"/>
      <c r="Q21" s="66"/>
      <c r="R21" s="67"/>
      <c r="S21" s="64"/>
      <c r="T21" s="65"/>
      <c r="U21" s="66"/>
      <c r="V21" s="67"/>
      <c r="W21" s="64"/>
      <c r="X21" s="65"/>
      <c r="Y21" s="66"/>
      <c r="Z21" s="68"/>
    </row>
    <row r="22" spans="1:26">
      <c r="A22" s="49"/>
      <c r="B22" s="69" t="s">
        <v>20</v>
      </c>
      <c r="C22" s="64">
        <v>0</v>
      </c>
      <c r="D22" s="65">
        <v>0</v>
      </c>
      <c r="E22" s="66">
        <v>0</v>
      </c>
      <c r="F22" s="67">
        <v>0</v>
      </c>
      <c r="G22" s="64">
        <v>0</v>
      </c>
      <c r="H22" s="65">
        <v>0</v>
      </c>
      <c r="I22" s="66">
        <v>0</v>
      </c>
      <c r="J22" s="67">
        <v>0</v>
      </c>
      <c r="K22" s="64">
        <v>0</v>
      </c>
      <c r="L22" s="65">
        <v>0</v>
      </c>
      <c r="M22" s="66">
        <v>0</v>
      </c>
      <c r="N22" s="67">
        <v>0</v>
      </c>
      <c r="O22" s="64"/>
      <c r="P22" s="65"/>
      <c r="Q22" s="66"/>
      <c r="R22" s="67"/>
      <c r="S22" s="64"/>
      <c r="T22" s="65"/>
      <c r="U22" s="66"/>
      <c r="V22" s="67"/>
      <c r="W22" s="64"/>
      <c r="X22" s="65"/>
      <c r="Y22" s="66"/>
      <c r="Z22" s="68"/>
    </row>
    <row r="23" spans="1:26">
      <c r="A23" s="49"/>
      <c r="B23" s="69" t="s">
        <v>21</v>
      </c>
      <c r="C23" s="64">
        <v>1.183458741534692E-5</v>
      </c>
      <c r="D23" s="65">
        <v>4.6991252002459086E-3</v>
      </c>
      <c r="E23" s="66">
        <v>2.6188108573463134E-6</v>
      </c>
      <c r="F23" s="67">
        <v>4.7362827348306396E-3</v>
      </c>
      <c r="G23" s="64">
        <v>1.5204538744896916E-6</v>
      </c>
      <c r="H23" s="65">
        <v>4.9429700272743344E-3</v>
      </c>
      <c r="I23" s="66">
        <v>1.1702590373648742E-5</v>
      </c>
      <c r="J23" s="67">
        <v>4.9287187340935571E-3</v>
      </c>
      <c r="K23" s="64">
        <v>2.3799327281532211E-6</v>
      </c>
      <c r="L23" s="65">
        <v>4.8890482658718376E-3</v>
      </c>
      <c r="M23" s="66">
        <v>1.5260949476374906E-6</v>
      </c>
      <c r="N23" s="67">
        <v>4.9741951872140392E-3</v>
      </c>
      <c r="O23" s="64"/>
      <c r="P23" s="65"/>
      <c r="Q23" s="66"/>
      <c r="R23" s="67"/>
      <c r="S23" s="64"/>
      <c r="T23" s="65"/>
      <c r="U23" s="66"/>
      <c r="V23" s="67"/>
      <c r="W23" s="64"/>
      <c r="X23" s="65"/>
      <c r="Y23" s="66"/>
      <c r="Z23" s="68"/>
    </row>
    <row r="24" spans="1:26">
      <c r="A24" s="49"/>
      <c r="B24" s="69" t="s">
        <v>22</v>
      </c>
      <c r="C24" s="64">
        <v>-1.2109107701149748E-5</v>
      </c>
      <c r="D24" s="65">
        <v>1.0778623406111397E-2</v>
      </c>
      <c r="E24" s="66">
        <v>3.9090535052657291E-5</v>
      </c>
      <c r="F24" s="67">
        <v>1.1310738456519368E-2</v>
      </c>
      <c r="G24" s="64">
        <v>1.212649881076628E-4</v>
      </c>
      <c r="H24" s="65">
        <v>1.3984654786799937E-2</v>
      </c>
      <c r="I24" s="66">
        <v>-5.5923973110524038E-5</v>
      </c>
      <c r="J24" s="67">
        <v>1.3790737812498857E-2</v>
      </c>
      <c r="K24" s="64">
        <v>-5.2935416046206295E-6</v>
      </c>
      <c r="L24" s="65">
        <v>1.3604243691662398E-2</v>
      </c>
      <c r="M24" s="66">
        <v>9.6595170654824564E-6</v>
      </c>
      <c r="N24" s="67">
        <v>1.6841023499903313E-2</v>
      </c>
      <c r="O24" s="64"/>
      <c r="P24" s="65"/>
      <c r="Q24" s="66"/>
      <c r="R24" s="67"/>
      <c r="S24" s="64"/>
      <c r="T24" s="65"/>
      <c r="U24" s="66"/>
      <c r="V24" s="67"/>
      <c r="W24" s="64"/>
      <c r="X24" s="65"/>
      <c r="Y24" s="66"/>
      <c r="Z24" s="68"/>
    </row>
    <row r="25" spans="1:26">
      <c r="A25" s="53"/>
      <c r="B25" s="70" t="s">
        <v>23</v>
      </c>
      <c r="C25" s="71">
        <v>5.0584240385140866E-3</v>
      </c>
      <c r="D25" s="72">
        <v>1</v>
      </c>
      <c r="E25" s="73">
        <v>-2.3601850539126668E-3</v>
      </c>
      <c r="F25" s="74">
        <v>1</v>
      </c>
      <c r="G25" s="71">
        <v>-1.2372970174752362E-2</v>
      </c>
      <c r="H25" s="72">
        <v>1</v>
      </c>
      <c r="I25" s="73">
        <v>1.5667319472132402E-2</v>
      </c>
      <c r="J25" s="74">
        <v>1</v>
      </c>
      <c r="K25" s="71">
        <v>1.5037371372872421E-2</v>
      </c>
      <c r="L25" s="72">
        <v>1</v>
      </c>
      <c r="M25" s="73">
        <v>1.2098925427515006E-3</v>
      </c>
      <c r="N25" s="74">
        <v>1</v>
      </c>
      <c r="O25" s="71"/>
      <c r="P25" s="72"/>
      <c r="Q25" s="73"/>
      <c r="R25" s="74"/>
      <c r="S25" s="71"/>
      <c r="T25" s="72"/>
      <c r="U25" s="73"/>
      <c r="V25" s="74"/>
      <c r="W25" s="71"/>
      <c r="X25" s="72"/>
      <c r="Y25" s="73"/>
      <c r="Z25" s="75"/>
    </row>
    <row r="26" spans="1:26">
      <c r="A26" s="53"/>
      <c r="B26" s="76" t="s">
        <v>24</v>
      </c>
      <c r="C26" s="77">
        <v>64638.035012411201</v>
      </c>
      <c r="D26" s="78"/>
      <c r="E26" s="79">
        <v>-29371.7850521084</v>
      </c>
      <c r="F26" s="80"/>
      <c r="G26" s="77">
        <v>-163906.261919935</v>
      </c>
      <c r="H26" s="78"/>
      <c r="I26" s="79">
        <v>205345.27467976202</v>
      </c>
      <c r="J26" s="80"/>
      <c r="K26" s="77">
        <v>199523.50483473102</v>
      </c>
      <c r="L26" s="78"/>
      <c r="M26" s="79">
        <v>16237.0162210624</v>
      </c>
      <c r="N26" s="80"/>
      <c r="O26" s="77"/>
      <c r="P26" s="78"/>
      <c r="Q26" s="79"/>
      <c r="R26" s="80"/>
      <c r="S26" s="77"/>
      <c r="T26" s="78"/>
      <c r="U26" s="79"/>
      <c r="V26" s="80"/>
      <c r="W26" s="77"/>
      <c r="X26" s="78"/>
      <c r="Y26" s="79"/>
      <c r="Z26" s="81"/>
    </row>
    <row r="27" spans="1:26">
      <c r="A27" s="49"/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</row>
    <row r="28" spans="1:26">
      <c r="A28" s="49"/>
      <c r="B28" s="63" t="s">
        <v>25</v>
      </c>
      <c r="C28" s="82">
        <v>6.5352674153142647E-3</v>
      </c>
      <c r="D28" s="83">
        <v>0.85849472850055042</v>
      </c>
      <c r="E28" s="84">
        <v>-3.563688065778683E-3</v>
      </c>
      <c r="F28" s="85">
        <v>0.85757260839239313</v>
      </c>
      <c r="G28" s="82">
        <v>-1.0028520610592622E-2</v>
      </c>
      <c r="H28" s="83">
        <v>0.86029653774971904</v>
      </c>
      <c r="I28" s="84">
        <v>1.6771755637135288E-2</v>
      </c>
      <c r="J28" s="85">
        <v>0.85891702744095477</v>
      </c>
      <c r="K28" s="82">
        <v>1.6479579410234202E-2</v>
      </c>
      <c r="L28" s="83">
        <v>0.86080622583536448</v>
      </c>
      <c r="M28" s="84">
        <v>-5.9934104916737098E-3</v>
      </c>
      <c r="N28" s="85">
        <v>0.85417613108176715</v>
      </c>
      <c r="O28" s="82"/>
      <c r="P28" s="83"/>
      <c r="Q28" s="84"/>
      <c r="R28" s="85"/>
      <c r="S28" s="82"/>
      <c r="T28" s="83"/>
      <c r="U28" s="84"/>
      <c r="V28" s="85"/>
      <c r="W28" s="82"/>
      <c r="X28" s="83"/>
      <c r="Y28" s="84"/>
      <c r="Z28" s="86"/>
    </row>
    <row r="29" spans="1:26">
      <c r="A29" s="49"/>
      <c r="B29" s="69" t="s">
        <v>26</v>
      </c>
      <c r="C29" s="64">
        <v>-1.4768433768001783E-3</v>
      </c>
      <c r="D29" s="65">
        <v>0.14150527149944964</v>
      </c>
      <c r="E29" s="66">
        <v>1.2035030118660161E-3</v>
      </c>
      <c r="F29" s="67">
        <v>0.14242739160760687</v>
      </c>
      <c r="G29" s="64">
        <v>-2.3444495641597404E-3</v>
      </c>
      <c r="H29" s="65">
        <v>0.13970346225028099</v>
      </c>
      <c r="I29" s="66">
        <v>-1.1044361650028895E-3</v>
      </c>
      <c r="J29" s="67">
        <v>0.14108297255904514</v>
      </c>
      <c r="K29" s="64">
        <v>-1.4422080373617807E-3</v>
      </c>
      <c r="L29" s="65">
        <v>0.13919377416463549</v>
      </c>
      <c r="M29" s="66">
        <v>7.2033030344252104E-3</v>
      </c>
      <c r="N29" s="67">
        <v>0.1458238689182329</v>
      </c>
      <c r="O29" s="64"/>
      <c r="P29" s="65"/>
      <c r="Q29" s="66"/>
      <c r="R29" s="67"/>
      <c r="S29" s="64"/>
      <c r="T29" s="65"/>
      <c r="U29" s="66"/>
      <c r="V29" s="67"/>
      <c r="W29" s="64"/>
      <c r="X29" s="65"/>
      <c r="Y29" s="66"/>
      <c r="Z29" s="68"/>
    </row>
    <row r="30" spans="1:26">
      <c r="A30" s="53"/>
      <c r="B30" s="76" t="s">
        <v>23</v>
      </c>
      <c r="C30" s="87">
        <v>5.0584240385140866E-3</v>
      </c>
      <c r="D30" s="88">
        <v>1</v>
      </c>
      <c r="E30" s="89">
        <v>-2.3601850539126668E-3</v>
      </c>
      <c r="F30" s="90">
        <v>1</v>
      </c>
      <c r="G30" s="87">
        <v>-1.2372970174752362E-2</v>
      </c>
      <c r="H30" s="88">
        <v>1</v>
      </c>
      <c r="I30" s="89">
        <v>1.5667319472132402E-2</v>
      </c>
      <c r="J30" s="90">
        <v>1</v>
      </c>
      <c r="K30" s="87">
        <v>1.5037371372872421E-2</v>
      </c>
      <c r="L30" s="88">
        <v>1</v>
      </c>
      <c r="M30" s="89">
        <v>1.2098925427515006E-3</v>
      </c>
      <c r="N30" s="90">
        <v>1</v>
      </c>
      <c r="O30" s="87"/>
      <c r="P30" s="88"/>
      <c r="Q30" s="89"/>
      <c r="R30" s="90"/>
      <c r="S30" s="87"/>
      <c r="T30" s="88"/>
      <c r="U30" s="89"/>
      <c r="V30" s="90"/>
      <c r="W30" s="87"/>
      <c r="X30" s="88"/>
      <c r="Y30" s="89"/>
      <c r="Z30" s="91"/>
    </row>
    <row r="31" spans="1:26">
      <c r="A31" s="49"/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</row>
    <row r="32" spans="1:26">
      <c r="A32" s="49"/>
      <c r="B32" s="63" t="s">
        <v>27</v>
      </c>
      <c r="C32" s="82">
        <v>3.6921200122034367E-3</v>
      </c>
      <c r="D32" s="83">
        <v>0.45376895861458943</v>
      </c>
      <c r="E32" s="84">
        <v>-1.7882441658614275E-3</v>
      </c>
      <c r="F32" s="85">
        <v>0.45314881751464758</v>
      </c>
      <c r="G32" s="82">
        <v>-1.1195615646844879E-2</v>
      </c>
      <c r="H32" s="83">
        <v>0.44930061214021166</v>
      </c>
      <c r="I32" s="84">
        <v>1.0843482236923531E-2</v>
      </c>
      <c r="J32" s="85">
        <v>0.4541020297305533</v>
      </c>
      <c r="K32" s="82">
        <v>1.001951046459271E-2</v>
      </c>
      <c r="L32" s="83">
        <v>0.46392362583628016</v>
      </c>
      <c r="M32" s="84">
        <v>-2.7880104246979658E-4</v>
      </c>
      <c r="N32" s="85">
        <v>0.46408460942230767</v>
      </c>
      <c r="O32" s="82"/>
      <c r="P32" s="83"/>
      <c r="Q32" s="84"/>
      <c r="R32" s="85"/>
      <c r="S32" s="82"/>
      <c r="T32" s="83"/>
      <c r="U32" s="84"/>
      <c r="V32" s="85"/>
      <c r="W32" s="82"/>
      <c r="X32" s="83"/>
      <c r="Y32" s="84"/>
      <c r="Z32" s="86"/>
    </row>
    <row r="33" spans="1:26">
      <c r="A33" s="49"/>
      <c r="B33" s="69" t="s">
        <v>28</v>
      </c>
      <c r="C33" s="64">
        <v>1.3663040263106503E-3</v>
      </c>
      <c r="D33" s="65">
        <v>0.54623104138541057</v>
      </c>
      <c r="E33" s="66">
        <v>-5.7194088805123926E-4</v>
      </c>
      <c r="F33" s="67">
        <v>0.54685118248535236</v>
      </c>
      <c r="G33" s="64">
        <v>-1.1773545279074832E-3</v>
      </c>
      <c r="H33" s="65">
        <v>0.55069938785978823</v>
      </c>
      <c r="I33" s="66">
        <v>4.8238372352088716E-3</v>
      </c>
      <c r="J33" s="67">
        <v>0.54589797026944675</v>
      </c>
      <c r="K33" s="64">
        <v>5.0178609082797117E-3</v>
      </c>
      <c r="L33" s="65">
        <v>0.53607637416371978</v>
      </c>
      <c r="M33" s="66">
        <v>1.4886935852212971E-3</v>
      </c>
      <c r="N33" s="67">
        <v>0.53591539057769233</v>
      </c>
      <c r="O33" s="64"/>
      <c r="P33" s="65"/>
      <c r="Q33" s="66"/>
      <c r="R33" s="67"/>
      <c r="S33" s="64"/>
      <c r="T33" s="65"/>
      <c r="U33" s="66"/>
      <c r="V33" s="67"/>
      <c r="W33" s="64"/>
      <c r="X33" s="65"/>
      <c r="Y33" s="66"/>
      <c r="Z33" s="68"/>
    </row>
    <row r="34" spans="1:26">
      <c r="A34" s="53"/>
      <c r="B34" s="76" t="s">
        <v>23</v>
      </c>
      <c r="C34" s="87">
        <v>5.0584240385140866E-3</v>
      </c>
      <c r="D34" s="88">
        <v>1</v>
      </c>
      <c r="E34" s="89">
        <v>-2.3601850539126668E-3</v>
      </c>
      <c r="F34" s="90">
        <v>1</v>
      </c>
      <c r="G34" s="87">
        <v>-1.2372970174752362E-2</v>
      </c>
      <c r="H34" s="88">
        <v>1</v>
      </c>
      <c r="I34" s="89">
        <v>1.5667319472132402E-2</v>
      </c>
      <c r="J34" s="90">
        <v>1</v>
      </c>
      <c r="K34" s="87">
        <v>1.5037371372872421E-2</v>
      </c>
      <c r="L34" s="88">
        <v>1</v>
      </c>
      <c r="M34" s="89">
        <v>1.2098925427515006E-3</v>
      </c>
      <c r="N34" s="90">
        <v>1</v>
      </c>
      <c r="O34" s="87"/>
      <c r="P34" s="88"/>
      <c r="Q34" s="89"/>
      <c r="R34" s="90"/>
      <c r="S34" s="87"/>
      <c r="T34" s="88"/>
      <c r="U34" s="89"/>
      <c r="V34" s="90"/>
      <c r="W34" s="87"/>
      <c r="X34" s="88"/>
      <c r="Y34" s="89"/>
      <c r="Z34" s="91"/>
    </row>
    <row r="35" spans="1:26">
      <c r="A35" s="49"/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</row>
    <row r="36" spans="1:26" ht="60" customHeight="1">
      <c r="A36" s="53"/>
      <c r="B36" s="57" t="s">
        <v>29</v>
      </c>
      <c r="C36" s="58" t="s">
        <v>64</v>
      </c>
      <c r="D36" s="59" t="s">
        <v>65</v>
      </c>
      <c r="E36" s="60" t="s">
        <v>66</v>
      </c>
      <c r="F36" s="61" t="s">
        <v>67</v>
      </c>
      <c r="G36" s="58" t="s">
        <v>68</v>
      </c>
      <c r="H36" s="59" t="s">
        <v>69</v>
      </c>
      <c r="I36" s="106" t="s">
        <v>70</v>
      </c>
      <c r="J36" s="107" t="s">
        <v>71</v>
      </c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</row>
    <row r="37" spans="1:26" ht="14.25">
      <c r="A37" s="49"/>
      <c r="B37" s="63" t="s">
        <v>4</v>
      </c>
      <c r="C37" s="64">
        <v>-1.8067183019243593E-4</v>
      </c>
      <c r="D37" s="65">
        <v>2.7265394938514407E-2</v>
      </c>
      <c r="E37" s="102">
        <v>-4.3144859931210089E-4</v>
      </c>
      <c r="F37" s="103">
        <v>2.7684683414798256E-2</v>
      </c>
      <c r="G37" s="64"/>
      <c r="H37" s="65"/>
      <c r="I37" s="102"/>
      <c r="J37" s="103"/>
      <c r="K37" s="55"/>
      <c r="L37" s="55"/>
      <c r="M37" s="55"/>
      <c r="N37" s="92"/>
      <c r="O37" s="92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</row>
    <row r="38" spans="1:26" ht="14.25">
      <c r="A38" s="49"/>
      <c r="B38" s="69" t="s">
        <v>5</v>
      </c>
      <c r="C38" s="64">
        <v>-1.2276084887523631E-2</v>
      </c>
      <c r="D38" s="65">
        <v>0.51467419727406116</v>
      </c>
      <c r="E38" s="102">
        <v>2.5833099726317865E-3</v>
      </c>
      <c r="F38" s="103">
        <v>0.51058989014033207</v>
      </c>
      <c r="G38" s="64"/>
      <c r="H38" s="65"/>
      <c r="I38" s="102"/>
      <c r="J38" s="103"/>
      <c r="K38" s="55"/>
      <c r="L38" s="92"/>
      <c r="M38" s="92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</row>
    <row r="39" spans="1:26" ht="14.25">
      <c r="A39" s="49"/>
      <c r="B39" s="69" t="s">
        <v>6</v>
      </c>
      <c r="C39" s="64">
        <v>0</v>
      </c>
      <c r="D39" s="65">
        <v>0</v>
      </c>
      <c r="E39" s="102">
        <v>0</v>
      </c>
      <c r="F39" s="103">
        <v>0</v>
      </c>
      <c r="G39" s="64"/>
      <c r="H39" s="65"/>
      <c r="I39" s="102"/>
      <c r="J39" s="103"/>
      <c r="K39" s="55"/>
      <c r="L39" s="55"/>
      <c r="M39" s="55"/>
      <c r="N39" s="92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</row>
    <row r="40" spans="1:26" ht="14.25">
      <c r="A40" s="49"/>
      <c r="B40" s="69" t="s">
        <v>7</v>
      </c>
      <c r="C40" s="64">
        <v>0</v>
      </c>
      <c r="D40" s="65">
        <v>0</v>
      </c>
      <c r="E40" s="102">
        <v>0</v>
      </c>
      <c r="F40" s="103">
        <v>0</v>
      </c>
      <c r="G40" s="64"/>
      <c r="H40" s="65"/>
      <c r="I40" s="102"/>
      <c r="J40" s="103"/>
      <c r="K40" s="55"/>
      <c r="L40" s="92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</row>
    <row r="41" spans="1:26" ht="14.25">
      <c r="A41" s="49"/>
      <c r="B41" s="69" t="s">
        <v>8</v>
      </c>
      <c r="C41" s="64">
        <v>-1.0331157446149541E-3</v>
      </c>
      <c r="D41" s="65">
        <v>0.1154626271378224</v>
      </c>
      <c r="E41" s="102">
        <v>3.3257236185437744E-3</v>
      </c>
      <c r="F41" s="103">
        <v>0.12201597869415501</v>
      </c>
      <c r="G41" s="64"/>
      <c r="H41" s="65"/>
      <c r="I41" s="102"/>
      <c r="J41" s="103"/>
      <c r="K41" s="55"/>
      <c r="L41" s="92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 spans="1:26" ht="14.25">
      <c r="A42" s="49"/>
      <c r="B42" s="69" t="s">
        <v>9</v>
      </c>
      <c r="C42" s="64">
        <v>-2.1530262902358377E-4</v>
      </c>
      <c r="D42" s="65">
        <v>1.7443406879493608E-2</v>
      </c>
      <c r="E42" s="102">
        <v>4.325719491442559E-4</v>
      </c>
      <c r="F42" s="103">
        <v>1.2441567430445511E-2</v>
      </c>
      <c r="G42" s="64"/>
      <c r="H42" s="65"/>
      <c r="I42" s="102"/>
      <c r="J42" s="103"/>
      <c r="K42" s="55"/>
      <c r="L42" s="92"/>
      <c r="M42" s="55"/>
      <c r="N42" s="55"/>
      <c r="O42" s="92"/>
      <c r="P42" s="55"/>
      <c r="Q42" s="55"/>
      <c r="R42" s="55"/>
      <c r="S42" s="92"/>
      <c r="T42" s="55"/>
      <c r="U42" s="55"/>
      <c r="V42" s="55"/>
      <c r="W42" s="55"/>
      <c r="X42" s="55"/>
      <c r="Y42" s="55"/>
      <c r="Z42" s="55"/>
    </row>
    <row r="43" spans="1:26" ht="14.25">
      <c r="A43" s="49"/>
      <c r="B43" s="69" t="s">
        <v>10</v>
      </c>
      <c r="C43" s="64">
        <v>4.9305851810712564E-3</v>
      </c>
      <c r="D43" s="65">
        <v>6.6385067275156265E-2</v>
      </c>
      <c r="E43" s="102">
        <v>7.3082541756559483E-3</v>
      </c>
      <c r="F43" s="103">
        <v>5.8904296075911099E-2</v>
      </c>
      <c r="G43" s="64"/>
      <c r="H43" s="65"/>
      <c r="I43" s="102"/>
      <c r="J43" s="103"/>
      <c r="K43" s="55"/>
      <c r="L43" s="93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 spans="1:26" ht="14.25">
      <c r="A44" s="49"/>
      <c r="B44" s="69" t="s">
        <v>11</v>
      </c>
      <c r="C44" s="64">
        <v>-1.9991183636212106E-3</v>
      </c>
      <c r="D44" s="65">
        <v>4.6102727231198716E-2</v>
      </c>
      <c r="E44" s="102">
        <v>3.0935370878693025E-3</v>
      </c>
      <c r="F44" s="103">
        <v>5.9594831391698883E-2</v>
      </c>
      <c r="G44" s="64"/>
      <c r="H44" s="65"/>
      <c r="I44" s="102"/>
      <c r="J44" s="103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</row>
    <row r="45" spans="1:26" ht="14.25">
      <c r="A45" s="49"/>
      <c r="B45" s="69" t="s">
        <v>12</v>
      </c>
      <c r="C45" s="64">
        <v>-6.9881072445432402E-5</v>
      </c>
      <c r="D45" s="65">
        <v>5.4405996405299068E-3</v>
      </c>
      <c r="E45" s="102">
        <v>2.6672780705050414E-4</v>
      </c>
      <c r="F45" s="103">
        <v>5.4462687212741287E-3</v>
      </c>
      <c r="G45" s="64"/>
      <c r="H45" s="65"/>
      <c r="I45" s="102"/>
      <c r="J45" s="103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</row>
    <row r="46" spans="1:26" ht="14.25">
      <c r="A46" s="49"/>
      <c r="B46" s="69" t="s">
        <v>13</v>
      </c>
      <c r="C46" s="64">
        <v>6.6555505504983792E-4</v>
      </c>
      <c r="D46" s="65">
        <v>9.4412269470422888E-2</v>
      </c>
      <c r="E46" s="102">
        <v>-3.4322656621244008E-3</v>
      </c>
      <c r="F46" s="103">
        <v>8.6035783345850728E-2</v>
      </c>
      <c r="G46" s="64"/>
      <c r="H46" s="65"/>
      <c r="I46" s="102"/>
      <c r="J46" s="103"/>
      <c r="K46" s="55"/>
      <c r="L46" s="55"/>
      <c r="M46" s="55"/>
      <c r="N46" s="55"/>
      <c r="O46" s="92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 spans="1:26" ht="14.25">
      <c r="A47" s="49"/>
      <c r="B47" s="69" t="s">
        <v>14</v>
      </c>
      <c r="C47" s="64">
        <v>-7.2271403303458825E-5</v>
      </c>
      <c r="D47" s="65">
        <v>3.2053319615543262E-4</v>
      </c>
      <c r="E47" s="102">
        <v>-9.6860864014391979E-5</v>
      </c>
      <c r="F47" s="103">
        <v>2.830978595861347E-4</v>
      </c>
      <c r="G47" s="64"/>
      <c r="H47" s="65"/>
      <c r="I47" s="102"/>
      <c r="J47" s="103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</row>
    <row r="48" spans="1:26" ht="14.25">
      <c r="A48" s="49"/>
      <c r="B48" s="69" t="s">
        <v>15</v>
      </c>
      <c r="C48" s="64">
        <v>1.3999683780951955E-4</v>
      </c>
      <c r="D48" s="65">
        <v>2.331022127152966E-3</v>
      </c>
      <c r="E48" s="102">
        <v>6.6494500213221119E-3</v>
      </c>
      <c r="F48" s="103">
        <v>5.1637410565301784E-3</v>
      </c>
      <c r="G48" s="64"/>
      <c r="H48" s="65"/>
      <c r="I48" s="102"/>
      <c r="J48" s="103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 spans="1:16" ht="14.25">
      <c r="A49" s="49"/>
      <c r="B49" s="69" t="s">
        <v>16</v>
      </c>
      <c r="C49" s="64">
        <v>-2.7892822242692183E-5</v>
      </c>
      <c r="D49" s="65">
        <v>2.3522117916623209E-4</v>
      </c>
      <c r="E49" s="102">
        <v>-3.4459427666477804E-4</v>
      </c>
      <c r="F49" s="103">
        <v>1.3117840185787233E-4</v>
      </c>
      <c r="G49" s="64"/>
      <c r="H49" s="65"/>
      <c r="I49" s="102"/>
      <c r="J49" s="103"/>
      <c r="K49" s="55"/>
      <c r="L49" s="55"/>
      <c r="M49" s="55"/>
      <c r="N49" s="55"/>
      <c r="O49" s="55"/>
      <c r="P49" s="55"/>
    </row>
    <row r="50" spans="1:16" ht="14.25">
      <c r="A50" s="49"/>
      <c r="B50" s="69" t="s">
        <v>17</v>
      </c>
      <c r="C50" s="64">
        <v>3.3243722523446095E-5</v>
      </c>
      <c r="D50" s="65">
        <v>1.4529563837621882E-2</v>
      </c>
      <c r="E50" s="102">
        <v>3.6883996756120752E-4</v>
      </c>
      <c r="F50" s="103">
        <v>1.5622879619656195E-2</v>
      </c>
      <c r="G50" s="64"/>
      <c r="H50" s="65"/>
      <c r="I50" s="102"/>
      <c r="J50" s="103"/>
      <c r="K50" s="55"/>
      <c r="L50" s="55"/>
      <c r="M50" s="55"/>
      <c r="N50" s="55"/>
      <c r="O50" s="55"/>
      <c r="P50" s="55"/>
    </row>
    <row r="51" spans="1:16" ht="14.25">
      <c r="A51" s="49"/>
      <c r="B51" s="69" t="s">
        <v>18</v>
      </c>
      <c r="C51" s="64">
        <v>2.4834528104400455E-4</v>
      </c>
      <c r="D51" s="65">
        <v>7.6079580063355093E-2</v>
      </c>
      <c r="E51" s="102">
        <v>2.19578595291825E-3</v>
      </c>
      <c r="F51" s="103">
        <v>7.3895199863269187E-2</v>
      </c>
      <c r="G51" s="64"/>
      <c r="H51" s="65"/>
      <c r="I51" s="102"/>
      <c r="J51" s="103"/>
      <c r="K51" s="55"/>
      <c r="L51" s="55"/>
      <c r="M51" s="55"/>
      <c r="N51" s="55"/>
      <c r="O51" s="55"/>
      <c r="P51" s="55"/>
    </row>
    <row r="52" spans="1:16" ht="14.25">
      <c r="A52" s="49"/>
      <c r="B52" s="69" t="s">
        <v>19</v>
      </c>
      <c r="C52" s="64">
        <v>-2.75179624186217E-5</v>
      </c>
      <c r="D52" s="65">
        <v>3.9016493527477492E-4</v>
      </c>
      <c r="E52" s="102">
        <v>1.0754771909482486E-4</v>
      </c>
      <c r="F52" s="103">
        <v>3.7538529751723112E-4</v>
      </c>
      <c r="G52" s="64"/>
      <c r="H52" s="65"/>
      <c r="I52" s="102"/>
      <c r="J52" s="103"/>
      <c r="K52" s="55"/>
      <c r="L52" s="55"/>
      <c r="M52" s="55"/>
      <c r="N52" s="55"/>
      <c r="O52" s="55"/>
      <c r="P52" s="55"/>
    </row>
    <row r="53" spans="1:16" ht="14.25">
      <c r="A53" s="49"/>
      <c r="B53" s="69" t="s">
        <v>20</v>
      </c>
      <c r="C53" s="64">
        <v>0</v>
      </c>
      <c r="D53" s="65">
        <v>0</v>
      </c>
      <c r="E53" s="102">
        <v>0</v>
      </c>
      <c r="F53" s="103">
        <v>0</v>
      </c>
      <c r="G53" s="64"/>
      <c r="H53" s="65"/>
      <c r="I53" s="102"/>
      <c r="J53" s="103"/>
      <c r="K53" s="55"/>
      <c r="L53" s="55"/>
      <c r="M53" s="55"/>
      <c r="N53" s="55"/>
      <c r="O53" s="55"/>
      <c r="P53" s="55"/>
    </row>
    <row r="54" spans="1:16" ht="14.25">
      <c r="A54" s="49"/>
      <c r="B54" s="69" t="s">
        <v>21</v>
      </c>
      <c r="C54" s="64">
        <v>1.5973905115540532E-5</v>
      </c>
      <c r="D54" s="65">
        <v>4.9429700272743344E-3</v>
      </c>
      <c r="E54" s="102">
        <v>3.1582821839126751E-5</v>
      </c>
      <c r="F54" s="103">
        <v>4.9741951872140392E-3</v>
      </c>
      <c r="G54" s="64"/>
      <c r="H54" s="65"/>
      <c r="I54" s="102"/>
      <c r="J54" s="103"/>
      <c r="K54" s="55"/>
      <c r="L54" s="55"/>
      <c r="M54" s="55"/>
      <c r="N54" s="55"/>
      <c r="O54" s="55"/>
      <c r="P54" s="55"/>
    </row>
    <row r="55" spans="1:16" ht="14.25">
      <c r="A55" s="49"/>
      <c r="B55" s="69" t="s">
        <v>22</v>
      </c>
      <c r="C55" s="64">
        <v>1.4824921395284463E-4</v>
      </c>
      <c r="D55" s="65">
        <v>1.3984654786799937E-2</v>
      </c>
      <c r="E55" s="102">
        <v>9.6683277533982093E-5</v>
      </c>
      <c r="F55" s="103">
        <v>1.6841023499903313E-2</v>
      </c>
      <c r="G55" s="64"/>
      <c r="H55" s="65"/>
      <c r="I55" s="102"/>
      <c r="J55" s="103"/>
      <c r="K55" s="55"/>
      <c r="L55" s="55"/>
      <c r="M55" s="55"/>
      <c r="N55" s="55"/>
      <c r="O55" s="55"/>
      <c r="P55" s="55"/>
    </row>
    <row r="56" spans="1:16" ht="14.25">
      <c r="A56" s="53"/>
      <c r="B56" s="70" t="s">
        <v>30</v>
      </c>
      <c r="C56" s="71">
        <v>-9.7199075188195705E-3</v>
      </c>
      <c r="D56" s="72">
        <v>1</v>
      </c>
      <c r="E56" s="111">
        <v>2.2154844969049403E-2</v>
      </c>
      <c r="F56" s="108">
        <v>1</v>
      </c>
      <c r="G56" s="72"/>
      <c r="H56" s="72"/>
      <c r="I56" s="111"/>
      <c r="J56" s="108"/>
      <c r="K56" s="55"/>
      <c r="L56" s="55"/>
      <c r="M56" s="55"/>
      <c r="N56" s="55"/>
      <c r="O56" s="55"/>
      <c r="P56" s="55"/>
    </row>
    <row r="57" spans="1:16" ht="14.25">
      <c r="A57" s="53"/>
      <c r="B57" s="76" t="s">
        <v>24</v>
      </c>
      <c r="C57" s="77">
        <v>-128640.0119596322</v>
      </c>
      <c r="D57" s="78"/>
      <c r="E57" s="109">
        <v>292465.78377592325</v>
      </c>
      <c r="F57" s="110"/>
      <c r="G57" s="77"/>
      <c r="H57" s="78"/>
      <c r="I57" s="109"/>
      <c r="J57" s="110"/>
      <c r="K57" s="55"/>
      <c r="L57" s="55"/>
      <c r="M57" s="55"/>
      <c r="N57" s="55"/>
      <c r="O57" s="55"/>
      <c r="P57" s="55"/>
    </row>
    <row r="58" spans="1:16" ht="14.25">
      <c r="A58" s="49"/>
      <c r="B58" s="56"/>
      <c r="C58" s="56"/>
      <c r="D58" s="56"/>
      <c r="E58" s="56"/>
      <c r="F58" s="56"/>
      <c r="G58" s="56"/>
      <c r="H58" s="56"/>
      <c r="I58" s="56"/>
      <c r="J58" s="56"/>
      <c r="K58" s="55"/>
      <c r="L58" s="55"/>
      <c r="M58" s="55"/>
      <c r="N58" s="55"/>
      <c r="O58" s="55"/>
      <c r="P58" s="55"/>
    </row>
    <row r="59" spans="1:16" ht="14.25">
      <c r="A59" s="49"/>
      <c r="B59" s="63" t="s">
        <v>25</v>
      </c>
      <c r="C59" s="94">
        <v>-7.1009852039636279E-3</v>
      </c>
      <c r="D59" s="95">
        <v>0.86029653774971904</v>
      </c>
      <c r="E59" s="100">
        <v>2.0029237966192381E-2</v>
      </c>
      <c r="F59" s="101">
        <v>0.85417613108176715</v>
      </c>
      <c r="G59" s="94"/>
      <c r="H59" s="95"/>
      <c r="I59" s="100"/>
      <c r="J59" s="101"/>
      <c r="K59" s="55"/>
      <c r="L59" s="55"/>
      <c r="M59" s="55"/>
      <c r="N59" s="55"/>
      <c r="O59" s="55"/>
      <c r="P59" s="55"/>
    </row>
    <row r="60" spans="1:16" ht="14.25">
      <c r="A60" s="49"/>
      <c r="B60" s="69" t="s">
        <v>26</v>
      </c>
      <c r="C60" s="96">
        <v>-2.6189223148559426E-3</v>
      </c>
      <c r="D60" s="97">
        <v>0.13970346225028099</v>
      </c>
      <c r="E60" s="102">
        <v>2.0088449805211184E-3</v>
      </c>
      <c r="F60" s="103">
        <v>0.1458238689182329</v>
      </c>
      <c r="G60" s="96"/>
      <c r="H60" s="97"/>
      <c r="I60" s="102"/>
      <c r="J60" s="103"/>
      <c r="K60" s="55"/>
      <c r="L60" s="55"/>
      <c r="M60" s="55"/>
      <c r="N60" s="55"/>
      <c r="O60" s="55"/>
      <c r="P60" s="55"/>
    </row>
    <row r="61" spans="1:16" ht="14.25">
      <c r="A61" s="53"/>
      <c r="B61" s="76" t="s">
        <v>30</v>
      </c>
      <c r="C61" s="98">
        <v>-9.7199075188195705E-3</v>
      </c>
      <c r="D61" s="99">
        <v>1</v>
      </c>
      <c r="E61" s="104">
        <v>2.2154844969049403E-2</v>
      </c>
      <c r="F61" s="105">
        <v>1</v>
      </c>
      <c r="G61" s="98"/>
      <c r="H61" s="99"/>
      <c r="I61" s="104"/>
      <c r="J61" s="105"/>
      <c r="K61" s="55"/>
      <c r="L61" s="55"/>
      <c r="M61" s="55"/>
      <c r="N61" s="55"/>
      <c r="O61" s="55"/>
      <c r="P61" s="55"/>
    </row>
    <row r="62" spans="1:16" ht="14.25">
      <c r="A62" s="49"/>
      <c r="B62" s="56"/>
      <c r="C62" s="56"/>
      <c r="D62" s="56"/>
      <c r="E62" s="56"/>
      <c r="F62" s="56"/>
      <c r="G62" s="56"/>
      <c r="H62" s="56"/>
      <c r="I62" s="56"/>
      <c r="J62" s="56"/>
      <c r="K62" s="55"/>
      <c r="L62" s="55"/>
      <c r="M62" s="55"/>
      <c r="N62" s="55"/>
      <c r="O62" s="55"/>
      <c r="P62" s="55"/>
    </row>
    <row r="63" spans="1:16" ht="14.25">
      <c r="A63" s="49"/>
      <c r="B63" s="63" t="s">
        <v>27</v>
      </c>
      <c r="C63" s="94">
        <v>-9.3352003570335018E-3</v>
      </c>
      <c r="D63" s="95">
        <v>0.44930061214021166</v>
      </c>
      <c r="E63" s="100">
        <v>1.1174613633014641E-2</v>
      </c>
      <c r="F63" s="101">
        <v>0.46408460942230767</v>
      </c>
      <c r="G63" s="94"/>
      <c r="H63" s="95"/>
      <c r="I63" s="100"/>
      <c r="J63" s="101"/>
      <c r="K63" s="55"/>
      <c r="L63" s="55"/>
      <c r="M63" s="55"/>
      <c r="N63" s="55"/>
      <c r="O63" s="55"/>
      <c r="P63" s="55"/>
    </row>
    <row r="64" spans="1:16" ht="14.25">
      <c r="A64" s="49"/>
      <c r="B64" s="69" t="s">
        <v>28</v>
      </c>
      <c r="C64" s="96">
        <v>-3.8470716178606867E-4</v>
      </c>
      <c r="D64" s="97">
        <v>0.55069938785978823</v>
      </c>
      <c r="E64" s="102">
        <v>1.0980203373323283E-2</v>
      </c>
      <c r="F64" s="103">
        <v>0.53591539057769233</v>
      </c>
      <c r="G64" s="96"/>
      <c r="H64" s="97"/>
      <c r="I64" s="102"/>
      <c r="J64" s="103"/>
      <c r="K64" s="55"/>
      <c r="L64" s="55"/>
      <c r="M64" s="55"/>
      <c r="N64" s="55"/>
      <c r="O64" s="55"/>
      <c r="P64" s="55"/>
    </row>
    <row r="65" spans="1:10">
      <c r="A65" s="53"/>
      <c r="B65" s="76" t="s">
        <v>30</v>
      </c>
      <c r="C65" s="98">
        <v>-9.7199075188195705E-3</v>
      </c>
      <c r="D65" s="99">
        <v>1</v>
      </c>
      <c r="E65" s="104">
        <v>2.2154844969049403E-2</v>
      </c>
      <c r="F65" s="105">
        <v>1</v>
      </c>
      <c r="G65" s="98"/>
      <c r="H65" s="99"/>
      <c r="I65" s="104"/>
      <c r="J65" s="105"/>
    </row>
    <row r="66" spans="1:10">
      <c r="A66" s="49"/>
      <c r="B66" s="49"/>
      <c r="C66" s="49"/>
      <c r="D66" s="49"/>
      <c r="E66" s="49"/>
      <c r="F66" s="49"/>
      <c r="G66" s="49"/>
      <c r="H66" s="49"/>
      <c r="I66" s="49"/>
      <c r="J66" s="49"/>
    </row>
    <row r="68" spans="1:10">
      <c r="B68" s="54" t="s">
        <v>31</v>
      </c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3F8B1-435B-4957-AADA-626ADC5EF790}">
  <dimension ref="A1:I30"/>
  <sheetViews>
    <sheetView rightToLeft="1" workbookViewId="0">
      <selection activeCell="E2" sqref="D2:E30"/>
    </sheetView>
  </sheetViews>
  <sheetFormatPr defaultRowHeight="12.75"/>
  <cols>
    <col min="1" max="1" width="32.85546875" bestFit="1" customWidth="1"/>
  </cols>
  <sheetData>
    <row r="1" spans="1:9" ht="76.5">
      <c r="A1" s="2" t="s">
        <v>29</v>
      </c>
      <c r="B1" s="37" t="s">
        <v>32</v>
      </c>
      <c r="C1" s="38" t="s">
        <v>33</v>
      </c>
      <c r="D1" s="20" t="s">
        <v>34</v>
      </c>
      <c r="E1" s="20" t="s">
        <v>35</v>
      </c>
      <c r="F1" s="11" t="s">
        <v>36</v>
      </c>
      <c r="G1" s="13" t="s">
        <v>37</v>
      </c>
      <c r="H1" s="18" t="s">
        <v>38</v>
      </c>
      <c r="I1" s="19" t="s">
        <v>39</v>
      </c>
    </row>
    <row r="2" spans="1:9">
      <c r="A2" s="4" t="s">
        <v>4</v>
      </c>
      <c r="B2" s="32">
        <f>(1+'פרסום מרכיבי תשואה'!C6)*(1+'פרסום מרכיבי תשואה'!E6)*(1+'פרסום מרכיבי תשואה'!G6)-1</f>
        <v>-1.1272215047708478E-4</v>
      </c>
      <c r="C2" s="33">
        <f>'פרסום מרכיבי תשואה'!H6</f>
        <v>2.7265394938514407E-2</v>
      </c>
      <c r="D2" s="21">
        <f>(1+'פרסום מרכיבי תשואה'!I6)*(1+'פרסום מרכיבי תשואה'!K6)*(1+'פרסום מרכיבי תשואה'!M6)*(1+B2)-1</f>
        <v>-4.7317333243068749E-4</v>
      </c>
      <c r="E2" s="21">
        <f>'פרסום מרכיבי תשואה'!N6</f>
        <v>2.7684683414798256E-2</v>
      </c>
      <c r="F2" s="8"/>
      <c r="G2" s="33">
        <f>'פרסום מרכיבי תשואה'!T6</f>
        <v>0</v>
      </c>
      <c r="H2" s="15"/>
      <c r="I2" s="21">
        <f>'פרסום מרכיבי תשואה'!Z6</f>
        <v>0</v>
      </c>
    </row>
    <row r="3" spans="1:9">
      <c r="A3" s="5" t="s">
        <v>5</v>
      </c>
      <c r="B3" s="32">
        <f>(1+'פרסום מרכיבי תשואה'!C7)*(1+'פרסום מרכיבי תשואה'!E7)*(1+'פרסום מרכיבי תשואה'!G7)-1</f>
        <v>-1.2276084887523631E-2</v>
      </c>
      <c r="C3" s="33">
        <f>'פרסום מרכיבי תשואה'!H7</f>
        <v>0.51467419727406116</v>
      </c>
      <c r="D3" s="21">
        <f>(1+'פרסום מרכיבי תשואה'!I7)*(1+'פרסום מרכיבי תשואה'!K7)*(1+'פרסום מרכיבי תשואה'!M7)*(1+B3)-1</f>
        <v>2.5833099726317865E-3</v>
      </c>
      <c r="E3" s="21">
        <f>'פרסום מרכיבי תשואה'!N7</f>
        <v>0.51058989014033207</v>
      </c>
      <c r="F3" s="8"/>
      <c r="G3" s="33">
        <f>'פרסום מרכיבי תשואה'!T7</f>
        <v>0</v>
      </c>
      <c r="H3" s="15"/>
      <c r="I3" s="21">
        <f>'פרסום מרכיבי תשואה'!Z7</f>
        <v>0</v>
      </c>
    </row>
    <row r="4" spans="1:9">
      <c r="A4" s="5" t="s">
        <v>6</v>
      </c>
      <c r="B4" s="32">
        <f>(1+'פרסום מרכיבי תשואה'!C8)*(1+'פרסום מרכיבי תשואה'!E8)*(1+'פרסום מרכיבי תשואה'!G8)-1</f>
        <v>0</v>
      </c>
      <c r="C4" s="33">
        <f>'פרסום מרכיבי תשואה'!H8</f>
        <v>0</v>
      </c>
      <c r="D4" s="21">
        <f>(1+'פרסום מרכיבי תשואה'!I8)*(1+'פרסום מרכיבי תשואה'!K8)*(1+'פרסום מרכיבי תשואה'!M8)*(1+B4)-1</f>
        <v>0</v>
      </c>
      <c r="E4" s="21">
        <f>'פרסום מרכיבי תשואה'!N8</f>
        <v>0</v>
      </c>
      <c r="F4" s="8"/>
      <c r="G4" s="33">
        <f>'פרסום מרכיבי תשואה'!T8</f>
        <v>0</v>
      </c>
      <c r="H4" s="15"/>
      <c r="I4" s="21">
        <f>'פרסום מרכיבי תשואה'!Z8</f>
        <v>0</v>
      </c>
    </row>
    <row r="5" spans="1:9">
      <c r="A5" s="5" t="s">
        <v>7</v>
      </c>
      <c r="B5" s="32">
        <f>(1+'פרסום מרכיבי תשואה'!C9)*(1+'פרסום מרכיבי תשואה'!E9)*(1+'פרסום מרכיבי תשואה'!G9)-1</f>
        <v>0</v>
      </c>
      <c r="C5" s="33">
        <f>'פרסום מרכיבי תשואה'!H9</f>
        <v>0</v>
      </c>
      <c r="D5" s="21">
        <f>(1+'פרסום מרכיבי תשואה'!I9)*(1+'פרסום מרכיבי תשואה'!K9)*(1+'פרסום מרכיבי תשואה'!M9)*(1+B5)-1</f>
        <v>0</v>
      </c>
      <c r="E5" s="21">
        <f>'פרסום מרכיבי תשואה'!N9</f>
        <v>0</v>
      </c>
      <c r="F5" s="8"/>
      <c r="G5" s="33">
        <f>'פרסום מרכיבי תשואה'!T9</f>
        <v>0</v>
      </c>
      <c r="H5" s="15"/>
      <c r="I5" s="21">
        <f>'פרסום מרכיבי תשואה'!Z9</f>
        <v>0</v>
      </c>
    </row>
    <row r="6" spans="1:9">
      <c r="A6" s="5" t="s">
        <v>8</v>
      </c>
      <c r="B6" s="32">
        <f>(1+'פרסום מרכיבי תשואה'!C10)*(1+'פרסום מרכיבי תשואה'!E10)*(1+'פרסום מרכיבי תשואה'!G10)-1</f>
        <v>-1.0331157446149541E-3</v>
      </c>
      <c r="C6" s="33">
        <f>'פרסום מרכיבי תשואה'!H10</f>
        <v>0.1154626271378224</v>
      </c>
      <c r="D6" s="21">
        <f>(1+'פרסום מרכיבי תשואה'!I10)*(1+'פרסום מרכיבי תשואה'!K10)*(1+'פרסום מרכיבי תשואה'!M10)*(1+B6)-1</f>
        <v>3.3257236185437744E-3</v>
      </c>
      <c r="E6" s="21">
        <f>'פרסום מרכיבי תשואה'!N10</f>
        <v>0.12201597869415501</v>
      </c>
      <c r="F6" s="8"/>
      <c r="G6" s="33">
        <f>'פרסום מרכיבי תשואה'!T10</f>
        <v>0</v>
      </c>
      <c r="H6" s="15"/>
      <c r="I6" s="21">
        <f>'פרסום מרכיבי תשואה'!Z10</f>
        <v>0</v>
      </c>
    </row>
    <row r="7" spans="1:9">
      <c r="A7" s="5" t="s">
        <v>9</v>
      </c>
      <c r="B7" s="32">
        <f>(1+'פרסום מרכיבי תשואה'!C11)*(1+'פרסום מרכיבי תשואה'!E11)*(1+'פרסום מרכיבי תשואה'!G11)-1</f>
        <v>-2.1530262902358377E-4</v>
      </c>
      <c r="C7" s="33">
        <f>'פרסום מרכיבי תשואה'!H11</f>
        <v>1.7443406879493608E-2</v>
      </c>
      <c r="D7" s="21">
        <f>(1+'פרסום מרכיבי תשואה'!I11)*(1+'פרסום מרכיבי תשואה'!K11)*(1+'פרסום מרכיבי תשואה'!M11)*(1+B7)-1</f>
        <v>4.325719491442559E-4</v>
      </c>
      <c r="E7" s="21">
        <f>'פרסום מרכיבי תשואה'!N11</f>
        <v>1.2441567430445511E-2</v>
      </c>
      <c r="F7" s="8"/>
      <c r="G7" s="33">
        <f>'פרסום מרכיבי תשואה'!T11</f>
        <v>0</v>
      </c>
      <c r="H7" s="15"/>
      <c r="I7" s="21">
        <f>'פרסום מרכיבי תשואה'!Z11</f>
        <v>0</v>
      </c>
    </row>
    <row r="8" spans="1:9">
      <c r="A8" s="5" t="s">
        <v>10</v>
      </c>
      <c r="B8" s="32">
        <f>(1+'פרסום מרכיבי תשואה'!C12)*(1+'פרסום מרכיבי תשואה'!E12)*(1+'פרסום מרכיבי תשואה'!G12)-1</f>
        <v>4.9305851810712564E-3</v>
      </c>
      <c r="C8" s="33">
        <f>'פרסום מרכיבי תשואה'!H12</f>
        <v>6.6385067275156265E-2</v>
      </c>
      <c r="D8" s="21">
        <f>(1+'פרסום מרכיבי תשואה'!I12)*(1+'פרסום מרכיבי תשואה'!K12)*(1+'פרסום מרכיבי תשואה'!M12)*(1+B8)-1</f>
        <v>7.3082541756561703E-3</v>
      </c>
      <c r="E8" s="21">
        <f>'פרסום מרכיבי תשואה'!N12</f>
        <v>5.8904296075911099E-2</v>
      </c>
      <c r="F8" s="8"/>
      <c r="G8" s="33">
        <f>'פרסום מרכיבי תשואה'!T12</f>
        <v>0</v>
      </c>
      <c r="H8" s="15"/>
      <c r="I8" s="21">
        <f>'פרסום מרכיבי תשואה'!Z12</f>
        <v>0</v>
      </c>
    </row>
    <row r="9" spans="1:9">
      <c r="A9" s="5" t="s">
        <v>11</v>
      </c>
      <c r="B9" s="32">
        <f>(1+'פרסום מרכיבי תשואה'!C13)*(1+'פרסום מרכיבי תשואה'!E13)*(1+'פרסום מרכיבי תשואה'!G13)-1</f>
        <v>-1.9991183636212106E-3</v>
      </c>
      <c r="C9" s="33">
        <f>'פרסום מרכיבי תשואה'!H13</f>
        <v>4.6102727231198716E-2</v>
      </c>
      <c r="D9" s="21">
        <f>(1+'פרסום מרכיבי תשואה'!I13)*(1+'פרסום מרכיבי תשואה'!K13)*(1+'פרסום מרכיבי תשואה'!M13)*(1+B9)-1</f>
        <v>3.0935370878693025E-3</v>
      </c>
      <c r="E9" s="21">
        <f>'פרסום מרכיבי תשואה'!N13</f>
        <v>5.9594831391698883E-2</v>
      </c>
      <c r="F9" s="8"/>
      <c r="G9" s="33">
        <f>'פרסום מרכיבי תשואה'!T13</f>
        <v>0</v>
      </c>
      <c r="H9" s="15"/>
      <c r="I9" s="21">
        <f>'פרסום מרכיבי תשואה'!Z13</f>
        <v>0</v>
      </c>
    </row>
    <row r="10" spans="1:9">
      <c r="A10" s="5" t="s">
        <v>12</v>
      </c>
      <c r="B10" s="32">
        <f>(1+'פרסום מרכיבי תשואה'!C14)*(1+'פרסום מרכיבי תשואה'!E14)*(1+'פרסום מרכיבי תשואה'!G14)-1</f>
        <v>-6.9881072445432402E-5</v>
      </c>
      <c r="C10" s="33">
        <f>'פרסום מרכיבי תשואה'!H14</f>
        <v>5.4405996405299068E-3</v>
      </c>
      <c r="D10" s="21">
        <f>(1+'פרסום מרכיבי תשואה'!I14)*(1+'פרסום מרכיבי תשואה'!K14)*(1+'פרסום מרכיבי תשואה'!M14)*(1+B10)-1</f>
        <v>2.6672780705050414E-4</v>
      </c>
      <c r="E10" s="21">
        <f>'פרסום מרכיבי תשואה'!N14</f>
        <v>5.4462687212741287E-3</v>
      </c>
      <c r="F10" s="8"/>
      <c r="G10" s="33">
        <f>'פרסום מרכיבי תשואה'!T14</f>
        <v>0</v>
      </c>
      <c r="H10" s="15"/>
      <c r="I10" s="21">
        <f>'פרסום מרכיבי תשואה'!Z14</f>
        <v>0</v>
      </c>
    </row>
    <row r="11" spans="1:9">
      <c r="A11" s="5" t="s">
        <v>13</v>
      </c>
      <c r="B11" s="32">
        <f>(1+'פרסום מרכיבי תשואה'!C15)*(1+'פרסום מרכיבי תשואה'!E15)*(1+'פרסום מרכיבי תשואה'!G15)-1</f>
        <v>6.6555505504983792E-4</v>
      </c>
      <c r="C11" s="33">
        <f>'פרסום מרכיבי תשואה'!H15</f>
        <v>9.4412269470422888E-2</v>
      </c>
      <c r="D11" s="21">
        <f>(1+'פרסום מרכיבי תשואה'!I15)*(1+'פרסום מרכיבי תשואה'!K15)*(1+'פרסום מרכיבי תשואה'!M15)*(1+B11)-1</f>
        <v>-3.4322656621244008E-3</v>
      </c>
      <c r="E11" s="21">
        <f>'פרסום מרכיבי תשואה'!N15</f>
        <v>8.6035783345850728E-2</v>
      </c>
      <c r="F11" s="8"/>
      <c r="G11" s="33">
        <f>'פרסום מרכיבי תשואה'!T15</f>
        <v>0</v>
      </c>
      <c r="H11" s="15"/>
      <c r="I11" s="21">
        <f>'פרסום מרכיבי תשואה'!Z15</f>
        <v>0</v>
      </c>
    </row>
    <row r="12" spans="1:9">
      <c r="A12" s="5" t="s">
        <v>14</v>
      </c>
      <c r="B12" s="32">
        <f>(1+'פרסום מרכיבי תשואה'!C16)*(1+'פרסום מרכיבי תשואה'!E16)*(1+'פרסום מרכיבי תשואה'!G16)-1</f>
        <v>-7.2271403303458825E-5</v>
      </c>
      <c r="C12" s="33">
        <f>'פרסום מרכיבי תשואה'!H16</f>
        <v>3.2053319615543262E-4</v>
      </c>
      <c r="D12" s="21">
        <f>(1+'פרסום מרכיבי תשואה'!I16)*(1+'פרסום מרכיבי תשואה'!K16)*(1+'פרסום מרכיבי תשואה'!M16)*(1+B12)-1</f>
        <v>-9.6860864014503001E-5</v>
      </c>
      <c r="E12" s="21">
        <f>'פרסום מרכיבי תשואה'!N16</f>
        <v>2.830978595861347E-4</v>
      </c>
      <c r="F12" s="8"/>
      <c r="G12" s="33">
        <f>'פרסום מרכיבי תשואה'!T16</f>
        <v>0</v>
      </c>
      <c r="H12" s="15"/>
      <c r="I12" s="21">
        <f>'פרסום מרכיבי תשואה'!Z16</f>
        <v>0</v>
      </c>
    </row>
    <row r="13" spans="1:9">
      <c r="A13" s="5" t="s">
        <v>15</v>
      </c>
      <c r="B13" s="32">
        <f>(1+'פרסום מרכיבי תשואה'!C17)*(1+'פרסום מרכיבי תשואה'!E17)*(1+'פרסום מרכיבי תשואה'!G17)-1</f>
        <v>1.3999683780951955E-4</v>
      </c>
      <c r="C13" s="33">
        <f>'פרסום מרכיבי תשואה'!H17</f>
        <v>2.331022127152966E-3</v>
      </c>
      <c r="D13" s="21">
        <f>(1+'פרסום מרכיבי תשואה'!I17)*(1+'פרסום מרכיבי תשואה'!K17)*(1+'פרסום מרכיבי תשואה'!M17)*(1+B13)-1</f>
        <v>6.6494500213221119E-3</v>
      </c>
      <c r="E13" s="21">
        <f>'פרסום מרכיבי תשואה'!N17</f>
        <v>5.1637410565301784E-3</v>
      </c>
      <c r="F13" s="8"/>
      <c r="G13" s="33">
        <f>'פרסום מרכיבי תשואה'!T17</f>
        <v>0</v>
      </c>
      <c r="H13" s="15"/>
      <c r="I13" s="21">
        <f>'פרסום מרכיבי תשואה'!Z17</f>
        <v>0</v>
      </c>
    </row>
    <row r="14" spans="1:9">
      <c r="A14" s="5" t="s">
        <v>16</v>
      </c>
      <c r="B14" s="32">
        <f>(1+'פרסום מרכיבי תשואה'!C18)*(1+'פרסום מרכיבי תשואה'!E18)*(1+'פרסום מרכיבי תשואה'!G18)-1</f>
        <v>-2.7892822242692183E-5</v>
      </c>
      <c r="C14" s="33">
        <f>'פרסום מרכיבי תשואה'!H18</f>
        <v>2.3522117916623209E-4</v>
      </c>
      <c r="D14" s="21">
        <f>(1+'פרסום מרכיבי תשואה'!I18)*(1+'פרסום מרכיבי תשואה'!K18)*(1+'פרסום מרכיבי תשואה'!M18)*(1+B14)-1</f>
        <v>-3.4459427666477804E-4</v>
      </c>
      <c r="E14" s="21">
        <f>'פרסום מרכיבי תשואה'!N18</f>
        <v>1.3117840185787233E-4</v>
      </c>
      <c r="F14" s="8"/>
      <c r="G14" s="33">
        <f>'פרסום מרכיבי תשואה'!T18</f>
        <v>0</v>
      </c>
      <c r="H14" s="15"/>
      <c r="I14" s="21">
        <f>'פרסום מרכיבי תשואה'!Z18</f>
        <v>0</v>
      </c>
    </row>
    <row r="15" spans="1:9">
      <c r="A15" s="5" t="s">
        <v>17</v>
      </c>
      <c r="B15" s="32">
        <f>(1+'פרסום מרכיבי תשואה'!C19)*(1+'פרסום מרכיבי תשואה'!E19)*(1+'פרסום מרכיבי תשואה'!G19)-1</f>
        <v>3.3243722523446095E-5</v>
      </c>
      <c r="C15" s="33">
        <f>'פרסום מרכיבי תשואה'!H19</f>
        <v>1.4529563837621882E-2</v>
      </c>
      <c r="D15" s="21">
        <f>(1+'פרסום מרכיבי תשואה'!I19)*(1+'פרסום מרכיבי תשואה'!K19)*(1+'פרסום מרכיבי תשואה'!M19)*(1+B15)-1</f>
        <v>3.6883996756120752E-4</v>
      </c>
      <c r="E15" s="21">
        <f>'פרסום מרכיבי תשואה'!N19</f>
        <v>1.5622879619656195E-2</v>
      </c>
      <c r="F15" s="8"/>
      <c r="G15" s="33">
        <f>'פרסום מרכיבי תשואה'!T19</f>
        <v>0</v>
      </c>
      <c r="H15" s="15"/>
      <c r="I15" s="21">
        <f>'פרסום מרכיבי תשואה'!Z19</f>
        <v>0</v>
      </c>
    </row>
    <row r="16" spans="1:9">
      <c r="A16" s="5" t="s">
        <v>18</v>
      </c>
      <c r="B16" s="32">
        <f>(1+'פרסום מרכיבי תשואה'!C20)*(1+'פרסום מרכיבי תשואה'!E20)*(1+'פרסום מרכיבי תשואה'!G20)-1</f>
        <v>2.4834528104400455E-4</v>
      </c>
      <c r="C16" s="33">
        <f>'פרסום מרכיבי תשואה'!H20</f>
        <v>7.6079580063355093E-2</v>
      </c>
      <c r="D16" s="21">
        <f>(1+'פרסום מרכיבי תשואה'!I20)*(1+'פרסום מרכיבי תשואה'!K20)*(1+'פרסום מרכיבי תשואה'!M20)*(1+B16)-1</f>
        <v>2.19578595291825E-3</v>
      </c>
      <c r="E16" s="21">
        <f>'פרסום מרכיבי תשואה'!N20</f>
        <v>7.3895199863269187E-2</v>
      </c>
      <c r="F16" s="8"/>
      <c r="G16" s="33">
        <f>'פרסום מרכיבי תשואה'!T20</f>
        <v>0</v>
      </c>
      <c r="H16" s="15"/>
      <c r="I16" s="21">
        <f>'פרסום מרכיבי תשואה'!Z20</f>
        <v>0</v>
      </c>
    </row>
    <row r="17" spans="1:9">
      <c r="A17" s="5" t="s">
        <v>19</v>
      </c>
      <c r="B17" s="32">
        <f>(1+'פרסום מרכיבי תשואה'!C21)*(1+'פרסום מרכיבי תשואה'!E21)*(1+'פרסום מרכיבי תשואה'!G21)-1</f>
        <v>-2.75179624186217E-5</v>
      </c>
      <c r="C17" s="33">
        <f>'פרסום מרכיבי תשואה'!H21</f>
        <v>3.9016493527477492E-4</v>
      </c>
      <c r="D17" s="21">
        <f>(1+'פרסום מרכיבי תשואה'!I21)*(1+'פרסום מרכיבי תשואה'!K21)*(1+'פרסום מרכיבי תשואה'!M21)*(1+B17)-1</f>
        <v>1.0754771909460281E-4</v>
      </c>
      <c r="E17" s="21">
        <f>'פרסום מרכיבי תשואה'!N21</f>
        <v>3.7538529751723112E-4</v>
      </c>
      <c r="F17" s="8"/>
      <c r="G17" s="33">
        <f>'פרסום מרכיבי תשואה'!T21</f>
        <v>0</v>
      </c>
      <c r="H17" s="15"/>
      <c r="I17" s="21">
        <f>'פרסום מרכיבי תשואה'!Z21</f>
        <v>0</v>
      </c>
    </row>
    <row r="18" spans="1:9">
      <c r="A18" s="5" t="s">
        <v>20</v>
      </c>
      <c r="B18" s="32">
        <f>(1+'פרסום מרכיבי תשואה'!C22)*(1+'פרסום מרכיבי תשואה'!E22)*(1+'פרסום מרכיבי תשואה'!G22)-1</f>
        <v>0</v>
      </c>
      <c r="C18" s="33">
        <f>'פרסום מרכיבי תשואה'!H22</f>
        <v>0</v>
      </c>
      <c r="D18" s="21">
        <f>(1+'פרסום מרכיבי תשואה'!I22)*(1+'פרסום מרכיבי תשואה'!K22)*(1+'פרסום מרכיבי תשואה'!M22)*(1+B18)-1</f>
        <v>0</v>
      </c>
      <c r="E18" s="21">
        <f>'פרסום מרכיבי תשואה'!N22</f>
        <v>0</v>
      </c>
      <c r="F18" s="8"/>
      <c r="G18" s="33">
        <f>'פרסום מרכיבי תשואה'!T22</f>
        <v>0</v>
      </c>
      <c r="H18" s="15"/>
      <c r="I18" s="21">
        <f>'פרסום מרכיבי תשואה'!Z22</f>
        <v>0</v>
      </c>
    </row>
    <row r="19" spans="1:9">
      <c r="A19" s="5" t="s">
        <v>21</v>
      </c>
      <c r="B19" s="32">
        <f>(1+'פרסום מרכיבי תשואה'!C23)*(1+'פרסום מרכיבי תשואה'!E23)*(1+'פרסום מרכיבי תשואה'!G23)-1</f>
        <v>1.5973905115540532E-5</v>
      </c>
      <c r="C19" s="33">
        <f>'פרסום מרכיבי תשואה'!H23</f>
        <v>4.9429700272743344E-3</v>
      </c>
      <c r="D19" s="21">
        <f>(1+'פרסום מרכיבי תשואה'!I23)*(1+'פרסום מרכיבי תשואה'!K23)*(1+'פרסום מרכיבי תשואה'!M23)*(1+B19)-1</f>
        <v>3.1582821839126751E-5</v>
      </c>
      <c r="E19" s="21">
        <f>'פרסום מרכיבי תשואה'!N23</f>
        <v>4.9741951872140392E-3</v>
      </c>
      <c r="F19" s="8"/>
      <c r="G19" s="33">
        <f>'פרסום מרכיבי תשואה'!T23</f>
        <v>0</v>
      </c>
      <c r="H19" s="15"/>
      <c r="I19" s="21">
        <f>'פרסום מרכיבי תשואה'!Z23</f>
        <v>0</v>
      </c>
    </row>
    <row r="20" spans="1:9">
      <c r="A20" s="5" t="s">
        <v>22</v>
      </c>
      <c r="B20" s="32">
        <f>(1+'פרסום מרכיבי תשואה'!C24)*(1+'פרסום מרכיבי תשואה'!E24)*(1+'פרסום מרכיבי תשואה'!G24)-1</f>
        <v>1.4824921395284463E-4</v>
      </c>
      <c r="C20" s="33">
        <f>'פרסום מרכיבי תשואה'!H24</f>
        <v>1.3984654786799937E-2</v>
      </c>
      <c r="D20" s="21">
        <f>(1+'פרסום מרכיבי תשואה'!I24)*(1+'פרסום מרכיבי תשואה'!K24)*(1+'פרסום מרכיבי תשואה'!M24)*(1+B20)-1</f>
        <v>9.6683277533982093E-5</v>
      </c>
      <c r="E20" s="21">
        <f>'פרסום מרכיבי תשואה'!N24</f>
        <v>1.6841023499903313E-2</v>
      </c>
      <c r="F20" s="8"/>
      <c r="G20" s="33">
        <f>'פרסום מרכיבי תשואה'!T24</f>
        <v>0</v>
      </c>
      <c r="H20" s="15"/>
      <c r="I20" s="21">
        <f>'פרסום מרכיבי תשואה'!Z24</f>
        <v>0</v>
      </c>
    </row>
    <row r="21" spans="1:9">
      <c r="A21" s="6" t="s">
        <v>30</v>
      </c>
      <c r="B21" s="39">
        <f>(1+'פרסום מרכיבי תשואה'!C25)*(1+'פרסום מרכיבי תשואה'!E25)*(1+'פרסום מרכיבי תשואה'!G25)-1</f>
        <v>-9.7199075188195705E-3</v>
      </c>
      <c r="C21" s="40">
        <v>1</v>
      </c>
      <c r="D21" s="21">
        <f>(1+'פרסום מרכיבי תשואה'!I25)*(1+'פרסום מרכיבי תשואה'!K25)*(1+'פרסום מרכיבי תשואה'!M25)*(1+B21)-1</f>
        <v>2.2154844969049403E-2</v>
      </c>
      <c r="E21" s="22">
        <v>1</v>
      </c>
      <c r="F21" s="9"/>
      <c r="G21" s="40">
        <v>1</v>
      </c>
      <c r="H21" s="16"/>
      <c r="I21" s="22">
        <v>1</v>
      </c>
    </row>
    <row r="22" spans="1:9">
      <c r="A22" s="7" t="s">
        <v>24</v>
      </c>
      <c r="B22" s="41">
        <v>61933.915344016801</v>
      </c>
      <c r="C22" s="42"/>
      <c r="D22" s="36"/>
      <c r="E22" s="23"/>
      <c r="F22" s="3"/>
      <c r="G22" s="42"/>
      <c r="H22" s="12"/>
      <c r="I22" s="23"/>
    </row>
    <row r="23" spans="1:9">
      <c r="A23" s="1"/>
      <c r="B23" s="1"/>
      <c r="C23" s="1"/>
      <c r="D23" s="1"/>
      <c r="E23" s="1"/>
      <c r="F23" s="1"/>
      <c r="G23" s="1"/>
      <c r="H23" s="1"/>
      <c r="I23" s="1"/>
    </row>
    <row r="24" spans="1:9">
      <c r="A24" s="4" t="s">
        <v>25</v>
      </c>
      <c r="B24" s="30">
        <f>(1+'פרסום מרכיבי תשואה'!C28)*(1+'פרסום מרכיבי תשואה'!E28)*(1+'פרסום מרכיבי תשואה'!G28)-1</f>
        <v>-7.1097978995243727E-3</v>
      </c>
      <c r="C24" s="31">
        <f>'פרסום מרכיבי תשואה'!H28</f>
        <v>0.86029653774971904</v>
      </c>
      <c r="D24" s="43">
        <f>(1+'פרסום מרכיבי תשואה'!I28)*(1+'פרסום מרכיבי תשואה'!K28)*(1+'פרסום מרכיבי תשואה'!M28)*(1+B24)-1</f>
        <v>2.0029237966192381E-2</v>
      </c>
      <c r="E24" s="44">
        <f>'פרסום מרכיבי תשואה'!N28</f>
        <v>0.85417613108176715</v>
      </c>
      <c r="F24" s="25"/>
      <c r="G24" s="31">
        <f>'פרסום מרכיבי תשואה'!T28</f>
        <v>0</v>
      </c>
      <c r="H24" s="27"/>
      <c r="I24" s="28">
        <f>'פרסום מרכיבי תשואה'!Z28</f>
        <v>0</v>
      </c>
    </row>
    <row r="25" spans="1:9">
      <c r="A25" s="5" t="s">
        <v>26</v>
      </c>
      <c r="B25" s="32">
        <f>(1+'פרסום מרכיבי תשואה'!C29)*(1+'פרסום מרכיבי תשואה'!E29)*(1+'פרסום מרכיבי תשואה'!G29)-1</f>
        <v>-2.6189223148559426E-3</v>
      </c>
      <c r="C25" s="33">
        <f>'פרסום מרכיבי תשואה'!H29</f>
        <v>0.13970346225028099</v>
      </c>
      <c r="D25" s="45">
        <f>(1+'פרסום מרכיבי תשואה'!I29)*(1+'פרסום מרכיבי תשואה'!K29)*(1+'פרסום מרכיבי תשואה'!M29)*(1+B25)-1</f>
        <v>2.0088449805211184E-3</v>
      </c>
      <c r="E25" s="46">
        <f>'פרסום מרכיבי תשואה'!N29</f>
        <v>0.1458238689182329</v>
      </c>
      <c r="F25" s="14"/>
      <c r="G25" s="33">
        <f>'פרסום מרכיבי תשואה'!T29</f>
        <v>0</v>
      </c>
      <c r="H25" s="15"/>
      <c r="I25" s="21">
        <f>'פרסום מרכיבי תשואה'!Z29</f>
        <v>0</v>
      </c>
    </row>
    <row r="26" spans="1:9">
      <c r="A26" s="7" t="s">
        <v>30</v>
      </c>
      <c r="B26" s="34">
        <v>5.0940297542729799E-3</v>
      </c>
      <c r="C26" s="35">
        <v>1</v>
      </c>
      <c r="D26" s="48">
        <f>(1+'פרסום מרכיבי תשואה'!I30)*(1+'פרסום מרכיבי תשואה'!K30)*(1+'פרסום מרכיבי תשואה'!M30)*(1+B26)-1</f>
        <v>3.7445607523732383E-2</v>
      </c>
      <c r="E26" s="47">
        <v>1</v>
      </c>
      <c r="F26" s="26"/>
      <c r="G26" s="35">
        <v>1</v>
      </c>
      <c r="H26" s="17"/>
      <c r="I26" s="29">
        <v>1</v>
      </c>
    </row>
    <row r="27" spans="1:9">
      <c r="A27" s="1"/>
      <c r="B27" s="1"/>
      <c r="C27" s="1"/>
      <c r="D27" s="1"/>
      <c r="E27" s="1"/>
      <c r="F27" s="1"/>
      <c r="G27" s="1"/>
      <c r="H27" s="1"/>
      <c r="I27" s="1"/>
    </row>
    <row r="28" spans="1:9">
      <c r="A28" s="4" t="s">
        <v>27</v>
      </c>
      <c r="B28" s="30">
        <f>(1+'פרסום מרכיבי תשואה'!C32)*(1+'פרסום מרכיבי תשואה'!E32)*(1+'פרסום מרכיבי תשואה'!G32)-1</f>
        <v>-9.3195833567213393E-3</v>
      </c>
      <c r="C28" s="31">
        <f>'פרסום מרכיבי תשואה'!H32</f>
        <v>0.44930061214021166</v>
      </c>
      <c r="D28" s="43">
        <f>(1+'פרסום מרכיבי תשואה'!I32)*(1+'פרסום מרכיבי תשואה'!K32)*(1+'פרסום מרכיבי תשואה'!M32)*(1+B28)-1</f>
        <v>1.1174613633014641E-2</v>
      </c>
      <c r="E28" s="28">
        <f>'פרסום מרכיבי תשואה'!N32</f>
        <v>0.46408460942230767</v>
      </c>
      <c r="F28" s="24"/>
      <c r="G28" s="31">
        <f>'פרסום מרכיבי תשואה'!T32</f>
        <v>0</v>
      </c>
      <c r="H28" s="27"/>
      <c r="I28" s="28">
        <f>'פרסום מרכיבי תשואה'!Z32</f>
        <v>0</v>
      </c>
    </row>
    <row r="29" spans="1:9">
      <c r="A29" s="5" t="s">
        <v>28</v>
      </c>
      <c r="B29" s="32">
        <f>(1+'פרסום מרכיבי תשואה'!C33)*(1+'פרסום מרכיבי תשואה'!E33)*(1+'פרסום מרכיבי תשואה'!G33)-1</f>
        <v>-3.8470716178606867E-4</v>
      </c>
      <c r="C29" s="33">
        <f>'פרסום מרכיבי תשואה'!H33</f>
        <v>0.55069938785978823</v>
      </c>
      <c r="D29" s="45">
        <f>(1+'פרסום מרכיבי תשואה'!I33)*(1+'פרסום מרכיבי תשואה'!K33)*(1+'פרסום מרכיבי תשואה'!M33)*(1+B29)-1</f>
        <v>1.0980203373323283E-2</v>
      </c>
      <c r="E29" s="21">
        <f>'פרסום מרכיבי תשואה'!N33</f>
        <v>0.53591539057769233</v>
      </c>
      <c r="F29" s="8"/>
      <c r="G29" s="33">
        <f>'פרסום מרכיבי תשואה'!T33</f>
        <v>0</v>
      </c>
      <c r="H29" s="15"/>
      <c r="I29" s="21">
        <f>'פרסום מרכיבי תשואה'!Z33</f>
        <v>0</v>
      </c>
    </row>
    <row r="30" spans="1:9">
      <c r="A30" s="7" t="s">
        <v>30</v>
      </c>
      <c r="B30" s="34">
        <v>5.0940297542729799E-3</v>
      </c>
      <c r="C30" s="35">
        <v>1</v>
      </c>
      <c r="D30" s="48">
        <f>(1+'פרסום מרכיבי תשואה'!I34)*(1+'פרסום מרכיבי תשואה'!K34)*(1+'פרסום מרכיבי תשואה'!M34)*(1+B30)-1</f>
        <v>3.7445607523732383E-2</v>
      </c>
      <c r="E30" s="29">
        <v>1</v>
      </c>
      <c r="F30" s="10"/>
      <c r="G30" s="35">
        <v>1</v>
      </c>
      <c r="H30" s="17"/>
      <c r="I30" s="2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פרסום מרכיבי תשואה</vt:lpstr>
      <vt:lpstr>מצטבר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pini</cp:lastModifiedBy>
  <dcterms:created xsi:type="dcterms:W3CDTF">2019-10-30T09:05:17Z</dcterms:created>
  <dcterms:modified xsi:type="dcterms:W3CDTF">2026-07-13T09:03:30Z</dcterms:modified>
</cp:coreProperties>
</file>