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H:\report\דוח מרכיבי תשואה\Gemel\Gemel_Reports\0224\"/>
    </mc:Choice>
  </mc:AlternateContent>
  <xr:revisionPtr revIDLastSave="0" documentId="13_ncr:1_{F63DC0B4-06ED-42B1-BDAF-096A4BB05D88}" xr6:coauthVersionLast="47" xr6:coauthVersionMax="47" xr10:uidLastSave="{00000000-0000-0000-0000-000000000000}"/>
  <bookViews>
    <workbookView xWindow="-120" yWindow="-120" windowWidth="29040" windowHeight="15720" tabRatio="907" firstSheet="2" activeTab="9" xr2:uid="{00000000-000D-0000-FFFF-FFFF00000000}"/>
  </bookViews>
  <sheets>
    <sheet name="כלל השתלמות כללי" sheetId="127" r:id="rId1"/>
    <sheet name="כלל השתלמות אגח צמוד מדד" sheetId="128" r:id="rId2"/>
    <sheet name="כלל השתלמות מניות" sheetId="129" r:id="rId3"/>
    <sheet name="כלל השתלמות הלכה" sheetId="130" r:id="rId4"/>
    <sheet name="כלל השתלמות אגח עד 15%" sheetId="131" r:id="rId5"/>
    <sheet name="כלל השתלמות מחקה אס אנד פי" sheetId="132" r:id="rId6"/>
    <sheet name="כלל השתלמות אגח" sheetId="133" r:id="rId7"/>
    <sheet name="כלל השתלמות שקלי טווח קצר" sheetId="134" r:id="rId8"/>
    <sheet name="כלל השתלמות פאסיבי" sheetId="144" r:id="rId9"/>
    <sheet name="כלל השתלמות פאסיבי מדדי מניות" sheetId="143" r:id="rId10"/>
  </sheets>
  <externalReferences>
    <externalReference r:id="rId11"/>
    <externalReference r:id="rId12"/>
  </externalReferences>
  <calcPr calcId="191029" calcMode="manual" calcCompleted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5" i="134" l="1"/>
  <c r="E5" i="134"/>
  <c r="C5" i="134"/>
  <c r="C4" i="134"/>
  <c r="C3" i="134"/>
  <c r="C2" i="134"/>
  <c r="Y5" i="128"/>
  <c r="E5" i="128"/>
  <c r="C5" i="128"/>
  <c r="C4" i="128"/>
  <c r="C3" i="128"/>
  <c r="C2" i="128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Truma_Tsua]"/>
    <s v="[Measures].[c_Achuz_Shovi_Me_Tik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<sst xmlns="http://schemas.openxmlformats.org/spreadsheetml/2006/main" count="1092" uniqueCount="97">
  <si>
    <t>נתונים לחודש:</t>
  </si>
  <si>
    <t>התרומה לתשואה</t>
  </si>
  <si>
    <t>שיעור מסך הנכסים</t>
  </si>
  <si>
    <t>מזומנים ושווי מזומנים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</si>
  <si>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</si>
  <si>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</si>
  <si>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</si>
  <si>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</si>
  <si>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</si>
  <si>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</si>
  <si>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</si>
  <si>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</si>
  <si>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</si>
  <si>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</si>
  <si>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</si>
  <si>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</si>
  <si>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</si>
  <si>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</si>
  <si>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</si>
  <si>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</si>
  <si>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</si>
  <si>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</si>
  <si>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</si>
  <si>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</si>
  <si>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</si>
  <si>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</si>
  <si>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</si>
  <si>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</si>
  <si>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כלל פנסיה וגמל בע"מ</t>
  </si>
  <si>
    <t>כלל השתלמות כללי</t>
  </si>
  <si>
    <t>כלל השתלמות מניות</t>
  </si>
  <si>
    <t>כלל השתלמות הלכה</t>
  </si>
  <si>
    <t>כלל השתלמות אג"ח</t>
  </si>
  <si>
    <t xml:space="preserve">כלל השתלמות אג"ח עד 15% מניות </t>
  </si>
  <si>
    <t>כלל השתלמות מחקה מדד s&amp;p 500</t>
  </si>
  <si>
    <t>פירוט תרומת אפיקי ההשקעה לתשואה הכוללת</t>
  </si>
  <si>
    <t>מס מסלול:</t>
  </si>
  <si>
    <t>שם מסלול:</t>
  </si>
  <si>
    <t>שם חברה:</t>
  </si>
  <si>
    <t>שנת דיווח:</t>
  </si>
  <si>
    <t>דיווח ל:</t>
  </si>
  <si>
    <t>כלל השתלמות פאסיבי</t>
  </si>
  <si>
    <t>כלל השתלמות פאסיבי מדדי מניות</t>
  </si>
  <si>
    <t>אגרות חוב ממשלתיות סחירות, לא סחירות ואפיק השקעה מובטח תשואה</t>
  </si>
  <si>
    <t>זכויות במקרקעין</t>
  </si>
  <si>
    <t>30.06.24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</si>
  <si>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</si>
  <si>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</si>
  <si>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</si>
  <si>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</si>
  <si>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</si>
  <si>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</si>
  <si>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</si>
  <si>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</si>
  <si>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</si>
  <si>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</si>
  <si>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</si>
  <si>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</si>
  <si>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 - מרץ 2024</t>
  </si>
  <si>
    <t>ינואר - יוני 2024</t>
  </si>
  <si>
    <t/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</si>
  <si>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</si>
  <si>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</si>
  <si>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</si>
  <si>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</si>
  <si>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</si>
  <si>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</si>
  <si>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</si>
  <si>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</si>
  <si>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</si>
  <si>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</si>
  <si>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</si>
  <si>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</si>
  <si>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</si>
  <si>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</si>
  <si>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</si>
  <si>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</si>
  <si>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</si>
  <si>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</si>
  <si>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</si>
  <si>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</si>
  <si>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</si>
  <si>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</si>
  <si>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</si>
  <si>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</si>
  <si>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</si>
  <si>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אג"ח קונצרניות סחירות </t>
  </si>
  <si>
    <t xml:space="preserve">אג"ח קונצרניות לא סחירות </t>
  </si>
  <si>
    <t>פיקדונות  (שאינם מובנים)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</si>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</sst>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 * #,##0_ ;_ * \-#,##0_ ;_ * &quot;-&quot;??_ ;_ @_ "/>
    <numFmt numFmtId="166" formatCode="0.0000000000000000%"/>
    <numFmt numFmtId="167" formatCode="0.000%"/>
    <numFmt numFmtId="168" formatCode="_(* #,##0_);_(* \(#,##0\);_(* &quot;-&quot;??_);_(@_)"/>
    <numFmt numFmtId="169" formatCode="0.00000000%"/>
  </numFmts>
  <fonts count="33" x14ac:knownFonts="1">
    <font>
      <sz val="11"/>
      <color indexed="8"/>
      <name val="Arial"/>
      <family val="2"/>
      <scheme val="minor"/>
    </font>
    <font>
      <sz val="11"/>
      <name val="David"/>
      <family val="2"/>
    </font>
    <font>
      <b/>
      <sz val="12"/>
      <name val="David"/>
      <family val="2"/>
    </font>
    <font>
      <b/>
      <sz val="11"/>
      <name val="David"/>
      <family val="2"/>
    </font>
    <font>
      <sz val="11"/>
      <color indexed="8"/>
      <name val="David"/>
      <family val="2"/>
    </font>
    <font>
      <sz val="11"/>
      <color indexed="8"/>
      <name val="Arial"/>
      <family val="2"/>
      <scheme val="minor"/>
    </font>
    <font>
      <sz val="11"/>
      <color indexed="9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indexed="10"/>
      <name val="Arial"/>
      <family val="2"/>
      <scheme val="minor"/>
    </font>
    <font>
      <i/>
      <sz val="11"/>
      <color rgb="FF7F7F7F"/>
      <name val="Arial"/>
      <family val="2"/>
      <scheme val="minor"/>
    </font>
    <font>
      <sz val="18"/>
      <color theme="3"/>
      <name val="Times New Roman"/>
      <family val="2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9C5700"/>
      <name val="Arial"/>
      <family val="2"/>
      <scheme val="minor"/>
    </font>
    <font>
      <b/>
      <sz val="11"/>
      <color indexed="8"/>
      <name val="Arial"/>
      <family val="2"/>
      <scheme val="minor"/>
    </font>
    <font>
      <b/>
      <sz val="11"/>
      <color rgb="FF3F3F3F"/>
      <name val="Arial"/>
      <family val="2"/>
      <scheme val="minor"/>
    </font>
    <font>
      <sz val="11"/>
      <color rgb="FF3F3F76"/>
      <name val="Arial"/>
      <family val="2"/>
      <scheme val="minor"/>
    </font>
    <font>
      <sz val="11"/>
      <color rgb="FF9C0006"/>
      <name val="Arial"/>
      <family val="2"/>
      <scheme val="minor"/>
    </font>
    <font>
      <b/>
      <sz val="11"/>
      <color indexed="9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 tint="-0.14996795556505021"/>
      <name val="David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 tint="-0.1499984740745262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</font>
    <font>
      <sz val="11"/>
      <color theme="0"/>
      <name val="David"/>
      <family val="2"/>
      <charset val="177"/>
    </font>
    <font>
      <sz val="10"/>
      <name val="David"/>
      <family val="2"/>
      <charset val="177"/>
    </font>
  </fonts>
  <fills count="4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</borders>
  <cellStyleXfs count="44">
    <xf numFmtId="0" fontId="0" fillId="0" borderId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164" fontId="5" fillId="0" borderId="0" applyFill="0" applyBorder="0" applyAlignment="0" applyProtection="0"/>
    <xf numFmtId="9" fontId="5" fillId="0" borderId="0" applyFill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5" fillId="2" borderId="15" applyNumberFormat="0" applyAlignment="0" applyProtection="0"/>
    <xf numFmtId="0" fontId="7" fillId="28" borderId="16" applyNumberFormat="0" applyAlignment="0" applyProtection="0"/>
    <xf numFmtId="0" fontId="8" fillId="29" borderId="0" applyNumberFormat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17" applyNumberFormat="0" applyFill="0" applyAlignment="0" applyProtection="0"/>
    <xf numFmtId="0" fontId="13" fillId="0" borderId="18" applyNumberFormat="0" applyFill="0" applyAlignment="0" applyProtection="0"/>
    <xf numFmtId="0" fontId="14" fillId="0" borderId="19" applyNumberFormat="0" applyFill="0" applyAlignment="0" applyProtection="0"/>
    <xf numFmtId="0" fontId="14" fillId="0" borderId="0" applyNumberFormat="0" applyFill="0" applyBorder="0" applyAlignment="0" applyProtection="0"/>
    <xf numFmtId="0" fontId="15" fillId="30" borderId="0" applyNumberFormat="0" applyBorder="0" applyAlignment="0" applyProtection="0"/>
    <xf numFmtId="0" fontId="16" fillId="0" borderId="20" applyNumberFormat="0" applyFill="0" applyAlignment="0" applyProtection="0"/>
    <xf numFmtId="0" fontId="17" fillId="28" borderId="21" applyNumberFormat="0" applyAlignment="0" applyProtection="0"/>
    <xf numFmtId="0" fontId="18" fillId="3" borderId="16" applyNumberFormat="0" applyAlignment="0" applyProtection="0"/>
    <xf numFmtId="0" fontId="19" fillId="31" borderId="0" applyNumberFormat="0" applyBorder="0" applyAlignment="0" applyProtection="0"/>
    <xf numFmtId="0" fontId="20" fillId="32" borderId="22" applyNumberFormat="0" applyAlignment="0" applyProtection="0"/>
    <xf numFmtId="0" fontId="21" fillId="0" borderId="23" applyNumberFormat="0" applyFill="0" applyAlignment="0" applyProtection="0"/>
  </cellStyleXfs>
  <cellXfs count="122">
    <xf numFmtId="0" fontId="0" fillId="0" borderId="0" xfId="0" applyFont="1" applyAlignment="1"/>
    <xf numFmtId="0" fontId="4" fillId="0" borderId="0" xfId="0" applyFont="1" applyAlignment="1"/>
    <xf numFmtId="14" fontId="0" fillId="0" borderId="0" xfId="0" applyNumberFormat="1" applyFont="1" applyAlignment="1"/>
    <xf numFmtId="0" fontId="1" fillId="0" borderId="1" xfId="0" applyFont="1" applyBorder="1" applyAlignment="1"/>
    <xf numFmtId="166" fontId="0" fillId="0" borderId="0" xfId="0" applyNumberFormat="1" applyFont="1" applyAlignment="1"/>
    <xf numFmtId="0" fontId="2" fillId="0" borderId="1" xfId="0" applyFont="1" applyBorder="1" applyAlignment="1"/>
    <xf numFmtId="17" fontId="3" fillId="2" borderId="2" xfId="0" applyNumberFormat="1" applyFont="1" applyFill="1" applyBorder="1" applyAlignment="1">
      <alignment horizontal="centerContinuous"/>
    </xf>
    <xf numFmtId="17" fontId="1" fillId="2" borderId="3" xfId="0" applyNumberFormat="1" applyFont="1" applyFill="1" applyBorder="1" applyAlignment="1">
      <alignment horizontal="centerContinuous"/>
    </xf>
    <xf numFmtId="17" fontId="3" fillId="8" borderId="2" xfId="0" applyNumberFormat="1" applyFont="1" applyFill="1" applyBorder="1" applyAlignment="1">
      <alignment horizontal="centerContinuous"/>
    </xf>
    <xf numFmtId="17" fontId="1" fillId="8" borderId="3" xfId="0" applyNumberFormat="1" applyFont="1" applyFill="1" applyBorder="1" applyAlignment="1">
      <alignment horizontal="centerContinuous"/>
    </xf>
    <xf numFmtId="0" fontId="1" fillId="0" borderId="4" xfId="0" applyFont="1" applyBorder="1" applyAlignment="1"/>
    <xf numFmtId="0" fontId="1" fillId="2" borderId="6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1" fillId="33" borderId="7" xfId="0" applyFont="1" applyFill="1" applyBorder="1" applyAlignment="1"/>
    <xf numFmtId="10" fontId="1" fillId="2" borderId="5" xfId="20" applyNumberFormat="1" applyFont="1" applyFill="1" applyBorder="1" applyAlignment="1"/>
    <xf numFmtId="10" fontId="1" fillId="8" borderId="6" xfId="20" applyNumberFormat="1" applyFont="1" applyFill="1" applyBorder="1" applyAlignment="1"/>
    <xf numFmtId="10" fontId="0" fillId="0" borderId="0" xfId="0" applyNumberFormat="1" applyFont="1" applyAlignment="1"/>
    <xf numFmtId="0" fontId="1" fillId="33" borderId="8" xfId="0" applyFont="1" applyFill="1" applyBorder="1" applyAlignment="1"/>
    <xf numFmtId="0" fontId="3" fillId="33" borderId="9" xfId="0" applyFont="1" applyFill="1" applyBorder="1" applyAlignment="1"/>
    <xf numFmtId="10" fontId="3" fillId="2" borderId="10" xfId="20" applyNumberFormat="1" applyFont="1" applyFill="1" applyBorder="1" applyAlignment="1"/>
    <xf numFmtId="10" fontId="3" fillId="2" borderId="11" xfId="20" applyNumberFormat="1" applyFont="1" applyFill="1" applyBorder="1" applyAlignment="1"/>
    <xf numFmtId="10" fontId="3" fillId="8" borderId="10" xfId="20" applyNumberFormat="1" applyFont="1" applyFill="1" applyBorder="1" applyAlignment="1"/>
    <xf numFmtId="10" fontId="3" fillId="8" borderId="11" xfId="20" applyNumberFormat="1" applyFont="1" applyFill="1" applyBorder="1" applyAlignment="1"/>
    <xf numFmtId="3" fontId="3" fillId="2" borderId="12" xfId="20" applyNumberFormat="1" applyFont="1" applyFill="1" applyBorder="1" applyAlignment="1"/>
    <xf numFmtId="164" fontId="22" fillId="34" borderId="13" xfId="19" applyFont="1" applyFill="1" applyBorder="1" applyAlignment="1"/>
    <xf numFmtId="3" fontId="3" fillId="8" borderId="12" xfId="20" applyNumberFormat="1" applyFont="1" applyFill="1" applyBorder="1" applyAlignment="1"/>
    <xf numFmtId="168" fontId="1" fillId="0" borderId="0" xfId="19" applyNumberFormat="1" applyFont="1" applyAlignment="1"/>
    <xf numFmtId="168" fontId="1" fillId="0" borderId="0" xfId="19" applyNumberFormat="1" applyFont="1" applyFill="1" applyAlignment="1"/>
    <xf numFmtId="10" fontId="1" fillId="2" borderId="2" xfId="20" applyNumberFormat="1" applyFont="1" applyFill="1" applyBorder="1" applyAlignment="1"/>
    <xf numFmtId="10" fontId="1" fillId="8" borderId="2" xfId="20" applyNumberFormat="1" applyFont="1" applyFill="1" applyBorder="1" applyAlignment="1"/>
    <xf numFmtId="10" fontId="1" fillId="8" borderId="3" xfId="20" applyNumberFormat="1" applyFont="1" applyFill="1" applyBorder="1" applyAlignment="1"/>
    <xf numFmtId="0" fontId="1" fillId="0" borderId="0" xfId="0" applyFont="1" applyAlignment="1"/>
    <xf numFmtId="0" fontId="1" fillId="0" borderId="0" xfId="0" applyFont="1" applyFill="1" applyAlignment="1"/>
    <xf numFmtId="165" fontId="4" fillId="0" borderId="0" xfId="0" applyNumberFormat="1" applyFont="1" applyAlignment="1"/>
    <xf numFmtId="169" fontId="0" fillId="0" borderId="0" xfId="0" applyNumberFormat="1" applyFont="1" applyAlignment="1"/>
    <xf numFmtId="0" fontId="4" fillId="35" borderId="0" xfId="0" applyFont="1" applyFill="1" applyAlignment="1"/>
    <xf numFmtId="0" fontId="4" fillId="14" borderId="0" xfId="0" applyFont="1" applyFill="1" applyAlignment="1"/>
    <xf numFmtId="10" fontId="4" fillId="0" borderId="0" xfId="20" applyNumberFormat="1" applyFont="1" applyAlignment="1"/>
    <xf numFmtId="168" fontId="5" fillId="0" borderId="0" xfId="19" applyNumberFormat="1" applyFont="1" applyAlignment="1"/>
    <xf numFmtId="164" fontId="5" fillId="0" borderId="0" xfId="19" applyFont="1" applyAlignment="1"/>
    <xf numFmtId="164" fontId="4" fillId="0" borderId="0" xfId="0" applyNumberFormat="1" applyFont="1" applyAlignment="1"/>
    <xf numFmtId="0" fontId="23" fillId="36" borderId="5" xfId="0" applyFont="1" applyFill="1" applyBorder="1" applyAlignment="1">
      <alignment horizontal="center" vertical="center" wrapText="1"/>
    </xf>
    <xf numFmtId="0" fontId="23" fillId="36" borderId="6" xfId="0" applyFont="1" applyFill="1" applyBorder="1" applyAlignment="1">
      <alignment horizontal="center" vertical="center" wrapText="1"/>
    </xf>
    <xf numFmtId="0" fontId="23" fillId="37" borderId="5" xfId="0" applyFont="1" applyFill="1" applyBorder="1" applyAlignment="1">
      <alignment horizontal="center" vertical="center" wrapText="1"/>
    </xf>
    <xf numFmtId="0" fontId="23" fillId="37" borderId="6" xfId="0" applyFont="1" applyFill="1" applyBorder="1" applyAlignment="1">
      <alignment horizontal="center" vertical="center" wrapText="1"/>
    </xf>
    <xf numFmtId="10" fontId="23" fillId="36" borderId="5" xfId="20" applyNumberFormat="1" applyFont="1" applyFill="1" applyBorder="1"/>
    <xf numFmtId="10" fontId="23" fillId="36" borderId="6" xfId="20" applyNumberFormat="1" applyFont="1" applyFill="1" applyBorder="1"/>
    <xf numFmtId="10" fontId="23" fillId="37" borderId="6" xfId="20" applyNumberFormat="1" applyFont="1" applyFill="1" applyBorder="1"/>
    <xf numFmtId="10" fontId="24" fillId="36" borderId="10" xfId="20" applyNumberFormat="1" applyFont="1" applyFill="1" applyBorder="1"/>
    <xf numFmtId="10" fontId="24" fillId="36" borderId="11" xfId="20" applyNumberFormat="1" applyFont="1" applyFill="1" applyBorder="1"/>
    <xf numFmtId="10" fontId="24" fillId="37" borderId="10" xfId="20" applyNumberFormat="1" applyFont="1" applyFill="1" applyBorder="1"/>
    <xf numFmtId="10" fontId="24" fillId="37" borderId="11" xfId="20" applyNumberFormat="1" applyFont="1" applyFill="1" applyBorder="1"/>
    <xf numFmtId="3" fontId="24" fillId="36" borderId="12" xfId="20" applyNumberFormat="1" applyFont="1" applyFill="1" applyBorder="1"/>
    <xf numFmtId="164" fontId="25" fillId="38" borderId="13" xfId="19" applyFont="1" applyFill="1" applyBorder="1"/>
    <xf numFmtId="3" fontId="24" fillId="37" borderId="12" xfId="20" applyNumberFormat="1" applyFont="1" applyFill="1" applyBorder="1"/>
    <xf numFmtId="10" fontId="23" fillId="36" borderId="2" xfId="20" applyNumberFormat="1" applyFont="1" applyFill="1" applyBorder="1"/>
    <xf numFmtId="10" fontId="23" fillId="37" borderId="2" xfId="20" applyNumberFormat="1" applyFont="1" applyFill="1" applyBorder="1"/>
    <xf numFmtId="0" fontId="26" fillId="0" borderId="0" xfId="0" applyFont="1"/>
    <xf numFmtId="0" fontId="23" fillId="0" borderId="0" xfId="0" applyFont="1" applyFill="1"/>
    <xf numFmtId="0" fontId="0" fillId="0" borderId="0" xfId="0" applyFont="1" applyFill="1" applyAlignment="1"/>
    <xf numFmtId="167" fontId="5" fillId="0" borderId="0" xfId="20" applyNumberFormat="1" applyAlignment="1"/>
    <xf numFmtId="10" fontId="4" fillId="0" borderId="0" xfId="0" applyNumberFormat="1" applyFont="1" applyAlignment="1"/>
    <xf numFmtId="10" fontId="0" fillId="0" borderId="0" xfId="0" applyNumberFormat="1" applyFont="1" applyFill="1" applyAlignment="1"/>
    <xf numFmtId="0" fontId="1" fillId="2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8" borderId="24" xfId="0" applyFont="1" applyFill="1" applyBorder="1" applyAlignment="1">
      <alignment horizontal="center" vertical="center" wrapText="1"/>
    </xf>
    <xf numFmtId="10" fontId="27" fillId="37" borderId="6" xfId="20" applyNumberFormat="1" applyFont="1" applyFill="1" applyBorder="1"/>
    <xf numFmtId="0" fontId="28" fillId="0" borderId="0" xfId="0" applyFont="1"/>
    <xf numFmtId="0" fontId="28" fillId="0" borderId="0" xfId="0" applyFont="1" applyAlignment="1">
      <alignment horizontal="left" readingOrder="2"/>
    </xf>
    <xf numFmtId="0" fontId="28" fillId="0" borderId="0" xfId="0" applyFont="1" applyBorder="1" applyAlignment="1">
      <alignment horizontal="left"/>
    </xf>
    <xf numFmtId="0" fontId="29" fillId="39" borderId="0" xfId="0" applyFont="1" applyFill="1" applyAlignment="1">
      <alignment horizontal="center"/>
    </xf>
    <xf numFmtId="0" fontId="30" fillId="39" borderId="0" xfId="0" applyFont="1" applyFill="1"/>
    <xf numFmtId="0" fontId="1" fillId="33" borderId="7" xfId="0" applyFont="1" applyFill="1" applyBorder="1" applyAlignment="1">
      <alignment wrapText="1"/>
    </xf>
    <xf numFmtId="0" fontId="1" fillId="33" borderId="8" xfId="0" applyFont="1" applyFill="1" applyBorder="1"/>
    <xf numFmtId="17" fontId="24" fillId="37" borderId="28" xfId="0" applyNumberFormat="1" applyFont="1" applyFill="1" applyBorder="1" applyAlignment="1">
      <alignment horizontal="center"/>
    </xf>
    <xf numFmtId="17" fontId="24" fillId="37" borderId="14" xfId="0" applyNumberFormat="1" applyFont="1" applyFill="1" applyBorder="1" applyAlignment="1">
      <alignment horizontal="center"/>
    </xf>
    <xf numFmtId="0" fontId="4" fillId="14" borderId="27" xfId="0" applyFont="1" applyFill="1" applyBorder="1" applyAlignment="1">
      <alignment horizontal="center"/>
    </xf>
    <xf numFmtId="0" fontId="4" fillId="14" borderId="29" xfId="0" applyFont="1" applyFill="1" applyBorder="1" applyAlignment="1">
      <alignment horizontal="center"/>
    </xf>
    <xf numFmtId="17" fontId="24" fillId="36" borderId="28" xfId="0" applyNumberFormat="1" applyFont="1" applyFill="1" applyBorder="1" applyAlignment="1">
      <alignment horizontal="center"/>
    </xf>
    <xf numFmtId="17" fontId="24" fillId="36" borderId="26" xfId="0" applyNumberFormat="1" applyFont="1" applyFill="1" applyBorder="1" applyAlignment="1">
      <alignment horizontal="center"/>
    </xf>
    <xf numFmtId="17" fontId="24" fillId="37" borderId="26" xfId="0" applyNumberFormat="1" applyFont="1" applyFill="1" applyBorder="1" applyAlignment="1">
      <alignment horizontal="center"/>
    </xf>
    <xf numFmtId="0" fontId="30" fillId="0" borderId="0" xfId="0" applyFont="1"/>
    <xf numFmtId="0" fontId="30" fillId="0" borderId="0" xfId="0" applyFont="1" applyAlignment="1">
      <alignment horizontal="right"/>
    </xf>
    <xf numFmtId="0" fontId="28" fillId="0" borderId="0" xfId="0" applyFont="1" applyAlignment="1">
      <alignment horizontal="left"/>
    </xf>
    <xf numFmtId="0" fontId="31" fillId="0" borderId="0" xfId="0" applyFont="1"/>
    <xf numFmtId="0" fontId="30" fillId="0" borderId="0" xfId="0" applyFont="1" applyAlignment="1">
      <alignment vertical="top"/>
    </xf>
    <xf numFmtId="0" fontId="23" fillId="0" borderId="30" xfId="0" applyFont="1" applyBorder="1" applyAlignment="1">
      <alignment vertical="top"/>
    </xf>
    <xf numFmtId="0" fontId="23" fillId="36" borderId="2" xfId="0" applyFont="1" applyFill="1" applyBorder="1" applyAlignment="1">
      <alignment horizontal="center" vertical="top" wrapText="1"/>
    </xf>
    <xf numFmtId="0" fontId="23" fillId="36" borderId="3" xfId="0" applyFont="1" applyFill="1" applyBorder="1" applyAlignment="1">
      <alignment horizontal="center" vertical="top" wrapText="1"/>
    </xf>
    <xf numFmtId="0" fontId="23" fillId="8" borderId="2" xfId="0" applyFont="1" applyFill="1" applyBorder="1" applyAlignment="1">
      <alignment horizontal="center" vertical="top" wrapText="1"/>
    </xf>
    <xf numFmtId="0" fontId="23" fillId="8" borderId="3" xfId="0" applyFont="1" applyFill="1" applyBorder="1" applyAlignment="1">
      <alignment horizontal="center" vertical="top" wrapText="1"/>
    </xf>
    <xf numFmtId="0" fontId="32" fillId="0" borderId="0" xfId="0" applyFont="1" applyAlignment="1">
      <alignment vertical="top"/>
    </xf>
    <xf numFmtId="0" fontId="23" fillId="33" borderId="7" xfId="0" applyFont="1" applyFill="1" applyBorder="1"/>
    <xf numFmtId="10" fontId="23" fillId="36" borderId="5" xfId="20" applyNumberFormat="1" applyFont="1" applyFill="1" applyBorder="1" applyProtection="1">
      <protection locked="0"/>
    </xf>
    <xf numFmtId="10" fontId="23" fillId="36" borderId="6" xfId="20" applyNumberFormat="1" applyFont="1" applyFill="1" applyBorder="1" applyProtection="1">
      <protection locked="0"/>
    </xf>
    <xf numFmtId="10" fontId="23" fillId="8" borderId="5" xfId="20" applyNumberFormat="1" applyFont="1" applyFill="1" applyBorder="1" applyProtection="1">
      <protection locked="0"/>
    </xf>
    <xf numFmtId="10" fontId="23" fillId="8" borderId="6" xfId="20" applyNumberFormat="1" applyFont="1" applyFill="1" applyBorder="1" applyProtection="1">
      <protection locked="0"/>
    </xf>
    <xf numFmtId="0" fontId="32" fillId="0" borderId="0" xfId="0" applyFont="1"/>
    <xf numFmtId="0" fontId="23" fillId="33" borderId="8" xfId="0" applyFont="1" applyFill="1" applyBorder="1"/>
    <xf numFmtId="0" fontId="24" fillId="33" borderId="9" xfId="0" applyFont="1" applyFill="1" applyBorder="1"/>
    <xf numFmtId="10" fontId="24" fillId="36" borderId="10" xfId="20" applyNumberFormat="1" applyFont="1" applyFill="1" applyBorder="1" applyProtection="1">
      <protection locked="0"/>
    </xf>
    <xf numFmtId="10" fontId="24" fillId="36" borderId="11" xfId="20" applyNumberFormat="1" applyFont="1" applyFill="1" applyBorder="1" applyProtection="1">
      <protection locked="0"/>
    </xf>
    <xf numFmtId="10" fontId="24" fillId="8" borderId="10" xfId="20" applyNumberFormat="1" applyFont="1" applyFill="1" applyBorder="1" applyProtection="1">
      <protection locked="0"/>
    </xf>
    <xf numFmtId="10" fontId="24" fillId="8" borderId="11" xfId="20" applyNumberFormat="1" applyFont="1" applyFill="1" applyBorder="1" applyProtection="1">
      <protection locked="0"/>
    </xf>
    <xf numFmtId="0" fontId="24" fillId="40" borderId="31" xfId="0" applyFont="1" applyFill="1" applyBorder="1"/>
    <xf numFmtId="3" fontId="24" fillId="36" borderId="12" xfId="20" applyNumberFormat="1" applyFont="1" applyFill="1" applyBorder="1" applyProtection="1">
      <protection locked="0"/>
    </xf>
    <xf numFmtId="10" fontId="24" fillId="34" borderId="13" xfId="20" applyNumberFormat="1" applyFont="1" applyFill="1" applyBorder="1" applyProtection="1">
      <protection locked="0"/>
    </xf>
    <xf numFmtId="3" fontId="24" fillId="8" borderId="12" xfId="20" applyNumberFormat="1" applyFont="1" applyFill="1" applyBorder="1" applyProtection="1">
      <protection locked="0"/>
    </xf>
    <xf numFmtId="0" fontId="23" fillId="0" borderId="0" xfId="0" applyFont="1"/>
    <xf numFmtId="0" fontId="23" fillId="0" borderId="0" xfId="0" applyFont="1" applyProtection="1">
      <protection locked="0"/>
    </xf>
    <xf numFmtId="10" fontId="23" fillId="36" borderId="2" xfId="20" applyNumberFormat="1" applyFont="1" applyFill="1" applyBorder="1" applyProtection="1">
      <protection locked="0"/>
    </xf>
    <xf numFmtId="10" fontId="23" fillId="36" borderId="3" xfId="20" applyNumberFormat="1" applyFont="1" applyFill="1" applyBorder="1" applyProtection="1">
      <protection locked="0"/>
    </xf>
    <xf numFmtId="10" fontId="23" fillId="8" borderId="2" xfId="20" applyNumberFormat="1" applyFont="1" applyFill="1" applyBorder="1" applyProtection="1">
      <protection locked="0"/>
    </xf>
    <xf numFmtId="10" fontId="23" fillId="8" borderId="3" xfId="20" applyNumberFormat="1" applyFont="1" applyFill="1" applyBorder="1" applyProtection="1">
      <protection locked="0"/>
    </xf>
    <xf numFmtId="0" fontId="24" fillId="33" borderId="32" xfId="0" applyFont="1" applyFill="1" applyBorder="1"/>
    <xf numFmtId="0" fontId="0" fillId="0" borderId="0" xfId="0"/>
    <xf numFmtId="0" fontId="30" fillId="0" borderId="0" xfId="0" applyFont="1" applyProtection="1">
      <protection locked="0"/>
    </xf>
    <xf numFmtId="0" fontId="24" fillId="0" borderId="4" xfId="0" applyFont="1" applyBorder="1" applyAlignment="1">
      <alignment horizontal="right" vertical="center"/>
    </xf>
    <xf numFmtId="0" fontId="23" fillId="8" borderId="5" xfId="0" applyFont="1" applyFill="1" applyBorder="1" applyAlignment="1">
      <alignment horizontal="center" vertical="center" wrapText="1"/>
    </xf>
    <xf numFmtId="0" fontId="23" fillId="8" borderId="6" xfId="0" applyFont="1" applyFill="1" applyBorder="1" applyAlignment="1">
      <alignment horizontal="center" vertical="center" wrapText="1"/>
    </xf>
    <xf numFmtId="0" fontId="30" fillId="0" borderId="0" xfId="0" applyFont="1" applyAlignment="1">
      <alignment horizontal="right"/>
    </xf>
  </cellXfs>
  <cellStyles count="44">
    <cellStyle name="20% - הדגשה1" xfId="1" xr:uid="{00000000-0005-0000-0000-000000000000}"/>
    <cellStyle name="20% - הדגשה2" xfId="2" xr:uid="{00000000-0005-0000-0000-000001000000}"/>
    <cellStyle name="20% - הדגשה3" xfId="3" xr:uid="{00000000-0005-0000-0000-000002000000}"/>
    <cellStyle name="20% - הדגשה4" xfId="4" xr:uid="{00000000-0005-0000-0000-000003000000}"/>
    <cellStyle name="20% - הדגשה5" xfId="5" xr:uid="{00000000-0005-0000-0000-000004000000}"/>
    <cellStyle name="20% - הדגשה6" xfId="6" xr:uid="{00000000-0005-0000-0000-000005000000}"/>
    <cellStyle name="40% - הדגשה1" xfId="7" xr:uid="{00000000-0005-0000-0000-000006000000}"/>
    <cellStyle name="40% - הדגשה2" xfId="8" xr:uid="{00000000-0005-0000-0000-000007000000}"/>
    <cellStyle name="40% - הדגשה3" xfId="9" xr:uid="{00000000-0005-0000-0000-000008000000}"/>
    <cellStyle name="40% - הדגשה4" xfId="10" xr:uid="{00000000-0005-0000-0000-000009000000}"/>
    <cellStyle name="40% - הדגשה5" xfId="11" xr:uid="{00000000-0005-0000-0000-00000A000000}"/>
    <cellStyle name="40% - הדגשה6" xfId="12" xr:uid="{00000000-0005-0000-0000-00000B000000}"/>
    <cellStyle name="60% - הדגשה1" xfId="13" xr:uid="{00000000-0005-0000-0000-00000C000000}"/>
    <cellStyle name="60% - הדגשה2" xfId="14" xr:uid="{00000000-0005-0000-0000-00000D000000}"/>
    <cellStyle name="60% - הדגשה3" xfId="15" xr:uid="{00000000-0005-0000-0000-00000E000000}"/>
    <cellStyle name="60% - הדגשה4" xfId="16" xr:uid="{00000000-0005-0000-0000-00000F000000}"/>
    <cellStyle name="60% - הדגשה5" xfId="17" xr:uid="{00000000-0005-0000-0000-000010000000}"/>
    <cellStyle name="60% - הדגשה6" xfId="18" xr:uid="{00000000-0005-0000-0000-000011000000}"/>
    <cellStyle name="Comma" xfId="19" builtinId="3"/>
    <cellStyle name="Normal" xfId="0" builtinId="0"/>
    <cellStyle name="Percent" xfId="20" builtinId="5"/>
    <cellStyle name="הדגשה1" xfId="21" xr:uid="{00000000-0005-0000-0000-000015000000}"/>
    <cellStyle name="הדגשה2" xfId="22" xr:uid="{00000000-0005-0000-0000-000016000000}"/>
    <cellStyle name="הדגשה3" xfId="23" xr:uid="{00000000-0005-0000-0000-000017000000}"/>
    <cellStyle name="הדגשה4" xfId="24" xr:uid="{00000000-0005-0000-0000-000018000000}"/>
    <cellStyle name="הדגשה5" xfId="25" xr:uid="{00000000-0005-0000-0000-000019000000}"/>
    <cellStyle name="הדגשה6" xfId="26" xr:uid="{00000000-0005-0000-0000-00001A000000}"/>
    <cellStyle name="הערה" xfId="27" xr:uid="{00000000-0005-0000-0000-00001B000000}"/>
    <cellStyle name="חישוב" xfId="28" xr:uid="{00000000-0005-0000-0000-00001C000000}"/>
    <cellStyle name="טוב" xfId="29" xr:uid="{00000000-0005-0000-0000-00001D000000}"/>
    <cellStyle name="טקסט אזהרה" xfId="30" xr:uid="{00000000-0005-0000-0000-00001E000000}"/>
    <cellStyle name="טקסט הסברי" xfId="31" xr:uid="{00000000-0005-0000-0000-00001F000000}"/>
    <cellStyle name="כותרת" xfId="32" xr:uid="{00000000-0005-0000-0000-000020000000}"/>
    <cellStyle name="כותרת 1" xfId="33" xr:uid="{00000000-0005-0000-0000-000021000000}"/>
    <cellStyle name="כותרת 2" xfId="34" xr:uid="{00000000-0005-0000-0000-000022000000}"/>
    <cellStyle name="כותרת 3" xfId="35" xr:uid="{00000000-0005-0000-0000-000023000000}"/>
    <cellStyle name="כותרת 4" xfId="36" xr:uid="{00000000-0005-0000-0000-000024000000}"/>
    <cellStyle name="ניטראלי" xfId="37" xr:uid="{00000000-0005-0000-0000-000025000000}"/>
    <cellStyle name="סה&quot;כ" xfId="38" xr:uid="{00000000-0005-0000-0000-000026000000}"/>
    <cellStyle name="פלט" xfId="39" xr:uid="{00000000-0005-0000-0000-000027000000}"/>
    <cellStyle name="קלט" xfId="40" xr:uid="{00000000-0005-0000-0000-000028000000}"/>
    <cellStyle name="רע" xfId="41" xr:uid="{00000000-0005-0000-0000-000029000000}"/>
    <cellStyle name="תא מסומן" xfId="42" xr:uid="{00000000-0005-0000-0000-00002A000000}"/>
    <cellStyle name="תא מקושר" xfId="43" xr:uid="{00000000-0005-0000-0000-00002B000000}"/>
  </cellStyles>
  <dxfs count="70"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border>
        <top style="thin">
          <color auto="1"/>
        </top>
        <bottom style="thin">
          <color auto="1"/>
        </bottom>
      </border>
    </dxf>
    <dxf>
      <alignment vertical="top" textRotation="0" shrinkToFit="0" readingOrder="0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border>
        <bottom style="thin">
          <color auto="1"/>
        </bottom>
      </border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border>
        <top style="thin">
          <color auto="1"/>
        </top>
        <bottom style="thin">
          <color auto="1"/>
        </bottom>
      </border>
    </dxf>
    <dxf>
      <alignment vertical="top" textRotation="0" shrinkToFit="0" readingOrder="0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border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512244146_g1348_Yield2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512244146_g1351_Yield2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פרסום מרכיבי תשואה"/>
      <sheetName val="Var"/>
    </sheetNames>
    <sheetDataSet>
      <sheetData sheetId="0">
        <row r="19">
          <cell r="B19">
            <v>2024</v>
          </cell>
        </row>
        <row r="21">
          <cell r="B21">
            <v>1348</v>
          </cell>
        </row>
        <row r="22">
          <cell r="B22" t="str">
            <v>30.06.24</v>
          </cell>
        </row>
        <row r="23">
          <cell r="B23" t="str">
            <v>כלל השתלמות אג"ח צמוד מדד</v>
          </cell>
        </row>
        <row r="24">
          <cell r="B24" t="str">
            <v>כלל פנסיה וגמל בע"מ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פרסום מרכיבי תשואה"/>
      <sheetName val="Var"/>
    </sheetNames>
    <sheetDataSet>
      <sheetData sheetId="0">
        <row r="19">
          <cell r="B19">
            <v>2024</v>
          </cell>
        </row>
        <row r="21">
          <cell r="B21">
            <v>1351</v>
          </cell>
        </row>
        <row r="22">
          <cell r="B22" t="str">
            <v>30.06.24</v>
          </cell>
        </row>
        <row r="23">
          <cell r="B23" t="str">
            <v>כלל השתלמות שקלי טווח קצר</v>
          </cell>
        </row>
        <row r="24">
          <cell r="B24" t="str">
            <v>כלל פנסיה וגמל בע"מ</v>
          </cell>
        </row>
      </sheetData>
      <sheetData sheetId="1" refreshError="1"/>
      <sheetData sheetId="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25833B-10AD-4908-AE91-48A8E0B14CF1}" name="טבלה4" displayName="טבלה4" ref="B37:J66" totalsRowShown="0" tableBorderDxfId="69">
  <autoFilter ref="B37:J66" xr:uid="{E425833B-10AD-4908-AE91-48A8E0B14CF1}"/>
  <tableColumns count="9">
    <tableColumn id="1" xr3:uid="{51EEFB42-8645-45C6-87ED-6033613F70E9}" name="נתונים מצטברים"/>
    <tableColumn id="2" xr3:uid="{645A4626-8DEF-4116-B67C-010BB286CD6E}" name="התרומה לתשואה ינואר-מרץ " dataDxfId="68"/>
    <tableColumn id="3" xr3:uid="{AA461F42-9D9A-4DC3-B2E7-C88232110E1E}" name="שיעור מסך הנכסים ינואר-מרץ " dataDxfId="67"/>
    <tableColumn id="4" xr3:uid="{CADB4D8D-EE9E-4A80-BD58-A590F2829629}" name="התרומה לתשואה ינואר-יוני " dataDxfId="66"/>
    <tableColumn id="5" xr3:uid="{C76C7EDD-2858-4EC5-8254-AD9755639ED1}" name="שיעור מסך הנכסים ינואר-יוני " dataDxfId="65"/>
    <tableColumn id="6" xr3:uid="{7DF0A7F3-AF47-4A7E-AD2D-91491FDBC53D}" name="התרומה לתשואה ינואר-ספטמבר " dataDxfId="64"/>
    <tableColumn id="7" xr3:uid="{FC4740D7-2007-4015-AEA0-590AE02245D5}" name="שיעור מסך הנכסים ינואר-ספטמבר " dataDxfId="63"/>
    <tableColumn id="8" xr3:uid="{28DD5FFA-6C3A-4871-BD80-90A2D66FD4A9}" name="התרומה לתשואה ינואר-דצמבר " dataDxfId="62"/>
    <tableColumn id="9" xr3:uid="{2C311F7B-ADDD-41E6-9EF8-3597266403F7}" name="שיעור מסך הנכסים ינואר-דצמבר" dataDxfId="61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2DE1B7-E194-4BBA-B24D-2B9C275245D4}" name="טבלה7" displayName="טבלה7" ref="B6:Z35" totalsRowShown="0" headerRowDxfId="60" tableBorderDxfId="59">
  <autoFilter ref="B6:Z35" xr:uid="{D92DE1B7-E194-4BBA-B24D-2B9C275245D4}"/>
  <tableColumns count="25">
    <tableColumn id="1" xr3:uid="{8C09DEBB-00A5-4DFE-B0FF-C6CA7FE9DF0A}" name="אפיקי השקעה:"/>
    <tableColumn id="2" xr3:uid="{F2AA58C9-6724-4FCA-BAB7-11D3EF06E91C}" name="התרומה לתשואה ינואר" dataDxfId="58"/>
    <tableColumn id="3" xr3:uid="{14F1BBD3-E4EE-4FA1-BDB0-56292909BA66}" name="שיעור מסך הנכסים ינואר " dataDxfId="57"/>
    <tableColumn id="4" xr3:uid="{CA56B003-E7CF-485F-8E6B-FC986EC9B2FF}" name="התרומה לתשואה פברואר" dataDxfId="56"/>
    <tableColumn id="5" xr3:uid="{74253096-B1B2-49C4-9548-2596B2255528}" name="שיעור מסך הנכסים פברואר" dataDxfId="55"/>
    <tableColumn id="6" xr3:uid="{D6FAD565-356F-4C9B-8F30-7C2B587A1655}" name="התרומה לתשואה מרץ" dataDxfId="54"/>
    <tableColumn id="7" xr3:uid="{DA0E6EB4-E5F2-4E56-B48B-C071A05E1261}" name="שיעור מסך הנכסים מרץ" dataDxfId="53"/>
    <tableColumn id="8" xr3:uid="{1AC05DB4-EEF1-46A7-B323-30733A7B79CE}" name="התרומה לתשואה אפריל" dataDxfId="52"/>
    <tableColumn id="9" xr3:uid="{646F13BA-83EF-4E94-AFFB-DFD9F69FD5D5}" name="שיעור מסך הנכסים אפריל" dataDxfId="51"/>
    <tableColumn id="10" xr3:uid="{CF338544-C1FB-4100-BD85-0E344E1717AE}" name="התרומה לתשואה מאי " dataDxfId="50"/>
    <tableColumn id="11" xr3:uid="{A1C7E418-7FB6-40E4-97A3-1AB6D92F9BA4}" name="שיעור מסך הנכסים מאי" dataDxfId="49"/>
    <tableColumn id="12" xr3:uid="{359D68B5-67C4-406A-B215-59FF37CD9735}" name="התרומה לתשואה יוני" dataDxfId="48"/>
    <tableColumn id="13" xr3:uid="{32781272-964E-4265-8347-4A44A8DB5DBE}" name="שיעור מסך הנכסים יוני" dataDxfId="47"/>
    <tableColumn id="14" xr3:uid="{ABCE9F2F-5F71-436B-990E-E8002AFE411E}" name="התרומה לתשואה יולי" dataDxfId="46"/>
    <tableColumn id="15" xr3:uid="{5E9C9A1B-256D-4669-B519-A0AF0B5675FD}" name="שיעור מסך הנכסים יולי " dataDxfId="45"/>
    <tableColumn id="16" xr3:uid="{1DA2D868-4DEF-4F97-A17C-7FD25980BE13}" name="התרומה לתשואה אוגוסט" dataDxfId="44"/>
    <tableColumn id="17" xr3:uid="{54FA9A68-EAD4-41D1-BD38-273C8893549A}" name="שיעור מסך הנכסים אוגוסט" dataDxfId="43"/>
    <tableColumn id="18" xr3:uid="{37EAD8E0-9D40-4331-87EC-13CDF8E0D6D9}" name="התרומה לתשואה ספטמבר " dataDxfId="42"/>
    <tableColumn id="19" xr3:uid="{FAB22FFD-94F3-4593-A852-878371A05B59}" name="שיעור מסך הנכסים ספטמבר " dataDxfId="41"/>
    <tableColumn id="20" xr3:uid="{D17E04CF-6793-4042-92C1-2FD3D73F4534}" name="התרומה לתשואה אוקטובר" dataDxfId="40"/>
    <tableColumn id="21" xr3:uid="{38719092-8B39-4B79-BAA4-F6383EAE7798}" name="שיעור מסך הנכסים אוקטובר" dataDxfId="39"/>
    <tableColumn id="22" xr3:uid="{6A752927-7FBF-456F-93CD-298F504157D1}" name="התרומה לתשואה נובמבר" dataDxfId="38"/>
    <tableColumn id="23" xr3:uid="{F2BF02D7-FE3B-420F-BA07-C857884F1763}" name="שיעור מסך הנכסים נובמבר " dataDxfId="37"/>
    <tableColumn id="24" xr3:uid="{C786084D-24CF-4D7B-B608-8BA916D0E729}" name="התרומה לתשואה דצמבר " dataDxfId="36"/>
    <tableColumn id="25" xr3:uid="{2DF1300D-C62C-4367-8C10-F5D1C9A5BFBA}" name="שיעור מסך הנכסים דצמבר" dataDxfId="35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CEFEEE3-3110-4D27-8E44-0064CEAC41FC}" name="טבלה44" displayName="טבלה44" ref="B37:J66" totalsRowShown="0" tableBorderDxfId="34">
  <autoFilter ref="B37:J66" xr:uid="{9CEFEEE3-3110-4D27-8E44-0064CEAC41FC}"/>
  <tableColumns count="9">
    <tableColumn id="1" xr3:uid="{E9C9EE42-53CB-45DC-9183-9E74D9D9FE0E}" name="נתונים מצטברים"/>
    <tableColumn id="2" xr3:uid="{FB83DC20-CF88-452B-BF2C-1ACF9133E7C9}" name="התרומה לתשואה ינואר-מרץ " dataDxfId="33"/>
    <tableColumn id="3" xr3:uid="{5F119485-CFA6-4629-A76F-C9AA7AC5E267}" name="שיעור מסך הנכסים ינואר-מרץ " dataDxfId="32"/>
    <tableColumn id="4" xr3:uid="{7A5F6A0B-65B4-43F3-B1BE-5BF232CF0685}" name="התרומה לתשואה ינואר-יוני " dataDxfId="31"/>
    <tableColumn id="5" xr3:uid="{3C81C390-1C38-4995-A22B-EFA1770C2A4A}" name="שיעור מסך הנכסים ינואר-יוני " dataDxfId="30"/>
    <tableColumn id="6" xr3:uid="{F9B84921-59F1-4BFF-B56B-02A5C4E1AABD}" name="התרומה לתשואה ינואר-ספטמבר " dataDxfId="29"/>
    <tableColumn id="7" xr3:uid="{5F720469-82B3-4A9B-94FA-F7A46A2F211B}" name="שיעור מסך הנכסים ינואר-ספטמבר " dataDxfId="28"/>
    <tableColumn id="8" xr3:uid="{6911740B-2B0C-48F6-ACCA-45FE6D5620B1}" name="התרומה לתשואה ינואר-דצמבר " dataDxfId="27"/>
    <tableColumn id="9" xr3:uid="{0076A91C-B35D-4A4B-9B69-99B3D15C25B5}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759C130-8497-41D3-8FFA-BFF836BD9598}" name="טבלה75" displayName="טבלה75" ref="B6:Z35" totalsRowShown="0" headerRowDxfId="25" tableBorderDxfId="24">
  <autoFilter ref="B6:Z35" xr:uid="{6759C130-8497-41D3-8FFA-BFF836BD9598}"/>
  <tableColumns count="25">
    <tableColumn id="1" xr3:uid="{C7D50578-C035-4B56-B39B-4AB23BE7C4F6}" name="אפיקי השקעה:"/>
    <tableColumn id="2" xr3:uid="{7BC522A1-22C3-41FF-87C1-5CC31DACB757}" name="התרומה לתשואה ינואר" dataDxfId="23"/>
    <tableColumn id="3" xr3:uid="{D5EA46D9-7C2C-47D9-A103-0785ED83A6B9}" name="שיעור מסך הנכסים ינואר " dataDxfId="22"/>
    <tableColumn id="4" xr3:uid="{3D3BCD9E-7593-4367-BCA9-CA03E1186393}" name="התרומה לתשואה פברואר" dataDxfId="21"/>
    <tableColumn id="5" xr3:uid="{559D7A22-FF04-447F-B7BD-AEFBCCBA0559}" name="שיעור מסך הנכסים פברואר" dataDxfId="20"/>
    <tableColumn id="6" xr3:uid="{F52B7A1C-9A01-4CEC-A4F2-2AD4420A54F7}" name="התרומה לתשואה מרץ" dataDxfId="19"/>
    <tableColumn id="7" xr3:uid="{5B45E8C0-3F1C-418C-A77B-9072AADEE2B4}" name="שיעור מסך הנכסים מרץ" dataDxfId="18"/>
    <tableColumn id="8" xr3:uid="{E5133F33-A0C8-4BBE-9450-13D6B5B634CB}" name="התרומה לתשואה אפריל" dataDxfId="17"/>
    <tableColumn id="9" xr3:uid="{A69B24DF-ED46-4812-BD1F-8E84D2E3BFE9}" name="שיעור מסך הנכסים אפריל" dataDxfId="16"/>
    <tableColumn id="10" xr3:uid="{7B5106BF-2F56-47B9-98C1-C73D09374EAC}" name="התרומה לתשואה מאי " dataDxfId="15"/>
    <tableColumn id="11" xr3:uid="{E76C70CF-A710-43E5-9926-87485506AC8E}" name="שיעור מסך הנכסים מאי" dataDxfId="14"/>
    <tableColumn id="12" xr3:uid="{0E8F37A2-85C9-4220-9AD6-CD4CE4A8AF6D}" name="התרומה לתשואה יוני" dataDxfId="13"/>
    <tableColumn id="13" xr3:uid="{61E694EB-A8CA-483D-BE18-35F50EF279EF}" name="שיעור מסך הנכסים יוני" dataDxfId="12"/>
    <tableColumn id="14" xr3:uid="{7F4B00EC-34AC-452E-BA5B-6205703DB0DA}" name="התרומה לתשואה יולי" dataDxfId="11"/>
    <tableColumn id="15" xr3:uid="{925FDA3E-A4C7-429F-B618-71753B378BEC}" name="שיעור מסך הנכסים יולי " dataDxfId="10"/>
    <tableColumn id="16" xr3:uid="{2F185159-9375-4CBF-8512-195C915BF31E}" name="התרומה לתשואה אוגוסט" dataDxfId="9"/>
    <tableColumn id="17" xr3:uid="{4384A6E5-03DF-4E10-992F-D8E63C566767}" name="שיעור מסך הנכסים אוגוסט" dataDxfId="8"/>
    <tableColumn id="18" xr3:uid="{DDD1A228-C350-4BF5-A63B-46518FF894A0}" name="התרומה לתשואה ספטמבר " dataDxfId="7"/>
    <tableColumn id="19" xr3:uid="{45C8FECD-F555-414D-A2B2-94774046D8FD}" name="שיעור מסך הנכסים ספטמבר " dataDxfId="6"/>
    <tableColumn id="20" xr3:uid="{F770F396-B795-4409-8D17-65B117F6B046}" name="התרומה לתשואה אוקטובר" dataDxfId="5"/>
    <tableColumn id="21" xr3:uid="{8EDC7CF4-7421-4D6E-AD08-C9FC2AE9B522}" name="שיעור מסך הנכסים אוקטובר" dataDxfId="4"/>
    <tableColumn id="22" xr3:uid="{2342F3A6-2F76-434D-8B84-FCE0C8F8C35F}" name="התרומה לתשואה נובמבר" dataDxfId="3"/>
    <tableColumn id="23" xr3:uid="{A5567C2A-BF42-47DC-8AD5-2CD29EECF21D}" name="שיעור מסך הנכסים נובמבר " dataDxfId="2"/>
    <tableColumn id="24" xr3:uid="{C6412CA9-14F3-4FA2-8647-9C03CBF7D52F}" name="התרומה לתשואה דצמבר " dataDxfId="1"/>
    <tableColumn id="25" xr3:uid="{9E0299F5-7D7C-4D7A-93DD-35082F3A38E9}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4E8C2-9271-4EA3-8F91-9DF7208071C8}">
  <sheetPr codeName="גיליון25">
    <tabColor rgb="FF92D050"/>
  </sheetPr>
  <dimension ref="A1:AB76"/>
  <sheetViews>
    <sheetView showGridLines="0" rightToLeft="1" topLeftCell="A19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8" t="s">
        <v>35</v>
      </c>
      <c r="B1" s="61"/>
      <c r="D1" s="2"/>
    </row>
    <row r="2" spans="1:26" ht="18.75" x14ac:dyDescent="0.3">
      <c r="A2" s="69" t="s">
        <v>36</v>
      </c>
      <c r="B2" s="71">
        <v>456</v>
      </c>
    </row>
    <row r="3" spans="1:26" ht="18.75" x14ac:dyDescent="0.3">
      <c r="A3" s="70" t="s">
        <v>37</v>
      </c>
      <c r="B3" s="72" t="s">
        <v>29</v>
      </c>
    </row>
    <row r="4" spans="1:26" ht="18.75" x14ac:dyDescent="0.3">
      <c r="A4" s="69" t="s">
        <v>38</v>
      </c>
      <c r="B4" s="72" t="s">
        <v>28</v>
      </c>
    </row>
    <row r="5" spans="1:26" ht="18.75" x14ac:dyDescent="0.3">
      <c r="A5" s="70" t="s">
        <v>39</v>
      </c>
      <c r="B5" s="71">
        <v>2024</v>
      </c>
      <c r="C5" s="70" t="s">
        <v>40</v>
      </c>
      <c r="D5" s="71" t="s">
        <v>45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46</v>
      </c>
      <c r="C7" s="7"/>
      <c r="D7" s="8" t="s">
        <v>47</v>
      </c>
      <c r="E7" s="9"/>
      <c r="F7" s="6" t="s">
        <v>48</v>
      </c>
      <c r="G7" s="7"/>
      <c r="H7" s="8" t="s">
        <v>49</v>
      </c>
      <c r="I7" s="9"/>
      <c r="J7" s="6" t="s">
        <v>50</v>
      </c>
      <c r="K7" s="7"/>
      <c r="L7" s="8" t="s">
        <v>51</v>
      </c>
      <c r="M7" s="9"/>
      <c r="N7" s="6" t="s">
        <v>52</v>
      </c>
      <c r="O7" s="7"/>
      <c r="P7" s="8" t="s">
        <v>53</v>
      </c>
      <c r="Q7" s="9"/>
      <c r="R7" s="6" t="s">
        <v>54</v>
      </c>
      <c r="S7" s="7"/>
      <c r="T7" s="8" t="s">
        <v>55</v>
      </c>
      <c r="U7" s="8"/>
      <c r="V7" s="6" t="s">
        <v>56</v>
      </c>
      <c r="W7" s="7"/>
      <c r="X7" s="8" t="s">
        <v>57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5.3724852798531166E-4</v>
      </c>
      <c r="C9" s="15">
        <v>7.007464437425473E-2</v>
      </c>
      <c r="D9" s="16">
        <v>4.0133233408640862E-5</v>
      </c>
      <c r="E9" s="16">
        <v>4.5241449712968874E-2</v>
      </c>
      <c r="F9" s="15">
        <v>1.1175524647517865E-4</v>
      </c>
      <c r="G9" s="15">
        <v>4.3432496672174775E-2</v>
      </c>
      <c r="H9" s="16">
        <v>5.3336904922677252E-4</v>
      </c>
      <c r="I9" s="16">
        <v>3.4564705365449214E-2</v>
      </c>
      <c r="J9" s="15">
        <v>-5.3773981240614298E-4</v>
      </c>
      <c r="K9" s="15">
        <v>3.6368107493923545E-2</v>
      </c>
      <c r="L9" s="16">
        <v>2.4412649329658576E-4</v>
      </c>
      <c r="M9" s="16">
        <v>4.2433118958807386E-2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73" t="s">
        <v>43</v>
      </c>
      <c r="B10" s="15">
        <v>-8.4736824566191424E-4</v>
      </c>
      <c r="C10" s="15">
        <v>0.12734610483339384</v>
      </c>
      <c r="D10" s="16">
        <v>3.3989793755293218E-4</v>
      </c>
      <c r="E10" s="16">
        <v>0.13395371412982296</v>
      </c>
      <c r="F10" s="15">
        <v>-5.6763278832043962E-4</v>
      </c>
      <c r="G10" s="15">
        <v>0.13207660423141362</v>
      </c>
      <c r="H10" s="16">
        <v>-1.5136201736769108E-3</v>
      </c>
      <c r="I10" s="16">
        <v>0.13661431625880421</v>
      </c>
      <c r="J10" s="15">
        <v>-9.8557961261670117E-4</v>
      </c>
      <c r="K10" s="15">
        <v>0.14094347030377258</v>
      </c>
      <c r="L10" s="16">
        <v>2.5579586696175804E-4</v>
      </c>
      <c r="M10" s="16">
        <v>0.1439918066537349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4.8635727144568606E-4</v>
      </c>
      <c r="C13" s="15">
        <v>0.21614880631612893</v>
      </c>
      <c r="D13" s="16">
        <v>7.8279439171578423E-4</v>
      </c>
      <c r="E13" s="16">
        <v>0.2170039509607673</v>
      </c>
      <c r="F13" s="15">
        <v>2.9974252216635388E-3</v>
      </c>
      <c r="G13" s="15">
        <v>0.20791032878208504</v>
      </c>
      <c r="H13" s="16">
        <v>-2.3745964782301326E-4</v>
      </c>
      <c r="I13" s="16">
        <v>0.20156224774615447</v>
      </c>
      <c r="J13" s="15">
        <v>5.3688695774947184E-4</v>
      </c>
      <c r="K13" s="15">
        <v>0.20121521703895534</v>
      </c>
      <c r="L13" s="16">
        <v>1.1483229706639033E-4</v>
      </c>
      <c r="M13" s="16">
        <v>0.1939573535120796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-1.6813182739145271E-5</v>
      </c>
      <c r="C14" s="15">
        <v>8.6366172155651292E-3</v>
      </c>
      <c r="D14" s="16">
        <v>6.3327799214548801E-5</v>
      </c>
      <c r="E14" s="16">
        <v>8.9110024004588236E-3</v>
      </c>
      <c r="F14" s="15">
        <v>7.0743156184311398E-5</v>
      </c>
      <c r="G14" s="15">
        <v>9.0616293125740446E-3</v>
      </c>
      <c r="H14" s="16">
        <v>-4.8796924896304772E-5</v>
      </c>
      <c r="I14" s="16">
        <v>9.2062478430295133E-3</v>
      </c>
      <c r="J14" s="15">
        <v>-2.5928236541634963E-5</v>
      </c>
      <c r="K14" s="15">
        <v>9.3861352900388093E-3</v>
      </c>
      <c r="L14" s="16">
        <v>-2.1772045140457196E-5</v>
      </c>
      <c r="M14" s="16">
        <v>9.3912504179688681E-3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-1.9461307865992019E-3</v>
      </c>
      <c r="C15" s="15">
        <v>0.2033860550915097</v>
      </c>
      <c r="D15" s="16">
        <v>1.1863062378460123E-2</v>
      </c>
      <c r="E15" s="16">
        <v>0.20502354644575171</v>
      </c>
      <c r="F15" s="15">
        <v>8.0738002477838446E-3</v>
      </c>
      <c r="G15" s="15">
        <v>0.21503840221123194</v>
      </c>
      <c r="H15" s="16">
        <v>-6.9492516975928169E-3</v>
      </c>
      <c r="I15" s="16">
        <v>0.22517522150786323</v>
      </c>
      <c r="J15" s="15">
        <v>1.8467739279619713E-3</v>
      </c>
      <c r="K15" s="15">
        <v>0.20054101443296546</v>
      </c>
      <c r="L15" s="16">
        <v>2.0118221425935676E-4</v>
      </c>
      <c r="M15" s="16">
        <v>0.19395040550304696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-1.0730399874500506E-3</v>
      </c>
      <c r="C16" s="15">
        <v>0.12187116139816287</v>
      </c>
      <c r="D16" s="16">
        <v>3.1707640666399973E-3</v>
      </c>
      <c r="E16" s="16">
        <v>0.12514417416610615</v>
      </c>
      <c r="F16" s="15">
        <v>6.5777612066107117E-3</v>
      </c>
      <c r="G16" s="15">
        <v>0.12291572977200287</v>
      </c>
      <c r="H16" s="16">
        <v>-2.0329936658035133E-3</v>
      </c>
      <c r="I16" s="16">
        <v>0.11821745521848444</v>
      </c>
      <c r="J16" s="15">
        <v>2.1204518324101688E-3</v>
      </c>
      <c r="K16" s="15">
        <v>0.12403661905561666</v>
      </c>
      <c r="L16" s="16">
        <v>3.5073300965323753E-3</v>
      </c>
      <c r="M16" s="16">
        <v>0.12981829124943625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4.9561956007212506E-4</v>
      </c>
      <c r="C17" s="15">
        <v>4.4702301264390475E-2</v>
      </c>
      <c r="D17" s="16">
        <v>-2.6873312149814868E-4</v>
      </c>
      <c r="E17" s="16">
        <v>4.1473349912497931E-2</v>
      </c>
      <c r="F17" s="15">
        <v>1.7245594361315303E-3</v>
      </c>
      <c r="G17" s="15">
        <v>4.4483617686554427E-2</v>
      </c>
      <c r="H17" s="16">
        <v>6.418408091189541E-4</v>
      </c>
      <c r="I17" s="16">
        <v>4.3129038885738248E-2</v>
      </c>
      <c r="J17" s="15">
        <v>4.30358695149977E-5</v>
      </c>
      <c r="K17" s="15">
        <v>4.8798116099739747E-2</v>
      </c>
      <c r="L17" s="16">
        <v>7.1948102887530395E-4</v>
      </c>
      <c r="M17" s="16">
        <v>4.0770510788746765E-2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4.628476646824119E-5</v>
      </c>
      <c r="C18" s="15">
        <v>9.8718148345828524E-2</v>
      </c>
      <c r="D18" s="16">
        <v>-1.3737089084000947E-3</v>
      </c>
      <c r="E18" s="16">
        <v>0.1049725811444228</v>
      </c>
      <c r="F18" s="15">
        <v>3.1100670366303964E-3</v>
      </c>
      <c r="G18" s="15">
        <v>0.10490343947734147</v>
      </c>
      <c r="H18" s="16">
        <v>2.3943302673242487E-3</v>
      </c>
      <c r="I18" s="16">
        <v>0.10973114323419887</v>
      </c>
      <c r="J18" s="15">
        <v>6.7817360163561894E-4</v>
      </c>
      <c r="K18" s="15">
        <v>0.11641192434744403</v>
      </c>
      <c r="L18" s="16">
        <v>1.0986289403252015E-3</v>
      </c>
      <c r="M18" s="16">
        <v>0.11894869513699176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3.8439650281703541E-5</v>
      </c>
      <c r="C19" s="15">
        <v>4.0849628261879122E-4</v>
      </c>
      <c r="D19" s="16">
        <v>3.0330133230748526E-4</v>
      </c>
      <c r="E19" s="16">
        <v>4.7357164719712938E-4</v>
      </c>
      <c r="F19" s="15">
        <v>9.3345600809299523E-5</v>
      </c>
      <c r="G19" s="15">
        <v>7.7730291442207984E-4</v>
      </c>
      <c r="H19" s="16">
        <v>-7.6236760521709223E-6</v>
      </c>
      <c r="I19" s="16">
        <v>9.2585259682392124E-4</v>
      </c>
      <c r="J19" s="15">
        <v>-1.4024169776681247E-4</v>
      </c>
      <c r="K19" s="15">
        <v>8.8160938455567007E-4</v>
      </c>
      <c r="L19" s="16">
        <v>-1.4516045591249241E-4</v>
      </c>
      <c r="M19" s="16">
        <v>7.3108056620626303E-4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1.215241006603131E-3</v>
      </c>
      <c r="C20" s="15">
        <v>1.4789530731259279E-3</v>
      </c>
      <c r="D20" s="16">
        <v>7.2809859736447692E-3</v>
      </c>
      <c r="E20" s="16">
        <v>4.4820716237235405E-3</v>
      </c>
      <c r="F20" s="15">
        <v>-2.6863694529445501E-4</v>
      </c>
      <c r="G20" s="15">
        <v>6.6681161731461207E-3</v>
      </c>
      <c r="H20" s="16">
        <v>-8.2593319355091458E-3</v>
      </c>
      <c r="I20" s="16">
        <v>4.8381439540530367E-3</v>
      </c>
      <c r="J20" s="15">
        <v>3.307905639273463E-3</v>
      </c>
      <c r="K20" s="15">
        <v>-3.4338083591273884E-3</v>
      </c>
      <c r="L20" s="16">
        <v>2.3415930779297463E-3</v>
      </c>
      <c r="M20" s="16">
        <v>-1.2116062751999649E-3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-4.9503582651843063E-4</v>
      </c>
      <c r="C21" s="15">
        <v>6.5171822625149066E-4</v>
      </c>
      <c r="D21" s="16">
        <v>-7.7108670871487328E-4</v>
      </c>
      <c r="E21" s="16">
        <v>6.6388692558546345E-4</v>
      </c>
      <c r="F21" s="15">
        <v>-1.8296789655918347E-4</v>
      </c>
      <c r="G21" s="15">
        <v>5.0348521002833903E-4</v>
      </c>
      <c r="H21" s="16">
        <v>-3.9836032627048181E-5</v>
      </c>
      <c r="I21" s="16">
        <v>1.1228269177657405E-3</v>
      </c>
      <c r="J21" s="15">
        <v>2.0380816244155268E-4</v>
      </c>
      <c r="K21" s="15">
        <v>2.1629362016666979E-3</v>
      </c>
      <c r="L21" s="16">
        <v>-5.0764787456497942E-4</v>
      </c>
      <c r="M21" s="16">
        <v>1.5503018217911276E-3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-2.5961143864112237E-4</v>
      </c>
      <c r="C22" s="15">
        <v>3.1666884497428055E-3</v>
      </c>
      <c r="D22" s="16">
        <v>-1.6484813119888028E-4</v>
      </c>
      <c r="E22" s="16">
        <v>4.1958314229841066E-3</v>
      </c>
      <c r="F22" s="15">
        <v>2.8063999139196809E-4</v>
      </c>
      <c r="G22" s="15">
        <v>3.9241513131651343E-3</v>
      </c>
      <c r="H22" s="16">
        <v>-2.5811440267917386E-5</v>
      </c>
      <c r="I22" s="16">
        <v>5.0121508869687215E-3</v>
      </c>
      <c r="J22" s="15">
        <v>1.9740272723478797E-4</v>
      </c>
      <c r="K22" s="15">
        <v>6.1401373391770349E-3</v>
      </c>
      <c r="L22" s="16">
        <v>3.8032254446783321E-7</v>
      </c>
      <c r="M22" s="16">
        <v>8.4206088678961712E-3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6.7827020219613269E-4</v>
      </c>
      <c r="C23" s="15">
        <v>9.6204918058588926E-2</v>
      </c>
      <c r="D23" s="16">
        <v>8.4475955962408247E-4</v>
      </c>
      <c r="E23" s="16">
        <v>9.9614588348461666E-2</v>
      </c>
      <c r="F23" s="15">
        <v>1.1154858766020711E-3</v>
      </c>
      <c r="G23" s="15">
        <v>9.9528017419141412E-2</v>
      </c>
      <c r="H23" s="16">
        <v>3.8628649985107455E-4</v>
      </c>
      <c r="I23" s="16">
        <v>0.10108171874393239</v>
      </c>
      <c r="J23" s="15">
        <v>3.9534217993224317E-4</v>
      </c>
      <c r="K23" s="15">
        <v>0.10690084180136726</v>
      </c>
      <c r="L23" s="16">
        <v>-3.4816813266425354E-5</v>
      </c>
      <c r="M23" s="16">
        <v>0.10749001252504468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-6.8183474236118206E-6</v>
      </c>
      <c r="C24" s="15">
        <v>4.7767490839466882E-5</v>
      </c>
      <c r="D24" s="16">
        <v>-1.092420746202374E-5</v>
      </c>
      <c r="E24" s="16">
        <v>1.502771109599415E-3</v>
      </c>
      <c r="F24" s="15">
        <v>5.0987476995629015E-5</v>
      </c>
      <c r="G24" s="15">
        <v>1.4424755115743574E-3</v>
      </c>
      <c r="H24" s="16">
        <v>3.119165371332864E-5</v>
      </c>
      <c r="I24" s="16">
        <v>1.4632748930201226E-3</v>
      </c>
      <c r="J24" s="15">
        <v>-1.2812739487184402E-7</v>
      </c>
      <c r="K24" s="15">
        <v>1.5711523145375173E-3</v>
      </c>
      <c r="L24" s="16">
        <v>2.3607021294237765E-5</v>
      </c>
      <c r="M24" s="16">
        <v>1.5445551532945211E-3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74" t="s">
        <v>44</v>
      </c>
      <c r="B26" s="15">
        <v>7.3568299811459944E-6</v>
      </c>
      <c r="C26" s="15">
        <v>7.1576195795982674E-3</v>
      </c>
      <c r="D26" s="16">
        <v>2.7440470565347998E-7</v>
      </c>
      <c r="E26" s="16">
        <v>7.3435100496524637E-3</v>
      </c>
      <c r="F26" s="15">
        <v>2.2667132895598018E-5</v>
      </c>
      <c r="G26" s="15">
        <v>7.3342033131434921E-3</v>
      </c>
      <c r="H26" s="16">
        <v>2.7706915014463303E-5</v>
      </c>
      <c r="I26" s="16">
        <v>7.3556559477140496E-3</v>
      </c>
      <c r="J26" s="15">
        <v>1.983658857188848E-5</v>
      </c>
      <c r="K26" s="15">
        <v>8.0765272553669602E-3</v>
      </c>
      <c r="L26" s="16">
        <v>1.2439829798930924E-5</v>
      </c>
      <c r="M26" s="16">
        <v>8.2136151201549455E-3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19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20</v>
      </c>
      <c r="B28" s="20">
        <v>-1.14E-3</v>
      </c>
      <c r="C28" s="21">
        <v>0.99999999999999978</v>
      </c>
      <c r="D28" s="22">
        <v>2.2100000000000002E-2</v>
      </c>
      <c r="E28" s="23">
        <v>1.0000000000000002</v>
      </c>
      <c r="F28" s="20">
        <v>2.3210000000000001E-2</v>
      </c>
      <c r="G28" s="21">
        <v>0.99999999999999911</v>
      </c>
      <c r="H28" s="22">
        <v>-1.5100000000000001E-2</v>
      </c>
      <c r="I28" s="23">
        <v>1.0000000000000002</v>
      </c>
      <c r="J28" s="20">
        <v>7.6600000000000001E-3</v>
      </c>
      <c r="K28" s="21">
        <v>1</v>
      </c>
      <c r="L28" s="22">
        <v>7.8100000000000001E-3</v>
      </c>
      <c r="M28" s="23">
        <v>1.0000000000000002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21</v>
      </c>
      <c r="B29" s="24">
        <v>-22437.141</v>
      </c>
      <c r="C29" s="25"/>
      <c r="D29" s="26">
        <v>442148.66399999999</v>
      </c>
      <c r="E29" s="25"/>
      <c r="F29" s="24">
        <v>465321.83100000001</v>
      </c>
      <c r="G29" s="25"/>
      <c r="H29" s="26">
        <v>-306068.45600000001</v>
      </c>
      <c r="I29" s="25"/>
      <c r="J29" s="24">
        <v>151458.26999999999</v>
      </c>
      <c r="K29" s="25"/>
      <c r="L29" s="26">
        <v>153268.72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22</v>
      </c>
      <c r="B31" s="29">
        <v>-3.2447436829122532E-3</v>
      </c>
      <c r="C31" s="15">
        <v>0.64919069037004784</v>
      </c>
      <c r="D31" s="31">
        <v>1.2973835584030129E-2</v>
      </c>
      <c r="E31" s="31">
        <v>0.64116442678186403</v>
      </c>
      <c r="F31" s="29">
        <v>3.2591459397470711E-3</v>
      </c>
      <c r="G31" s="15">
        <v>0.64277119014812734</v>
      </c>
      <c r="H31" s="31">
        <v>-7.9527663931379337E-3</v>
      </c>
      <c r="I31" s="31">
        <v>0.62676564534518175</v>
      </c>
      <c r="J31" s="29">
        <v>-2.9781722213032846E-3</v>
      </c>
      <c r="K31" s="15">
        <v>0.6084585768241858</v>
      </c>
      <c r="L31" s="31">
        <v>-5.3396269997446604E-3</v>
      </c>
      <c r="M31" s="31">
        <v>0.60261031008378629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23</v>
      </c>
      <c r="B32" s="29">
        <v>2.1047436829122494E-3</v>
      </c>
      <c r="C32" s="15">
        <v>0.35080930962995194</v>
      </c>
      <c r="D32" s="30">
        <v>9.1261644159698757E-3</v>
      </c>
      <c r="E32" s="16">
        <v>0.35883557321813614</v>
      </c>
      <c r="F32" s="29">
        <v>1.9950854060252939E-2</v>
      </c>
      <c r="G32" s="15">
        <v>0.35722880985187272</v>
      </c>
      <c r="H32" s="30">
        <v>-7.1472336068620738E-3</v>
      </c>
      <c r="I32" s="16">
        <v>0.37323435465481791</v>
      </c>
      <c r="J32" s="29">
        <v>1.0638172221303286E-2</v>
      </c>
      <c r="K32" s="15">
        <v>0.3915414231758142</v>
      </c>
      <c r="L32" s="30">
        <v>1.3149626999744663E-2</v>
      </c>
      <c r="M32" s="16">
        <v>0.39738968991621376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20</v>
      </c>
      <c r="B33" s="20">
        <v>-1.1400000000000039E-3</v>
      </c>
      <c r="C33" s="21">
        <v>0.99999999999999978</v>
      </c>
      <c r="D33" s="22">
        <v>2.2100000000000005E-2</v>
      </c>
      <c r="E33" s="23">
        <v>1.0000000000000002</v>
      </c>
      <c r="F33" s="20">
        <v>2.3210000000000008E-2</v>
      </c>
      <c r="G33" s="21">
        <v>1</v>
      </c>
      <c r="H33" s="22">
        <v>-1.5100000000000008E-2</v>
      </c>
      <c r="I33" s="23">
        <v>0.99999999999999967</v>
      </c>
      <c r="J33" s="20">
        <v>7.6600000000000019E-3</v>
      </c>
      <c r="K33" s="21">
        <v>1</v>
      </c>
      <c r="L33" s="22">
        <v>7.8100000000000027E-3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24</v>
      </c>
      <c r="B35" s="29">
        <v>-5.7718510128808385E-4</v>
      </c>
      <c r="C35" s="15">
        <v>0.77205039656601793</v>
      </c>
      <c r="D35" s="16">
        <v>1.9267600153848416E-2</v>
      </c>
      <c r="E35" s="31">
        <v>0.75869798133158994</v>
      </c>
      <c r="F35" s="29">
        <v>2.1285146113421645E-2</v>
      </c>
      <c r="G35" s="15">
        <v>0.75361254491496332</v>
      </c>
      <c r="H35" s="16">
        <v>-1.2961691980322857E-2</v>
      </c>
      <c r="I35" s="31">
        <v>0.74762671691617955</v>
      </c>
      <c r="J35" s="29">
        <v>5.6821241912997271E-3</v>
      </c>
      <c r="K35" s="15">
        <v>0.73758131710886332</v>
      </c>
      <c r="L35" s="16">
        <v>7.3677972662688192E-3</v>
      </c>
      <c r="M35" s="31">
        <v>0.73035904743494573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25</v>
      </c>
      <c r="B36" s="29">
        <v>-5.628148987119199E-4</v>
      </c>
      <c r="C36" s="15">
        <v>0.22794960343398199</v>
      </c>
      <c r="D36" s="30">
        <v>2.8323998461515887E-3</v>
      </c>
      <c r="E36" s="16">
        <v>0.24130201866841014</v>
      </c>
      <c r="F36" s="29">
        <v>1.9248538865783652E-3</v>
      </c>
      <c r="G36" s="15">
        <v>0.24638745508503659</v>
      </c>
      <c r="H36" s="30">
        <v>-2.1383080196771508E-3</v>
      </c>
      <c r="I36" s="16">
        <v>0.25237328308382034</v>
      </c>
      <c r="J36" s="29">
        <v>1.9778758087002739E-3</v>
      </c>
      <c r="K36" s="15">
        <v>0.26241868289113685</v>
      </c>
      <c r="L36" s="30">
        <v>4.4220273373118491E-4</v>
      </c>
      <c r="M36" s="16">
        <v>0.26964095256505433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20</v>
      </c>
      <c r="B37" s="20">
        <v>-1.1400000000000039E-3</v>
      </c>
      <c r="C37" s="21">
        <v>0.99999999999999989</v>
      </c>
      <c r="D37" s="22">
        <v>2.2100000000000005E-2</v>
      </c>
      <c r="E37" s="23">
        <v>1</v>
      </c>
      <c r="F37" s="20">
        <v>2.3210000000000008E-2</v>
      </c>
      <c r="G37" s="21">
        <v>0.99999999999999989</v>
      </c>
      <c r="H37" s="22">
        <v>-1.5100000000000008E-2</v>
      </c>
      <c r="I37" s="23">
        <v>0.99999999999999989</v>
      </c>
      <c r="J37" s="20">
        <v>7.660000000000001E-3</v>
      </c>
      <c r="K37" s="21">
        <v>1.0000000000000002</v>
      </c>
      <c r="L37" s="22">
        <v>7.8100000000000044E-3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7"/>
      <c r="E39" s="78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26</v>
      </c>
      <c r="B40" s="79" t="s">
        <v>58</v>
      </c>
      <c r="C40" s="80"/>
      <c r="D40" s="75" t="s">
        <v>59</v>
      </c>
      <c r="E40" s="81"/>
      <c r="F40" s="79" t="s">
        <v>60</v>
      </c>
      <c r="G40" s="80"/>
      <c r="H40" s="75" t="s">
        <v>60</v>
      </c>
      <c r="I40" s="76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6.8922309724017694E-4</v>
      </c>
      <c r="C42" s="47">
        <v>5.2916196919799457E-2</v>
      </c>
      <c r="D42" s="48">
        <v>9.2885592327163896E-4</v>
      </c>
      <c r="E42" s="48">
        <v>4.5352420429596418E-2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3" t="s">
        <v>43</v>
      </c>
      <c r="B43" s="46">
        <v>-1.0262188138175257E-3</v>
      </c>
      <c r="C43" s="47">
        <v>0.13112547439821012</v>
      </c>
      <c r="D43" s="48">
        <v>-3.2730742311094076E-3</v>
      </c>
      <c r="E43" s="48">
        <v>0.13582100273515704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4.3504265254420823E-3</v>
      </c>
      <c r="C46" s="47">
        <v>0.21368769535299373</v>
      </c>
      <c r="D46" s="48">
        <v>4.7507486449476265E-3</v>
      </c>
      <c r="E46" s="48">
        <v>0.20629965072602843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1.2056667520597866E-4</v>
      </c>
      <c r="C47" s="47">
        <v>8.8697496428659997E-3</v>
      </c>
      <c r="D47" s="48">
        <v>2.3579302764940796E-5</v>
      </c>
      <c r="E47" s="48">
        <v>9.0988137466058647E-3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1.8125000297426298E-2</v>
      </c>
      <c r="C48" s="47">
        <v>0.20781600124949776</v>
      </c>
      <c r="D48" s="48">
        <v>1.3107986421355605E-2</v>
      </c>
      <c r="E48" s="48">
        <v>0.20718577419872816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8.7318294518830691E-3</v>
      </c>
      <c r="C49" s="47">
        <v>0.12331035511209064</v>
      </c>
      <c r="D49" s="48">
        <v>1.2346212120951357E-2</v>
      </c>
      <c r="E49" s="48">
        <v>0.12366723847663487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1.9679404940494303E-3</v>
      </c>
      <c r="C50" s="47">
        <v>4.3553089621147616E-2</v>
      </c>
      <c r="D50" s="48">
        <v>3.3729512712278942E-3</v>
      </c>
      <c r="E50" s="48">
        <v>4.3892822439611262E-2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1.8167991013547946E-3</v>
      </c>
      <c r="C51" s="47">
        <v>0.10286472298919759</v>
      </c>
      <c r="D51" s="48">
        <v>5.995836970084681E-3</v>
      </c>
      <c r="E51" s="48">
        <v>0.10894765528103791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4.3533634991142279E-4</v>
      </c>
      <c r="C52" s="47">
        <v>5.5312361474600018E-4</v>
      </c>
      <c r="D52" s="48">
        <v>1.4221657516235288E-4</v>
      </c>
      <c r="E52" s="48">
        <v>6.996522319706425E-4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8.2357228076995366E-3</v>
      </c>
      <c r="C53" s="47">
        <v>4.209713623331863E-3</v>
      </c>
      <c r="D53" s="48">
        <v>5.5641936458553304E-3</v>
      </c>
      <c r="E53" s="48">
        <v>2.136978364953546E-3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-1.4482510716837013E-3</v>
      </c>
      <c r="C54" s="47">
        <v>6.0636345395509775E-4</v>
      </c>
      <c r="D54" s="48">
        <v>-1.7914019131099164E-3</v>
      </c>
      <c r="E54" s="48">
        <v>1.1091925505148099E-3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-1.4249331883483247E-4</v>
      </c>
      <c r="C55" s="47">
        <v>3.7622237286306821E-3</v>
      </c>
      <c r="D55" s="48">
        <v>2.9642786432659268E-5</v>
      </c>
      <c r="E55" s="48">
        <v>5.1432613799889957E-3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2.6774904018427351E-3</v>
      </c>
      <c r="C56" s="47">
        <v>9.8449174608730664E-2</v>
      </c>
      <c r="D56" s="48">
        <v>3.4213052029181067E-3</v>
      </c>
      <c r="E56" s="48">
        <v>0.10180334948275604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3.3616027673809545E-5</v>
      </c>
      <c r="C57" s="47">
        <v>9.9767137067107987E-4</v>
      </c>
      <c r="D57" s="48">
        <v>8.8309002808652681E-5</v>
      </c>
      <c r="E57" s="48">
        <v>1.2619994121442334E-3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74" t="s">
        <v>44</v>
      </c>
      <c r="B59" s="46">
        <v>3.3011974606726614E-5</v>
      </c>
      <c r="C59" s="47">
        <v>7.2784443141314078E-3</v>
      </c>
      <c r="D59" s="48">
        <v>9.2638276438484831E-5</v>
      </c>
      <c r="E59" s="48">
        <v>7.5801885442716961E-3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19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27</v>
      </c>
      <c r="B61" s="49">
        <v>4.4600000000000001E-2</v>
      </c>
      <c r="C61" s="50">
        <v>0.99999999999999978</v>
      </c>
      <c r="D61" s="67">
        <v>4.48E-2</v>
      </c>
      <c r="E61" s="52">
        <v>0.99999999999999978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21</v>
      </c>
      <c r="B62" s="53">
        <v>885033.35400000005</v>
      </c>
      <c r="C62" s="54"/>
      <c r="D62" s="55">
        <v>883691.88800000004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22</v>
      </c>
      <c r="B64" s="56">
        <v>1.2977712400656927E-2</v>
      </c>
      <c r="C64" s="47">
        <v>0.64437543576667977</v>
      </c>
      <c r="D64" s="57">
        <v>-3.4210193552988155E-3</v>
      </c>
      <c r="E64" s="48">
        <v>0.62849347325886551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23</v>
      </c>
      <c r="B65" s="46">
        <v>3.1622287599343074E-2</v>
      </c>
      <c r="C65" s="47">
        <v>0.35562456423332028</v>
      </c>
      <c r="D65" s="57">
        <v>4.8221019355298815E-2</v>
      </c>
      <c r="E65" s="48">
        <v>0.37150652674113444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27</v>
      </c>
      <c r="B66" s="49">
        <v>4.4600000000000001E-2</v>
      </c>
      <c r="C66" s="50">
        <v>1</v>
      </c>
      <c r="D66" s="51">
        <v>4.48E-2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24</v>
      </c>
      <c r="B68" s="56">
        <v>4.036203169804109E-2</v>
      </c>
      <c r="C68" s="47">
        <v>0.76145364093752377</v>
      </c>
      <c r="D68" s="57">
        <v>4.0320835979319458E-2</v>
      </c>
      <c r="E68" s="48">
        <v>0.74998800071209326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25</v>
      </c>
      <c r="B69" s="56">
        <v>4.2379683019589109E-3</v>
      </c>
      <c r="C69" s="47">
        <v>0.23854635906247623</v>
      </c>
      <c r="D69" s="57">
        <v>4.4791640206805414E-3</v>
      </c>
      <c r="E69" s="48">
        <v>0.25001199928790668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27</v>
      </c>
      <c r="B70" s="49">
        <v>4.4600000000000001E-2</v>
      </c>
      <c r="C70" s="50">
        <v>1</v>
      </c>
      <c r="D70" s="51">
        <v>4.48E-2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1895C-8F98-4461-8580-5A7C6118B197}">
  <sheetPr codeName="גיליון26">
    <tabColor rgb="FF92D050"/>
  </sheetPr>
  <dimension ref="B1:AE73"/>
  <sheetViews>
    <sheetView showGridLines="0" rightToLeft="1" zoomScale="90" zoomScaleNormal="90" workbookViewId="0">
      <selection sqref="A1:XFD1048576"/>
    </sheetView>
  </sheetViews>
  <sheetFormatPr defaultColWidth="9.125" defaultRowHeight="15" x14ac:dyDescent="0.25"/>
  <cols>
    <col min="1" max="1" width="2.875" style="82" customWidth="1"/>
    <col min="2" max="2" width="29.125" style="82" customWidth="1"/>
    <col min="3" max="3" width="20" style="82" customWidth="1"/>
    <col min="4" max="26" width="11.625" style="82" customWidth="1"/>
    <col min="27" max="16384" width="9.125" style="82"/>
  </cols>
  <sheetData>
    <row r="1" spans="2:31" ht="18.75" x14ac:dyDescent="0.3">
      <c r="B1" s="68" t="s">
        <v>35</v>
      </c>
    </row>
    <row r="2" spans="2:31" ht="18.75" x14ac:dyDescent="0.3">
      <c r="B2" s="69" t="s">
        <v>36</v>
      </c>
      <c r="C2" s="71">
        <f ca="1">[1]הנחיות!B21</f>
        <v>1348</v>
      </c>
      <c r="D2" s="83"/>
      <c r="E2" s="83"/>
    </row>
    <row r="3" spans="2:31" ht="18.75" x14ac:dyDescent="0.3">
      <c r="B3" s="84" t="s">
        <v>37</v>
      </c>
      <c r="C3" s="72" t="str">
        <f ca="1">[1]הנחיות!B23</f>
        <v>כלל השתלמות אג"ח צמוד מדד</v>
      </c>
      <c r="D3" s="72"/>
    </row>
    <row r="4" spans="2:31" ht="18.75" x14ac:dyDescent="0.3">
      <c r="B4" s="69" t="s">
        <v>38</v>
      </c>
      <c r="C4" s="72" t="str">
        <f ca="1">[1]הנחיות!B24</f>
        <v>כלל פנסיה וגמל בע"מ</v>
      </c>
      <c r="D4" s="72"/>
    </row>
    <row r="5" spans="2:31" ht="18.75" x14ac:dyDescent="0.3">
      <c r="B5" s="84" t="s">
        <v>39</v>
      </c>
      <c r="C5" s="71">
        <f ca="1">[1]הנחיות!B19</f>
        <v>2024</v>
      </c>
      <c r="D5" s="84" t="s">
        <v>40</v>
      </c>
      <c r="E5" s="71" t="str">
        <f ca="1">[1]הנחיות!B22</f>
        <v>30.06.24</v>
      </c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>
        <f ca="1">W5+1</f>
        <v>1</v>
      </c>
      <c r="Z5" s="85"/>
    </row>
    <row r="6" spans="2:31" s="86" customFormat="1" ht="47.45" customHeight="1" x14ac:dyDescent="0.2">
      <c r="B6" s="87" t="s">
        <v>61</v>
      </c>
      <c r="C6" s="88" t="s">
        <v>62</v>
      </c>
      <c r="D6" s="89" t="s">
        <v>63</v>
      </c>
      <c r="E6" s="90" t="s">
        <v>64</v>
      </c>
      <c r="F6" s="91" t="s">
        <v>65</v>
      </c>
      <c r="G6" s="88" t="s">
        <v>66</v>
      </c>
      <c r="H6" s="89" t="s">
        <v>67</v>
      </c>
      <c r="I6" s="90" t="s">
        <v>68</v>
      </c>
      <c r="J6" s="91" t="s">
        <v>69</v>
      </c>
      <c r="K6" s="88" t="s">
        <v>70</v>
      </c>
      <c r="L6" s="89" t="s">
        <v>71</v>
      </c>
      <c r="M6" s="90" t="s">
        <v>72</v>
      </c>
      <c r="N6" s="91" t="s">
        <v>73</v>
      </c>
      <c r="O6" s="88" t="s">
        <v>74</v>
      </c>
      <c r="P6" s="89" t="s">
        <v>75</v>
      </c>
      <c r="Q6" s="90" t="s">
        <v>76</v>
      </c>
      <c r="R6" s="91" t="s">
        <v>77</v>
      </c>
      <c r="S6" s="88" t="s">
        <v>78</v>
      </c>
      <c r="T6" s="89" t="s">
        <v>79</v>
      </c>
      <c r="U6" s="90" t="s">
        <v>80</v>
      </c>
      <c r="V6" s="91" t="s">
        <v>81</v>
      </c>
      <c r="W6" s="88" t="s">
        <v>82</v>
      </c>
      <c r="X6" s="89" t="s">
        <v>83</v>
      </c>
      <c r="Y6" s="90" t="s">
        <v>84</v>
      </c>
      <c r="Z6" s="91" t="s">
        <v>85</v>
      </c>
      <c r="AE6" s="92"/>
    </row>
    <row r="7" spans="2:31" x14ac:dyDescent="0.25">
      <c r="B7" s="93" t="s">
        <v>3</v>
      </c>
      <c r="C7" s="94">
        <v>3.7437023504005009E-4</v>
      </c>
      <c r="D7" s="95">
        <v>7.1717583805845794E-2</v>
      </c>
      <c r="E7" s="96">
        <v>7.6378396132657268E-5</v>
      </c>
      <c r="F7" s="97">
        <v>7.9304069684315415E-2</v>
      </c>
      <c r="G7" s="94">
        <v>4.165575114373158E-4</v>
      </c>
      <c r="H7" s="95">
        <v>6.5708139523852349E-2</v>
      </c>
      <c r="I7" s="96">
        <v>3.0019232562821766E-4</v>
      </c>
      <c r="J7" s="97">
        <v>7.9013188663154002E-2</v>
      </c>
      <c r="K7" s="94">
        <v>1.1703443546134604E-4</v>
      </c>
      <c r="L7" s="95">
        <v>3.1718633688952703E-2</v>
      </c>
      <c r="M7" s="96">
        <v>4.3922315315812928E-4</v>
      </c>
      <c r="N7" s="97">
        <v>4.0781039402143643E-2</v>
      </c>
      <c r="O7" s="94">
        <v>0</v>
      </c>
      <c r="P7" s="95">
        <v>0</v>
      </c>
      <c r="Q7" s="96">
        <v>0</v>
      </c>
      <c r="R7" s="97">
        <v>0</v>
      </c>
      <c r="S7" s="94">
        <v>0</v>
      </c>
      <c r="T7" s="95">
        <v>0</v>
      </c>
      <c r="U7" s="96">
        <v>0</v>
      </c>
      <c r="V7" s="97">
        <v>0</v>
      </c>
      <c r="W7" s="94">
        <v>0</v>
      </c>
      <c r="X7" s="95">
        <v>0</v>
      </c>
      <c r="Y7" s="96">
        <v>0</v>
      </c>
      <c r="Z7" s="97">
        <v>0</v>
      </c>
      <c r="AE7" s="98"/>
    </row>
    <row r="8" spans="2:31" ht="30" x14ac:dyDescent="0.25">
      <c r="B8" s="73" t="s">
        <v>43</v>
      </c>
      <c r="C8" s="94">
        <v>-6.0232634569151343E-4</v>
      </c>
      <c r="D8" s="95">
        <v>0.39437464933341743</v>
      </c>
      <c r="E8" s="96">
        <v>5.9417988491600811E-4</v>
      </c>
      <c r="F8" s="97">
        <v>0.4137085573718734</v>
      </c>
      <c r="G8" s="94">
        <v>-9.9679476036059766E-5</v>
      </c>
      <c r="H8" s="95">
        <v>0.42190002677664251</v>
      </c>
      <c r="I8" s="96">
        <v>-5.3344814359330452E-4</v>
      </c>
      <c r="J8" s="97">
        <v>0.43710627865607737</v>
      </c>
      <c r="K8" s="94">
        <v>9.5680476725824967E-4</v>
      </c>
      <c r="L8" s="95">
        <v>0.4732223603658916</v>
      </c>
      <c r="M8" s="96">
        <v>-3.5163169219252534E-4</v>
      </c>
      <c r="N8" s="97">
        <v>0.27934015084101632</v>
      </c>
      <c r="O8" s="94">
        <v>0</v>
      </c>
      <c r="P8" s="95">
        <v>0</v>
      </c>
      <c r="Q8" s="96">
        <v>0</v>
      </c>
      <c r="R8" s="97">
        <v>0</v>
      </c>
      <c r="S8" s="94">
        <v>0</v>
      </c>
      <c r="T8" s="95">
        <v>0</v>
      </c>
      <c r="U8" s="96">
        <v>0</v>
      </c>
      <c r="V8" s="97">
        <v>0</v>
      </c>
      <c r="W8" s="94">
        <v>0</v>
      </c>
      <c r="X8" s="95">
        <v>0</v>
      </c>
      <c r="Y8" s="96">
        <v>0</v>
      </c>
      <c r="Z8" s="97">
        <v>0</v>
      </c>
      <c r="AE8" s="98"/>
    </row>
    <row r="9" spans="2:31" x14ac:dyDescent="0.25">
      <c r="B9" s="99" t="s">
        <v>4</v>
      </c>
      <c r="C9" s="94">
        <v>0</v>
      </c>
      <c r="D9" s="95">
        <v>0</v>
      </c>
      <c r="E9" s="96">
        <v>0</v>
      </c>
      <c r="F9" s="97">
        <v>0</v>
      </c>
      <c r="G9" s="94">
        <v>0</v>
      </c>
      <c r="H9" s="95">
        <v>0</v>
      </c>
      <c r="I9" s="96">
        <v>0</v>
      </c>
      <c r="J9" s="97">
        <v>0</v>
      </c>
      <c r="K9" s="94">
        <v>0</v>
      </c>
      <c r="L9" s="95">
        <v>0</v>
      </c>
      <c r="M9" s="96">
        <v>0</v>
      </c>
      <c r="N9" s="97">
        <v>0</v>
      </c>
      <c r="O9" s="94">
        <v>0</v>
      </c>
      <c r="P9" s="95">
        <v>0</v>
      </c>
      <c r="Q9" s="96">
        <v>0</v>
      </c>
      <c r="R9" s="97">
        <v>0</v>
      </c>
      <c r="S9" s="94">
        <v>0</v>
      </c>
      <c r="T9" s="95">
        <v>0</v>
      </c>
      <c r="U9" s="96">
        <v>0</v>
      </c>
      <c r="V9" s="97">
        <v>0</v>
      </c>
      <c r="W9" s="94">
        <v>0</v>
      </c>
      <c r="X9" s="95">
        <v>0</v>
      </c>
      <c r="Y9" s="96">
        <v>0</v>
      </c>
      <c r="Z9" s="97">
        <v>0</v>
      </c>
      <c r="AE9" s="98"/>
    </row>
    <row r="10" spans="2:31" x14ac:dyDescent="0.25">
      <c r="B10" s="99" t="s">
        <v>5</v>
      </c>
      <c r="C10" s="94">
        <v>0</v>
      </c>
      <c r="D10" s="95">
        <v>0</v>
      </c>
      <c r="E10" s="96">
        <v>0</v>
      </c>
      <c r="F10" s="97">
        <v>0</v>
      </c>
      <c r="G10" s="94">
        <v>0</v>
      </c>
      <c r="H10" s="95">
        <v>0</v>
      </c>
      <c r="I10" s="96">
        <v>0</v>
      </c>
      <c r="J10" s="97">
        <v>0</v>
      </c>
      <c r="K10" s="94">
        <v>0</v>
      </c>
      <c r="L10" s="95">
        <v>0</v>
      </c>
      <c r="M10" s="96">
        <v>0</v>
      </c>
      <c r="N10" s="97">
        <v>0</v>
      </c>
      <c r="O10" s="94">
        <v>0</v>
      </c>
      <c r="P10" s="95">
        <v>0</v>
      </c>
      <c r="Q10" s="96">
        <v>0</v>
      </c>
      <c r="R10" s="97">
        <v>0</v>
      </c>
      <c r="S10" s="94">
        <v>0</v>
      </c>
      <c r="T10" s="95">
        <v>0</v>
      </c>
      <c r="U10" s="96">
        <v>0</v>
      </c>
      <c r="V10" s="97">
        <v>0</v>
      </c>
      <c r="W10" s="94">
        <v>0</v>
      </c>
      <c r="X10" s="95">
        <v>0</v>
      </c>
      <c r="Y10" s="96">
        <v>0</v>
      </c>
      <c r="Z10" s="97">
        <v>0</v>
      </c>
      <c r="AE10" s="98"/>
    </row>
    <row r="11" spans="2:31" x14ac:dyDescent="0.25">
      <c r="B11" s="99" t="s">
        <v>86</v>
      </c>
      <c r="C11" s="94">
        <v>7.9572616257288589E-4</v>
      </c>
      <c r="D11" s="95">
        <v>0.33354664143973212</v>
      </c>
      <c r="E11" s="96">
        <v>1.3270309988205719E-3</v>
      </c>
      <c r="F11" s="97">
        <v>0.31896852071055776</v>
      </c>
      <c r="G11" s="94">
        <v>4.0529753612314895E-3</v>
      </c>
      <c r="H11" s="95">
        <v>0.3244578830680494</v>
      </c>
      <c r="I11" s="96">
        <v>-1.9065476467886952E-4</v>
      </c>
      <c r="J11" s="97">
        <v>0.30556372334162857</v>
      </c>
      <c r="K11" s="94">
        <v>6.3894846272830258E-4</v>
      </c>
      <c r="L11" s="95">
        <v>0.31287972931613395</v>
      </c>
      <c r="M11" s="96">
        <v>-5.1645446012147343E-4</v>
      </c>
      <c r="N11" s="97">
        <v>0.31946250533643256</v>
      </c>
      <c r="O11" s="94">
        <v>0</v>
      </c>
      <c r="P11" s="95">
        <v>0</v>
      </c>
      <c r="Q11" s="96">
        <v>0</v>
      </c>
      <c r="R11" s="97">
        <v>0</v>
      </c>
      <c r="S11" s="94">
        <v>0</v>
      </c>
      <c r="T11" s="95">
        <v>0</v>
      </c>
      <c r="U11" s="96">
        <v>0</v>
      </c>
      <c r="V11" s="97">
        <v>0</v>
      </c>
      <c r="W11" s="94">
        <v>0</v>
      </c>
      <c r="X11" s="95">
        <v>0</v>
      </c>
      <c r="Y11" s="96">
        <v>0</v>
      </c>
      <c r="Z11" s="97">
        <v>0</v>
      </c>
      <c r="AE11" s="98"/>
    </row>
    <row r="12" spans="2:31" x14ac:dyDescent="0.25">
      <c r="B12" s="99" t="s">
        <v>87</v>
      </c>
      <c r="C12" s="94">
        <v>-1.8833947556176243E-4</v>
      </c>
      <c r="D12" s="95">
        <v>3.447507566760645E-2</v>
      </c>
      <c r="E12" s="96">
        <v>2.7392637621960367E-4</v>
      </c>
      <c r="F12" s="97">
        <v>3.2466260838019033E-2</v>
      </c>
      <c r="G12" s="94">
        <v>2.7403047935650759E-4</v>
      </c>
      <c r="H12" s="95">
        <v>3.3212949536403469E-2</v>
      </c>
      <c r="I12" s="96">
        <v>-2.4764325074612821E-4</v>
      </c>
      <c r="J12" s="97">
        <v>3.3057162505751352E-2</v>
      </c>
      <c r="K12" s="94">
        <v>-9.1589383518055496E-5</v>
      </c>
      <c r="L12" s="95">
        <v>3.2744331049601512E-2</v>
      </c>
      <c r="M12" s="96">
        <v>-1.6324020531580796E-4</v>
      </c>
      <c r="N12" s="97">
        <v>3.3251203309191388E-2</v>
      </c>
      <c r="O12" s="94">
        <v>0</v>
      </c>
      <c r="P12" s="95">
        <v>0</v>
      </c>
      <c r="Q12" s="96">
        <v>0</v>
      </c>
      <c r="R12" s="97">
        <v>0</v>
      </c>
      <c r="S12" s="94">
        <v>0</v>
      </c>
      <c r="T12" s="95">
        <v>0</v>
      </c>
      <c r="U12" s="96">
        <v>0</v>
      </c>
      <c r="V12" s="97">
        <v>0</v>
      </c>
      <c r="W12" s="94">
        <v>0</v>
      </c>
      <c r="X12" s="95">
        <v>0</v>
      </c>
      <c r="Y12" s="96">
        <v>0</v>
      </c>
      <c r="Z12" s="97">
        <v>0</v>
      </c>
      <c r="AE12" s="98"/>
    </row>
    <row r="13" spans="2:31" x14ac:dyDescent="0.25">
      <c r="B13" s="99" t="s">
        <v>8</v>
      </c>
      <c r="C13" s="94">
        <v>-6.7833946757598785E-7</v>
      </c>
      <c r="D13" s="95">
        <v>3.1821875115447482E-4</v>
      </c>
      <c r="E13" s="96">
        <v>6.8602447246179468E-5</v>
      </c>
      <c r="F13" s="97">
        <v>3.0449183087421583E-4</v>
      </c>
      <c r="G13" s="94">
        <v>4.0926162133444753E-5</v>
      </c>
      <c r="H13" s="95">
        <v>3.7874462836531457E-4</v>
      </c>
      <c r="I13" s="96">
        <v>-2.3636091978359976E-5</v>
      </c>
      <c r="J13" s="97">
        <v>4.1909248696073007E-4</v>
      </c>
      <c r="K13" s="94">
        <v>-4.1649211840855174E-5</v>
      </c>
      <c r="L13" s="95">
        <v>3.9778015678035463E-4</v>
      </c>
      <c r="M13" s="96">
        <v>7.5326304512000164E-7</v>
      </c>
      <c r="N13" s="97">
        <v>8.7063706452102999E-2</v>
      </c>
      <c r="O13" s="94">
        <v>0</v>
      </c>
      <c r="P13" s="95">
        <v>0</v>
      </c>
      <c r="Q13" s="96">
        <v>0</v>
      </c>
      <c r="R13" s="97">
        <v>0</v>
      </c>
      <c r="S13" s="94">
        <v>0</v>
      </c>
      <c r="T13" s="95">
        <v>0</v>
      </c>
      <c r="U13" s="96">
        <v>0</v>
      </c>
      <c r="V13" s="97">
        <v>0</v>
      </c>
      <c r="W13" s="94">
        <v>0</v>
      </c>
      <c r="X13" s="95">
        <v>0</v>
      </c>
      <c r="Y13" s="96">
        <v>0</v>
      </c>
      <c r="Z13" s="97">
        <v>0</v>
      </c>
      <c r="AE13" s="98"/>
    </row>
    <row r="14" spans="2:31" x14ac:dyDescent="0.25">
      <c r="B14" s="99" t="s">
        <v>9</v>
      </c>
      <c r="C14" s="94">
        <v>1.1307608355901505E-4</v>
      </c>
      <c r="D14" s="95">
        <v>1.5717468508543123E-2</v>
      </c>
      <c r="E14" s="96">
        <v>-2.1932026059294862E-5</v>
      </c>
      <c r="F14" s="97">
        <v>1.1364853740518E-2</v>
      </c>
      <c r="G14" s="94">
        <v>2.2199367916437605E-4</v>
      </c>
      <c r="H14" s="95">
        <v>9.9661943769769924E-3</v>
      </c>
      <c r="I14" s="96">
        <v>3.6920948117824376E-5</v>
      </c>
      <c r="J14" s="97">
        <v>8.0926714682470566E-3</v>
      </c>
      <c r="K14" s="94">
        <v>1.0619376915217851E-5</v>
      </c>
      <c r="L14" s="95">
        <v>7.4976469348386711E-3</v>
      </c>
      <c r="M14" s="96">
        <v>2.2855506721069876E-5</v>
      </c>
      <c r="N14" s="97">
        <v>8.1052616276374251E-2</v>
      </c>
      <c r="O14" s="94">
        <v>0</v>
      </c>
      <c r="P14" s="95">
        <v>0</v>
      </c>
      <c r="Q14" s="96">
        <v>0</v>
      </c>
      <c r="R14" s="97">
        <v>0</v>
      </c>
      <c r="S14" s="94">
        <v>0</v>
      </c>
      <c r="T14" s="95">
        <v>0</v>
      </c>
      <c r="U14" s="96">
        <v>0</v>
      </c>
      <c r="V14" s="97">
        <v>0</v>
      </c>
      <c r="W14" s="94">
        <v>0</v>
      </c>
      <c r="X14" s="95">
        <v>0</v>
      </c>
      <c r="Y14" s="96">
        <v>0</v>
      </c>
      <c r="Z14" s="97">
        <v>0</v>
      </c>
      <c r="AE14" s="98"/>
    </row>
    <row r="15" spans="2:31" x14ac:dyDescent="0.25">
      <c r="B15" s="99" t="s">
        <v>10</v>
      </c>
      <c r="C15" s="94">
        <v>1.9028379003508596E-4</v>
      </c>
      <c r="D15" s="95">
        <v>3.9050650278492471E-2</v>
      </c>
      <c r="E15" s="96">
        <v>-3.7320656283945826E-4</v>
      </c>
      <c r="F15" s="97">
        <v>3.8373459899090231E-2</v>
      </c>
      <c r="G15" s="94">
        <v>1.2968493060993495E-3</v>
      </c>
      <c r="H15" s="95">
        <v>3.6974653370547311E-2</v>
      </c>
      <c r="I15" s="96">
        <v>3.9636680452610794E-4</v>
      </c>
      <c r="J15" s="97">
        <v>2.9570986588846326E-2</v>
      </c>
      <c r="K15" s="94">
        <v>7.5084537294858305E-5</v>
      </c>
      <c r="L15" s="95">
        <v>3.2783324632388984E-2</v>
      </c>
      <c r="M15" s="96">
        <v>4.9444610525958247E-4</v>
      </c>
      <c r="N15" s="97">
        <v>4.3668069167062083E-2</v>
      </c>
      <c r="O15" s="94">
        <v>0</v>
      </c>
      <c r="P15" s="95">
        <v>0</v>
      </c>
      <c r="Q15" s="96">
        <v>0</v>
      </c>
      <c r="R15" s="97">
        <v>0</v>
      </c>
      <c r="S15" s="94">
        <v>0</v>
      </c>
      <c r="T15" s="95">
        <v>0</v>
      </c>
      <c r="U15" s="96">
        <v>0</v>
      </c>
      <c r="V15" s="97">
        <v>0</v>
      </c>
      <c r="W15" s="94">
        <v>0</v>
      </c>
      <c r="X15" s="95">
        <v>0</v>
      </c>
      <c r="Y15" s="96">
        <v>0</v>
      </c>
      <c r="Z15" s="97">
        <v>0</v>
      </c>
      <c r="AE15" s="98"/>
    </row>
    <row r="16" spans="2:31" x14ac:dyDescent="0.25">
      <c r="B16" s="99" t="s">
        <v>11</v>
      </c>
      <c r="C16" s="94">
        <v>1.1179254186724525E-4</v>
      </c>
      <c r="D16" s="95">
        <v>3.2784716895449852E-2</v>
      </c>
      <c r="E16" s="96">
        <v>-2.8485705607959281E-4</v>
      </c>
      <c r="F16" s="97">
        <v>3.2756588793490013E-2</v>
      </c>
      <c r="G16" s="94">
        <v>9.8454786387741264E-4</v>
      </c>
      <c r="H16" s="95">
        <v>3.3518054961365583E-2</v>
      </c>
      <c r="I16" s="96">
        <v>4.6745646964304775E-4</v>
      </c>
      <c r="J16" s="97">
        <v>3.4946423121776309E-2</v>
      </c>
      <c r="K16" s="94">
        <v>4.3563933573301288E-4</v>
      </c>
      <c r="L16" s="95">
        <v>3.6365585794083465E-2</v>
      </c>
      <c r="M16" s="96">
        <v>4.1802231316894525E-4</v>
      </c>
      <c r="N16" s="97">
        <v>3.8583674956870019E-2</v>
      </c>
      <c r="O16" s="94">
        <v>0</v>
      </c>
      <c r="P16" s="95">
        <v>0</v>
      </c>
      <c r="Q16" s="96">
        <v>0</v>
      </c>
      <c r="R16" s="97">
        <v>0</v>
      </c>
      <c r="S16" s="94">
        <v>0</v>
      </c>
      <c r="T16" s="95">
        <v>0</v>
      </c>
      <c r="U16" s="96">
        <v>0</v>
      </c>
      <c r="V16" s="97">
        <v>0</v>
      </c>
      <c r="W16" s="94">
        <v>0</v>
      </c>
      <c r="X16" s="95">
        <v>0</v>
      </c>
      <c r="Y16" s="96">
        <v>0</v>
      </c>
      <c r="Z16" s="97">
        <v>0</v>
      </c>
      <c r="AE16" s="98"/>
    </row>
    <row r="17" spans="2:31" x14ac:dyDescent="0.25">
      <c r="B17" s="99" t="s">
        <v>12</v>
      </c>
      <c r="C17" s="94">
        <v>2.6018090192988049E-6</v>
      </c>
      <c r="D17" s="95">
        <v>4.2857310174024702E-5</v>
      </c>
      <c r="E17" s="96">
        <v>2.287018765082459E-5</v>
      </c>
      <c r="F17" s="97">
        <v>4.3743643039053684E-5</v>
      </c>
      <c r="G17" s="94">
        <v>1.0168828205141715E-5</v>
      </c>
      <c r="H17" s="95">
        <v>6.8380644371694924E-5</v>
      </c>
      <c r="I17" s="96">
        <v>-9.0767875299927032E-6</v>
      </c>
      <c r="J17" s="97">
        <v>7.7848325802483195E-5</v>
      </c>
      <c r="K17" s="94">
        <v>-2.305183018895915E-5</v>
      </c>
      <c r="L17" s="95">
        <v>6.7268764499218766E-5</v>
      </c>
      <c r="M17" s="96">
        <v>-9.004482168775366E-6</v>
      </c>
      <c r="N17" s="97">
        <v>2.3108306411595981E-4</v>
      </c>
      <c r="O17" s="94">
        <v>0</v>
      </c>
      <c r="P17" s="95">
        <v>0</v>
      </c>
      <c r="Q17" s="96">
        <v>0</v>
      </c>
      <c r="R17" s="97">
        <v>0</v>
      </c>
      <c r="S17" s="94">
        <v>0</v>
      </c>
      <c r="T17" s="95">
        <v>0</v>
      </c>
      <c r="U17" s="96">
        <v>0</v>
      </c>
      <c r="V17" s="97">
        <v>0</v>
      </c>
      <c r="W17" s="94">
        <v>0</v>
      </c>
      <c r="X17" s="95">
        <v>0</v>
      </c>
      <c r="Y17" s="96">
        <v>0</v>
      </c>
      <c r="Z17" s="97">
        <v>0</v>
      </c>
      <c r="AE17" s="98"/>
    </row>
    <row r="18" spans="2:31" x14ac:dyDescent="0.25">
      <c r="B18" s="99" t="s">
        <v>13</v>
      </c>
      <c r="C18" s="94">
        <v>-2.4971627209043141E-5</v>
      </c>
      <c r="D18" s="95">
        <v>1.2328534715121985E-3</v>
      </c>
      <c r="E18" s="96">
        <v>5.5663171530561273E-4</v>
      </c>
      <c r="F18" s="97">
        <v>1.2416969491103043E-3</v>
      </c>
      <c r="G18" s="94">
        <v>-1.4203294530391142E-3</v>
      </c>
      <c r="H18" s="95">
        <v>1.7381182279646256E-3</v>
      </c>
      <c r="I18" s="96">
        <v>-1.1280753313007781E-3</v>
      </c>
      <c r="J18" s="97">
        <v>1.4836884958050432E-4</v>
      </c>
      <c r="K18" s="94">
        <v>3.4216348321340504E-4</v>
      </c>
      <c r="L18" s="95">
        <v>-1.0059706293775916E-3</v>
      </c>
      <c r="M18" s="96">
        <v>-1.2426461960740698E-3</v>
      </c>
      <c r="N18" s="97">
        <v>-7.2155165523548465E-4</v>
      </c>
      <c r="O18" s="94">
        <v>0</v>
      </c>
      <c r="P18" s="95">
        <v>0</v>
      </c>
      <c r="Q18" s="96">
        <v>0</v>
      </c>
      <c r="R18" s="97">
        <v>0</v>
      </c>
      <c r="S18" s="94">
        <v>0</v>
      </c>
      <c r="T18" s="95">
        <v>0</v>
      </c>
      <c r="U18" s="96">
        <v>0</v>
      </c>
      <c r="V18" s="97">
        <v>0</v>
      </c>
      <c r="W18" s="94">
        <v>0</v>
      </c>
      <c r="X18" s="95">
        <v>0</v>
      </c>
      <c r="Y18" s="96">
        <v>0</v>
      </c>
      <c r="Z18" s="97">
        <v>0</v>
      </c>
      <c r="AE18" s="98"/>
    </row>
    <row r="19" spans="2:31" x14ac:dyDescent="0.25">
      <c r="B19" s="99" t="s">
        <v>14</v>
      </c>
      <c r="C19" s="94">
        <v>0</v>
      </c>
      <c r="D19" s="95">
        <v>0</v>
      </c>
      <c r="E19" s="96">
        <v>-1.1139154313988463E-5</v>
      </c>
      <c r="F19" s="97">
        <v>9.2239232094321754E-6</v>
      </c>
      <c r="G19" s="94">
        <v>3.3908125260290788E-6</v>
      </c>
      <c r="H19" s="95">
        <v>5.5472369854826146E-6</v>
      </c>
      <c r="I19" s="96">
        <v>-7.5704128650210946E-5</v>
      </c>
      <c r="J19" s="97">
        <v>3.1479203979862652E-5</v>
      </c>
      <c r="K19" s="94">
        <v>0</v>
      </c>
      <c r="L19" s="95">
        <v>0</v>
      </c>
      <c r="M19" s="96">
        <v>1.5071307360952919E-5</v>
      </c>
      <c r="N19" s="97">
        <v>6.8686280526629136E-4</v>
      </c>
      <c r="O19" s="94">
        <v>0</v>
      </c>
      <c r="P19" s="95">
        <v>0</v>
      </c>
      <c r="Q19" s="96">
        <v>0</v>
      </c>
      <c r="R19" s="97">
        <v>0</v>
      </c>
      <c r="S19" s="94">
        <v>0</v>
      </c>
      <c r="T19" s="95">
        <v>0</v>
      </c>
      <c r="U19" s="96">
        <v>0</v>
      </c>
      <c r="V19" s="97">
        <v>0</v>
      </c>
      <c r="W19" s="94">
        <v>0</v>
      </c>
      <c r="X19" s="95">
        <v>0</v>
      </c>
      <c r="Y19" s="96">
        <v>0</v>
      </c>
      <c r="Z19" s="97">
        <v>0</v>
      </c>
    </row>
    <row r="20" spans="2:31" x14ac:dyDescent="0.25">
      <c r="B20" s="99" t="s">
        <v>15</v>
      </c>
      <c r="C20" s="94">
        <v>1.5819390290291463E-6</v>
      </c>
      <c r="D20" s="95">
        <v>2.4846154468192527E-4</v>
      </c>
      <c r="E20" s="96">
        <v>1.3915153219910873E-6</v>
      </c>
      <c r="F20" s="97">
        <v>2.2350907628623394E-4</v>
      </c>
      <c r="G20" s="94">
        <v>1.4256440165083773E-6</v>
      </c>
      <c r="H20" s="95">
        <v>2.1428057137972694E-4</v>
      </c>
      <c r="I20" s="96">
        <v>7.5954649401801883E-6</v>
      </c>
      <c r="J20" s="97">
        <v>5.7557582082165765E-4</v>
      </c>
      <c r="K20" s="94">
        <v>8.3800074466326179E-6</v>
      </c>
      <c r="L20" s="95">
        <v>1.0069591848084856E-3</v>
      </c>
      <c r="M20" s="96">
        <v>3.3851593321185825E-7</v>
      </c>
      <c r="N20" s="97">
        <v>4.3550022570540562E-3</v>
      </c>
      <c r="O20" s="94">
        <v>0</v>
      </c>
      <c r="P20" s="95">
        <v>0</v>
      </c>
      <c r="Q20" s="96">
        <v>0</v>
      </c>
      <c r="R20" s="97">
        <v>0</v>
      </c>
      <c r="S20" s="94">
        <v>0</v>
      </c>
      <c r="T20" s="95">
        <v>0</v>
      </c>
      <c r="U20" s="96">
        <v>0</v>
      </c>
      <c r="V20" s="97">
        <v>0</v>
      </c>
      <c r="W20" s="94">
        <v>0</v>
      </c>
      <c r="X20" s="95">
        <v>0</v>
      </c>
      <c r="Y20" s="96">
        <v>0</v>
      </c>
      <c r="Z20" s="97">
        <v>0</v>
      </c>
    </row>
    <row r="21" spans="2:31" x14ac:dyDescent="0.25">
      <c r="B21" s="99" t="s">
        <v>16</v>
      </c>
      <c r="C21" s="94">
        <v>9.0688322680728491E-4</v>
      </c>
      <c r="D21" s="95">
        <v>7.6490822993390425E-2</v>
      </c>
      <c r="E21" s="96">
        <v>6.901232776788857E-4</v>
      </c>
      <c r="F21" s="97">
        <v>7.1235023539616957E-2</v>
      </c>
      <c r="G21" s="94">
        <v>9.4714328102759812E-4</v>
      </c>
      <c r="H21" s="95">
        <v>7.1857027077095084E-2</v>
      </c>
      <c r="I21" s="96">
        <v>3.2970648562226601E-4</v>
      </c>
      <c r="J21" s="97">
        <v>7.1397200967373703E-2</v>
      </c>
      <c r="K21" s="94">
        <v>3.6161601949684461E-4</v>
      </c>
      <c r="L21" s="95">
        <v>7.2322350741398547E-2</v>
      </c>
      <c r="M21" s="96">
        <v>-2.3712077446925542E-4</v>
      </c>
      <c r="N21" s="97">
        <v>7.1278766300724467E-2</v>
      </c>
      <c r="O21" s="94">
        <v>0</v>
      </c>
      <c r="P21" s="95">
        <v>0</v>
      </c>
      <c r="Q21" s="96">
        <v>0</v>
      </c>
      <c r="R21" s="97">
        <v>0</v>
      </c>
      <c r="S21" s="94">
        <v>0</v>
      </c>
      <c r="T21" s="95">
        <v>0</v>
      </c>
      <c r="U21" s="96">
        <v>0</v>
      </c>
      <c r="V21" s="97">
        <v>0</v>
      </c>
      <c r="W21" s="94">
        <v>0</v>
      </c>
      <c r="X21" s="95">
        <v>0</v>
      </c>
      <c r="Y21" s="96">
        <v>0</v>
      </c>
      <c r="Z21" s="97">
        <v>0</v>
      </c>
    </row>
    <row r="22" spans="2:31" x14ac:dyDescent="0.25">
      <c r="B22" s="99" t="s">
        <v>88</v>
      </c>
      <c r="C22" s="94">
        <v>0</v>
      </c>
      <c r="D22" s="95">
        <v>0</v>
      </c>
      <c r="E22" s="96">
        <v>0</v>
      </c>
      <c r="F22" s="97">
        <v>0</v>
      </c>
      <c r="G22" s="94">
        <v>0</v>
      </c>
      <c r="H22" s="95">
        <v>0</v>
      </c>
      <c r="I22" s="96">
        <v>0</v>
      </c>
      <c r="J22" s="97">
        <v>0</v>
      </c>
      <c r="K22" s="94">
        <v>0</v>
      </c>
      <c r="L22" s="95">
        <v>0</v>
      </c>
      <c r="M22" s="96">
        <v>-6.1235430510431751E-7</v>
      </c>
      <c r="N22" s="97">
        <v>9.6687148688228558E-4</v>
      </c>
      <c r="O22" s="94">
        <v>0</v>
      </c>
      <c r="P22" s="95">
        <v>0</v>
      </c>
      <c r="Q22" s="96">
        <v>0</v>
      </c>
      <c r="R22" s="97">
        <v>0</v>
      </c>
      <c r="S22" s="94">
        <v>0</v>
      </c>
      <c r="T22" s="95">
        <v>0</v>
      </c>
      <c r="U22" s="96">
        <v>0</v>
      </c>
      <c r="V22" s="97">
        <v>0</v>
      </c>
      <c r="W22" s="94">
        <v>0</v>
      </c>
      <c r="X22" s="95">
        <v>0</v>
      </c>
      <c r="Y22" s="96">
        <v>0</v>
      </c>
      <c r="Z22" s="97">
        <v>0</v>
      </c>
    </row>
    <row r="23" spans="2:31" x14ac:dyDescent="0.25">
      <c r="B23" s="99" t="s">
        <v>18</v>
      </c>
      <c r="C23" s="94">
        <v>0</v>
      </c>
      <c r="D23" s="95">
        <v>0</v>
      </c>
      <c r="E23" s="96">
        <v>0</v>
      </c>
      <c r="F23" s="97">
        <v>0</v>
      </c>
      <c r="G23" s="94">
        <v>0</v>
      </c>
      <c r="H23" s="95">
        <v>0</v>
      </c>
      <c r="I23" s="96">
        <v>0</v>
      </c>
      <c r="J23" s="97">
        <v>0</v>
      </c>
      <c r="K23" s="94">
        <v>0</v>
      </c>
      <c r="L23" s="95">
        <v>0</v>
      </c>
      <c r="M23" s="96">
        <v>0</v>
      </c>
      <c r="N23" s="97">
        <v>0</v>
      </c>
      <c r="O23" s="94">
        <v>0</v>
      </c>
      <c r="P23" s="95">
        <v>0</v>
      </c>
      <c r="Q23" s="96">
        <v>0</v>
      </c>
      <c r="R23" s="97">
        <v>0</v>
      </c>
      <c r="S23" s="94">
        <v>0</v>
      </c>
      <c r="T23" s="95">
        <v>0</v>
      </c>
      <c r="U23" s="96">
        <v>0</v>
      </c>
      <c r="V23" s="97">
        <v>0</v>
      </c>
      <c r="W23" s="94">
        <v>0</v>
      </c>
      <c r="X23" s="95">
        <v>0</v>
      </c>
      <c r="Y23" s="96">
        <v>0</v>
      </c>
      <c r="Z23" s="97">
        <v>0</v>
      </c>
    </row>
    <row r="24" spans="2:31" x14ac:dyDescent="0.25">
      <c r="B24" s="74" t="s">
        <v>44</v>
      </c>
      <c r="C24" s="94">
        <v>0</v>
      </c>
      <c r="D24" s="95">
        <v>0</v>
      </c>
      <c r="E24" s="96">
        <v>0</v>
      </c>
      <c r="F24" s="97">
        <v>0</v>
      </c>
      <c r="G24" s="94">
        <v>0</v>
      </c>
      <c r="H24" s="95">
        <v>0</v>
      </c>
      <c r="I24" s="96">
        <v>0</v>
      </c>
      <c r="J24" s="97">
        <v>0</v>
      </c>
      <c r="K24" s="94">
        <v>0</v>
      </c>
      <c r="L24" s="95">
        <v>0</v>
      </c>
      <c r="M24" s="96">
        <v>0</v>
      </c>
      <c r="N24" s="97">
        <v>0</v>
      </c>
      <c r="O24" s="94">
        <v>0</v>
      </c>
      <c r="P24" s="95">
        <v>0</v>
      </c>
      <c r="Q24" s="96">
        <v>0</v>
      </c>
      <c r="R24" s="97">
        <v>0</v>
      </c>
      <c r="S24" s="94">
        <v>0</v>
      </c>
      <c r="T24" s="95">
        <v>0</v>
      </c>
      <c r="U24" s="96">
        <v>0</v>
      </c>
      <c r="V24" s="97">
        <v>0</v>
      </c>
      <c r="W24" s="94">
        <v>0</v>
      </c>
      <c r="X24" s="95">
        <v>0</v>
      </c>
      <c r="Y24" s="96">
        <v>0</v>
      </c>
      <c r="Z24" s="97">
        <v>0</v>
      </c>
    </row>
    <row r="25" spans="2:31" x14ac:dyDescent="0.25">
      <c r="B25" s="99" t="s">
        <v>19</v>
      </c>
      <c r="C25" s="94">
        <v>0</v>
      </c>
      <c r="D25" s="95">
        <v>0</v>
      </c>
      <c r="E25" s="96">
        <v>0</v>
      </c>
      <c r="F25" s="97">
        <v>0</v>
      </c>
      <c r="G25" s="94">
        <v>0</v>
      </c>
      <c r="H25" s="95">
        <v>0</v>
      </c>
      <c r="I25" s="96">
        <v>0</v>
      </c>
      <c r="J25" s="97">
        <v>0</v>
      </c>
      <c r="K25" s="94">
        <v>0</v>
      </c>
      <c r="L25" s="95">
        <v>0</v>
      </c>
      <c r="M25" s="96">
        <v>0</v>
      </c>
      <c r="N25" s="97">
        <v>0</v>
      </c>
      <c r="O25" s="94">
        <v>0</v>
      </c>
      <c r="P25" s="95">
        <v>0</v>
      </c>
      <c r="Q25" s="96">
        <v>0</v>
      </c>
      <c r="R25" s="97">
        <v>0</v>
      </c>
      <c r="S25" s="94">
        <v>0</v>
      </c>
      <c r="T25" s="95">
        <v>0</v>
      </c>
      <c r="U25" s="96">
        <v>0</v>
      </c>
      <c r="V25" s="97">
        <v>0</v>
      </c>
      <c r="W25" s="94">
        <v>0</v>
      </c>
      <c r="X25" s="95">
        <v>0</v>
      </c>
      <c r="Y25" s="96">
        <v>0</v>
      </c>
      <c r="Z25" s="97">
        <v>0</v>
      </c>
    </row>
    <row r="26" spans="2:31" x14ac:dyDescent="0.25">
      <c r="B26" s="100" t="s">
        <v>20</v>
      </c>
      <c r="C26" s="101">
        <v>1.6800000000000001E-3</v>
      </c>
      <c r="D26" s="102">
        <v>1.0000000000000002</v>
      </c>
      <c r="E26" s="103">
        <v>2.9199999999999999E-3</v>
      </c>
      <c r="F26" s="104">
        <v>1</v>
      </c>
      <c r="G26" s="101">
        <v>6.7299999999999999E-3</v>
      </c>
      <c r="H26" s="102">
        <v>0.99999999999999967</v>
      </c>
      <c r="I26" s="103">
        <v>-6.7000000000000002E-4</v>
      </c>
      <c r="J26" s="104">
        <v>0.99999999999999978</v>
      </c>
      <c r="K26" s="101">
        <v>2.7899999999999999E-3</v>
      </c>
      <c r="L26" s="102">
        <v>1</v>
      </c>
      <c r="M26" s="103">
        <v>-1.1299999999999999E-3</v>
      </c>
      <c r="N26" s="104">
        <v>1.0000000000000011</v>
      </c>
      <c r="O26" s="101">
        <v>0</v>
      </c>
      <c r="P26" s="102">
        <v>0</v>
      </c>
      <c r="Q26" s="103">
        <v>0</v>
      </c>
      <c r="R26" s="104">
        <v>0</v>
      </c>
      <c r="S26" s="101">
        <v>0</v>
      </c>
      <c r="T26" s="102">
        <v>0</v>
      </c>
      <c r="U26" s="103">
        <v>0</v>
      </c>
      <c r="V26" s="104">
        <v>0</v>
      </c>
      <c r="W26" s="101">
        <v>0</v>
      </c>
      <c r="X26" s="102">
        <v>0</v>
      </c>
      <c r="Y26" s="103">
        <v>0</v>
      </c>
      <c r="Z26" s="104">
        <v>0</v>
      </c>
    </row>
    <row r="27" spans="2:31" x14ac:dyDescent="0.25">
      <c r="B27" s="105" t="s">
        <v>21</v>
      </c>
      <c r="C27" s="106">
        <v>412.97199999999998</v>
      </c>
      <c r="D27" s="107"/>
      <c r="E27" s="108">
        <v>716.44600000000003</v>
      </c>
      <c r="F27" s="107"/>
      <c r="G27" s="106">
        <v>1638.67</v>
      </c>
      <c r="H27" s="107"/>
      <c r="I27" s="108">
        <v>-159.321</v>
      </c>
      <c r="J27" s="107"/>
      <c r="K27" s="106">
        <v>687.31399999999996</v>
      </c>
      <c r="L27" s="107"/>
      <c r="M27" s="108">
        <v>-253.38399999999999</v>
      </c>
      <c r="N27" s="107"/>
      <c r="O27" s="106">
        <v>0</v>
      </c>
      <c r="P27" s="107"/>
      <c r="Q27" s="108">
        <v>0</v>
      </c>
      <c r="R27" s="107"/>
      <c r="S27" s="106">
        <v>0</v>
      </c>
      <c r="T27" s="107"/>
      <c r="U27" s="108">
        <v>0</v>
      </c>
      <c r="V27" s="107"/>
      <c r="W27" s="106">
        <v>0</v>
      </c>
      <c r="X27" s="107"/>
      <c r="Y27" s="108">
        <v>0</v>
      </c>
      <c r="Z27" s="107"/>
    </row>
    <row r="28" spans="2:31" x14ac:dyDescent="0.25">
      <c r="B28" s="109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</row>
    <row r="29" spans="2:31" x14ac:dyDescent="0.25">
      <c r="B29" s="93" t="s">
        <v>22</v>
      </c>
      <c r="C29" s="111">
        <v>1.1440046111041899E-3</v>
      </c>
      <c r="D29" s="112">
        <v>0.87878370465723299</v>
      </c>
      <c r="E29" s="113">
        <v>4.6835418857747446E-3</v>
      </c>
      <c r="F29" s="114">
        <v>0.88644655962815766</v>
      </c>
      <c r="G29" s="111">
        <v>2.2688881388954439E-3</v>
      </c>
      <c r="H29" s="112">
        <v>0.88856983066388839</v>
      </c>
      <c r="I29" s="113">
        <v>-1.1127180856264098E-3</v>
      </c>
      <c r="J29" s="114">
        <v>0.89351368153255151</v>
      </c>
      <c r="K29" s="111">
        <v>1.6531350336281118E-3</v>
      </c>
      <c r="L29" s="112">
        <v>0.88392909674854048</v>
      </c>
      <c r="M29" s="113">
        <v>-2.9934399655219689E-3</v>
      </c>
      <c r="N29" s="114">
        <v>0.75509162392777907</v>
      </c>
      <c r="O29" s="111">
        <v>0</v>
      </c>
      <c r="P29" s="112">
        <v>0</v>
      </c>
      <c r="Q29" s="113">
        <v>0</v>
      </c>
      <c r="R29" s="114">
        <v>0</v>
      </c>
      <c r="S29" s="111">
        <v>0</v>
      </c>
      <c r="T29" s="112">
        <v>0</v>
      </c>
      <c r="U29" s="113">
        <v>0</v>
      </c>
      <c r="V29" s="114">
        <v>0</v>
      </c>
      <c r="W29" s="111">
        <v>0</v>
      </c>
      <c r="X29" s="112">
        <v>0</v>
      </c>
      <c r="Y29" s="113">
        <v>0</v>
      </c>
      <c r="Z29" s="114">
        <v>0</v>
      </c>
    </row>
    <row r="30" spans="2:31" x14ac:dyDescent="0.25">
      <c r="B30" s="99" t="s">
        <v>23</v>
      </c>
      <c r="C30" s="94">
        <v>5.3599538889580818E-4</v>
      </c>
      <c r="D30" s="95">
        <v>0.12121629534276709</v>
      </c>
      <c r="E30" s="96">
        <v>-1.7635418857747426E-3</v>
      </c>
      <c r="F30" s="97">
        <v>0.11355344037184237</v>
      </c>
      <c r="G30" s="94">
        <v>4.461111861104562E-3</v>
      </c>
      <c r="H30" s="95">
        <v>0.11143016933611163</v>
      </c>
      <c r="I30" s="96">
        <v>4.4271808562642504E-4</v>
      </c>
      <c r="J30" s="97">
        <v>0.10648631846744848</v>
      </c>
      <c r="K30" s="94">
        <v>1.1368649663718883E-3</v>
      </c>
      <c r="L30" s="95">
        <v>0.11607090325145966</v>
      </c>
      <c r="M30" s="96">
        <v>1.8634399655219722E-3</v>
      </c>
      <c r="N30" s="97">
        <v>0.24490837607222096</v>
      </c>
      <c r="O30" s="94">
        <v>0</v>
      </c>
      <c r="P30" s="95">
        <v>0</v>
      </c>
      <c r="Q30" s="96">
        <v>0</v>
      </c>
      <c r="R30" s="97">
        <v>0</v>
      </c>
      <c r="S30" s="94">
        <v>0</v>
      </c>
      <c r="T30" s="95">
        <v>0</v>
      </c>
      <c r="U30" s="96">
        <v>0</v>
      </c>
      <c r="V30" s="97">
        <v>0</v>
      </c>
      <c r="W30" s="94">
        <v>0</v>
      </c>
      <c r="X30" s="95">
        <v>0</v>
      </c>
      <c r="Y30" s="96">
        <v>0</v>
      </c>
      <c r="Z30" s="97">
        <v>0</v>
      </c>
    </row>
    <row r="31" spans="2:31" x14ac:dyDescent="0.25">
      <c r="B31" s="100" t="s">
        <v>20</v>
      </c>
      <c r="C31" s="101">
        <v>1.6799999999999981E-3</v>
      </c>
      <c r="D31" s="102">
        <v>1</v>
      </c>
      <c r="E31" s="103">
        <v>2.920000000000002E-3</v>
      </c>
      <c r="F31" s="104">
        <v>1</v>
      </c>
      <c r="G31" s="101">
        <v>6.7300000000000059E-3</v>
      </c>
      <c r="H31" s="102">
        <v>1</v>
      </c>
      <c r="I31" s="103">
        <v>-6.6999999999998474E-4</v>
      </c>
      <c r="J31" s="104">
        <v>1</v>
      </c>
      <c r="K31" s="101">
        <v>2.7899999999999999E-3</v>
      </c>
      <c r="L31" s="102">
        <v>1.0000000000000002</v>
      </c>
      <c r="M31" s="103">
        <v>-1.1299999999999967E-3</v>
      </c>
      <c r="N31" s="104">
        <v>1</v>
      </c>
      <c r="O31" s="101">
        <v>0</v>
      </c>
      <c r="P31" s="102">
        <v>0</v>
      </c>
      <c r="Q31" s="103">
        <v>0</v>
      </c>
      <c r="R31" s="104">
        <v>0</v>
      </c>
      <c r="S31" s="101">
        <v>0</v>
      </c>
      <c r="T31" s="102">
        <v>0</v>
      </c>
      <c r="U31" s="103">
        <v>0</v>
      </c>
      <c r="V31" s="104">
        <v>0</v>
      </c>
      <c r="W31" s="101">
        <v>0</v>
      </c>
      <c r="X31" s="102">
        <v>0</v>
      </c>
      <c r="Y31" s="103">
        <v>0</v>
      </c>
      <c r="Z31" s="104">
        <v>0</v>
      </c>
    </row>
    <row r="32" spans="2:31" x14ac:dyDescent="0.25">
      <c r="B32" s="109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</row>
    <row r="33" spans="2:26" x14ac:dyDescent="0.25">
      <c r="B33" s="93" t="s">
        <v>24</v>
      </c>
      <c r="C33" s="111">
        <v>8.8412228883958093E-4</v>
      </c>
      <c r="D33" s="112">
        <v>0.85473495460039961</v>
      </c>
      <c r="E33" s="113">
        <v>1.6569864093384165E-3</v>
      </c>
      <c r="F33" s="114">
        <v>0.86205621772622187</v>
      </c>
      <c r="G33" s="111">
        <v>5.9350917532956559E-3</v>
      </c>
      <c r="H33" s="112">
        <v>0.85941223888782792</v>
      </c>
      <c r="I33" s="113">
        <v>-8.9990109046635082E-5</v>
      </c>
      <c r="J33" s="114">
        <v>0.85981990082529181</v>
      </c>
      <c r="K33" s="111">
        <v>1.7833634693023451E-3</v>
      </c>
      <c r="L33" s="112">
        <v>0.85851397296186827</v>
      </c>
      <c r="M33" s="113">
        <v>1.3478826641741823E-4</v>
      </c>
      <c r="N33" s="114">
        <v>0.85416518528432683</v>
      </c>
      <c r="O33" s="111">
        <v>0</v>
      </c>
      <c r="P33" s="112">
        <v>0</v>
      </c>
      <c r="Q33" s="113">
        <v>0</v>
      </c>
      <c r="R33" s="114">
        <v>0</v>
      </c>
      <c r="S33" s="111">
        <v>0</v>
      </c>
      <c r="T33" s="112">
        <v>0</v>
      </c>
      <c r="U33" s="113">
        <v>0</v>
      </c>
      <c r="V33" s="114">
        <v>0</v>
      </c>
      <c r="W33" s="111">
        <v>0</v>
      </c>
      <c r="X33" s="112">
        <v>0</v>
      </c>
      <c r="Y33" s="113">
        <v>0</v>
      </c>
      <c r="Z33" s="114">
        <v>0</v>
      </c>
    </row>
    <row r="34" spans="2:26" x14ac:dyDescent="0.25">
      <c r="B34" s="99" t="s">
        <v>25</v>
      </c>
      <c r="C34" s="94">
        <v>7.9587771116041686E-4</v>
      </c>
      <c r="D34" s="95">
        <v>0.14526504539960042</v>
      </c>
      <c r="E34" s="96">
        <v>1.2630135906615851E-3</v>
      </c>
      <c r="F34" s="97">
        <v>0.13794378227377832</v>
      </c>
      <c r="G34" s="94">
        <v>7.9490824670434997E-4</v>
      </c>
      <c r="H34" s="95">
        <v>0.14058776111217219</v>
      </c>
      <c r="I34" s="96">
        <v>-5.8000989095335009E-4</v>
      </c>
      <c r="J34" s="97">
        <v>0.14018009917470822</v>
      </c>
      <c r="K34" s="94">
        <v>1.0066365306976551E-3</v>
      </c>
      <c r="L34" s="95">
        <v>0.14148602703813171</v>
      </c>
      <c r="M34" s="96">
        <v>-1.2647882664174148E-3</v>
      </c>
      <c r="N34" s="97">
        <v>0.14583481471567317</v>
      </c>
      <c r="O34" s="94">
        <v>0</v>
      </c>
      <c r="P34" s="95">
        <v>0</v>
      </c>
      <c r="Q34" s="96">
        <v>0</v>
      </c>
      <c r="R34" s="97">
        <v>0</v>
      </c>
      <c r="S34" s="94">
        <v>0</v>
      </c>
      <c r="T34" s="95">
        <v>0</v>
      </c>
      <c r="U34" s="96">
        <v>0</v>
      </c>
      <c r="V34" s="97">
        <v>0</v>
      </c>
      <c r="W34" s="94">
        <v>0</v>
      </c>
      <c r="X34" s="95">
        <v>0</v>
      </c>
      <c r="Y34" s="96">
        <v>0</v>
      </c>
      <c r="Z34" s="97">
        <v>0</v>
      </c>
    </row>
    <row r="35" spans="2:26" x14ac:dyDescent="0.25">
      <c r="B35" s="115" t="s">
        <v>20</v>
      </c>
      <c r="C35" s="101">
        <v>1.6799999999999979E-3</v>
      </c>
      <c r="D35" s="102">
        <v>1</v>
      </c>
      <c r="E35" s="103">
        <v>2.9200000000000016E-3</v>
      </c>
      <c r="F35" s="104">
        <v>1.0000000000000002</v>
      </c>
      <c r="G35" s="101">
        <v>6.7300000000000059E-3</v>
      </c>
      <c r="H35" s="102">
        <v>1</v>
      </c>
      <c r="I35" s="103">
        <v>-6.6999999999998517E-4</v>
      </c>
      <c r="J35" s="104">
        <v>1</v>
      </c>
      <c r="K35" s="101">
        <v>2.7899999999999999E-3</v>
      </c>
      <c r="L35" s="102">
        <v>1</v>
      </c>
      <c r="M35" s="103">
        <v>-1.1299999999999965E-3</v>
      </c>
      <c r="N35" s="104">
        <v>1</v>
      </c>
      <c r="O35" s="101">
        <v>0</v>
      </c>
      <c r="P35" s="102">
        <v>0</v>
      </c>
      <c r="Q35" s="103">
        <v>0</v>
      </c>
      <c r="R35" s="104">
        <v>0</v>
      </c>
      <c r="S35" s="101">
        <v>0</v>
      </c>
      <c r="T35" s="102">
        <v>0</v>
      </c>
      <c r="U35" s="103">
        <v>0</v>
      </c>
      <c r="V35" s="104">
        <v>0</v>
      </c>
      <c r="W35" s="101">
        <v>0</v>
      </c>
      <c r="X35" s="102">
        <v>0</v>
      </c>
      <c r="Y35" s="103">
        <v>0</v>
      </c>
      <c r="Z35" s="104">
        <v>0</v>
      </c>
    </row>
    <row r="36" spans="2:26" x14ac:dyDescent="0.25">
      <c r="C36" s="116"/>
      <c r="D36" s="116"/>
      <c r="E36" s="116"/>
      <c r="F36" s="116"/>
      <c r="G36" s="116"/>
      <c r="H36" s="116"/>
      <c r="I36" s="116"/>
      <c r="J36" s="116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2:26" ht="45" x14ac:dyDescent="0.25">
      <c r="B37" s="118" t="s">
        <v>26</v>
      </c>
      <c r="C37" s="42" t="s">
        <v>89</v>
      </c>
      <c r="D37" s="43" t="s">
        <v>90</v>
      </c>
      <c r="E37" s="119" t="s">
        <v>91</v>
      </c>
      <c r="F37" s="120" t="s">
        <v>92</v>
      </c>
      <c r="G37" s="42" t="s">
        <v>93</v>
      </c>
      <c r="H37" s="43" t="s">
        <v>94</v>
      </c>
      <c r="I37" s="119" t="s">
        <v>95</v>
      </c>
      <c r="J37" s="119" t="s">
        <v>96</v>
      </c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2:26" x14ac:dyDescent="0.25">
      <c r="B38" s="93" t="s">
        <v>3</v>
      </c>
      <c r="C38" s="94">
        <v>8.6752251104704747E-4</v>
      </c>
      <c r="D38" s="95">
        <v>7.2243264338004529E-2</v>
      </c>
      <c r="E38" s="96">
        <v>1.7249340082692299E-3</v>
      </c>
      <c r="F38" s="97">
        <v>6.137377579471065E-2</v>
      </c>
      <c r="G38" s="94">
        <v>0</v>
      </c>
      <c r="H38" s="95">
        <v>0</v>
      </c>
      <c r="I38" s="96">
        <v>0</v>
      </c>
      <c r="J38" s="97">
        <v>0</v>
      </c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2:26" ht="30" x14ac:dyDescent="0.25">
      <c r="B39" s="73" t="s">
        <v>43</v>
      </c>
      <c r="C39" s="94">
        <v>-8.1833534074525436E-5</v>
      </c>
      <c r="D39" s="95">
        <v>0.40999441116064439</v>
      </c>
      <c r="E39" s="96">
        <v>-9.7586580406229721E-6</v>
      </c>
      <c r="F39" s="97">
        <v>0.4032753372241531</v>
      </c>
      <c r="G39" s="94">
        <v>0</v>
      </c>
      <c r="H39" s="95">
        <v>0</v>
      </c>
      <c r="I39" s="96">
        <v>0</v>
      </c>
      <c r="J39" s="97">
        <v>0</v>
      </c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2:26" x14ac:dyDescent="0.25">
      <c r="B40" s="99" t="s">
        <v>4</v>
      </c>
      <c r="C40" s="94">
        <v>0</v>
      </c>
      <c r="D40" s="95">
        <v>0</v>
      </c>
      <c r="E40" s="96">
        <v>0</v>
      </c>
      <c r="F40" s="97">
        <v>0</v>
      </c>
      <c r="G40" s="94">
        <v>0</v>
      </c>
      <c r="H40" s="95">
        <v>0</v>
      </c>
      <c r="I40" s="96">
        <v>0</v>
      </c>
      <c r="J40" s="97">
        <v>0</v>
      </c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2:26" x14ac:dyDescent="0.25">
      <c r="B41" s="99" t="s">
        <v>5</v>
      </c>
      <c r="C41" s="94">
        <v>0</v>
      </c>
      <c r="D41" s="95">
        <v>0</v>
      </c>
      <c r="E41" s="96">
        <v>0</v>
      </c>
      <c r="F41" s="97">
        <v>0</v>
      </c>
      <c r="G41" s="94">
        <v>0</v>
      </c>
      <c r="H41" s="95">
        <v>0</v>
      </c>
      <c r="I41" s="96">
        <v>0</v>
      </c>
      <c r="J41" s="97">
        <v>0</v>
      </c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2:26" x14ac:dyDescent="0.25">
      <c r="B42" s="99" t="s">
        <v>86</v>
      </c>
      <c r="C42" s="94">
        <v>6.2063255459839451E-3</v>
      </c>
      <c r="D42" s="95">
        <v>0.32565768173944637</v>
      </c>
      <c r="E42" s="96">
        <v>6.1381156172788769E-3</v>
      </c>
      <c r="F42" s="97">
        <v>0.31914650053542243</v>
      </c>
      <c r="G42" s="94">
        <v>0</v>
      </c>
      <c r="H42" s="95">
        <v>0</v>
      </c>
      <c r="I42" s="96">
        <v>0</v>
      </c>
      <c r="J42" s="97">
        <v>0</v>
      </c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2:26" x14ac:dyDescent="0.25">
      <c r="B43" s="99" t="s">
        <v>87</v>
      </c>
      <c r="C43" s="94">
        <v>3.6173479387629901E-4</v>
      </c>
      <c r="D43" s="95">
        <v>3.3384762014009646E-2</v>
      </c>
      <c r="E43" s="96">
        <v>-1.4073318980559646E-4</v>
      </c>
      <c r="F43" s="97">
        <v>3.3201163817762197E-2</v>
      </c>
      <c r="G43" s="94">
        <v>0</v>
      </c>
      <c r="H43" s="95">
        <v>0</v>
      </c>
      <c r="I43" s="96">
        <v>0</v>
      </c>
      <c r="J43" s="97">
        <v>0</v>
      </c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2:26" x14ac:dyDescent="0.25">
      <c r="B44" s="99" t="s">
        <v>8</v>
      </c>
      <c r="C44" s="94">
        <v>1.0887445702719708E-4</v>
      </c>
      <c r="D44" s="95">
        <v>3.3381840346466841E-4</v>
      </c>
      <c r="E44" s="96">
        <v>4.5320125649065811E-5</v>
      </c>
      <c r="F44" s="97">
        <v>1.4813672384373014E-2</v>
      </c>
      <c r="G44" s="94">
        <v>0</v>
      </c>
      <c r="H44" s="95">
        <v>0</v>
      </c>
      <c r="I44" s="96">
        <v>0</v>
      </c>
      <c r="J44" s="97">
        <v>0</v>
      </c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2:26" x14ac:dyDescent="0.25">
      <c r="B45" s="99" t="s">
        <v>9</v>
      </c>
      <c r="C45" s="94">
        <v>3.1394916527590933E-4</v>
      </c>
      <c r="D45" s="95">
        <v>1.2349505542012704E-2</v>
      </c>
      <c r="E45" s="96">
        <v>3.8508689031952544E-4</v>
      </c>
      <c r="F45" s="97">
        <v>2.2281908550916347E-2</v>
      </c>
      <c r="G45" s="94">
        <v>0</v>
      </c>
      <c r="H45" s="95">
        <v>0</v>
      </c>
      <c r="I45" s="96">
        <v>0</v>
      </c>
      <c r="J45" s="97">
        <v>0</v>
      </c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2:26" x14ac:dyDescent="0.25">
      <c r="B46" s="99" t="s">
        <v>10</v>
      </c>
      <c r="C46" s="94">
        <v>1.1160689223169656E-3</v>
      </c>
      <c r="D46" s="95">
        <v>3.8132921182710007E-2</v>
      </c>
      <c r="E46" s="96">
        <v>2.0833474211109648E-3</v>
      </c>
      <c r="F46" s="97">
        <v>3.6736857322737897E-2</v>
      </c>
      <c r="G46" s="94">
        <v>0</v>
      </c>
      <c r="H46" s="95">
        <v>0</v>
      </c>
      <c r="I46" s="96">
        <v>0</v>
      </c>
      <c r="J46" s="97">
        <v>0</v>
      </c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2:26" x14ac:dyDescent="0.25">
      <c r="B47" s="99" t="s">
        <v>11</v>
      </c>
      <c r="C47" s="94">
        <v>8.1340319269563189E-4</v>
      </c>
      <c r="D47" s="95">
        <v>3.3019786883435154E-2</v>
      </c>
      <c r="E47" s="96">
        <v>2.1364159864860621E-3</v>
      </c>
      <c r="F47" s="97">
        <v>3.482584075383921E-2</v>
      </c>
      <c r="G47" s="94">
        <v>0</v>
      </c>
      <c r="H47" s="95">
        <v>0</v>
      </c>
      <c r="I47" s="96">
        <v>0</v>
      </c>
      <c r="J47" s="97">
        <v>0</v>
      </c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2:26" x14ac:dyDescent="0.25">
      <c r="B48" s="99" t="s">
        <v>12</v>
      </c>
      <c r="C48" s="94">
        <v>3.5644463509735747E-5</v>
      </c>
      <c r="D48" s="95">
        <v>5.1660532528257775E-5</v>
      </c>
      <c r="E48" s="96">
        <v>-5.4869163192806622E-6</v>
      </c>
      <c r="F48" s="97">
        <v>8.8530292000405851E-5</v>
      </c>
      <c r="G48" s="94">
        <v>0</v>
      </c>
      <c r="H48" s="95">
        <v>0</v>
      </c>
      <c r="I48" s="96">
        <v>0</v>
      </c>
      <c r="J48" s="97">
        <v>0</v>
      </c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2:26" x14ac:dyDescent="0.25">
      <c r="B49" s="99" t="s">
        <v>13</v>
      </c>
      <c r="C49" s="94">
        <v>-8.8934813134450871E-4</v>
      </c>
      <c r="D49" s="95">
        <v>1.4042228828623762E-3</v>
      </c>
      <c r="E49" s="96">
        <v>-2.9155717814356246E-3</v>
      </c>
      <c r="F49" s="97">
        <v>4.3891920225909274E-4</v>
      </c>
      <c r="G49" s="94">
        <v>0</v>
      </c>
      <c r="H49" s="95">
        <v>0</v>
      </c>
      <c r="I49" s="96">
        <v>0</v>
      </c>
      <c r="J49" s="97">
        <v>0</v>
      </c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2:26" x14ac:dyDescent="0.25">
      <c r="B50" s="99" t="s">
        <v>14</v>
      </c>
      <c r="C50" s="94">
        <v>-7.7480631219030285E-6</v>
      </c>
      <c r="D50" s="95">
        <v>4.9237200649715967E-6</v>
      </c>
      <c r="E50" s="96">
        <v>-6.837358051181805E-5</v>
      </c>
      <c r="F50" s="97">
        <v>1.2218552824017813E-4</v>
      </c>
      <c r="G50" s="94">
        <v>0</v>
      </c>
      <c r="H50" s="95">
        <v>0</v>
      </c>
      <c r="I50" s="96">
        <v>0</v>
      </c>
      <c r="J50" s="97">
        <v>0</v>
      </c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2:26" x14ac:dyDescent="0.25">
      <c r="B51" s="99" t="s">
        <v>15</v>
      </c>
      <c r="C51" s="94">
        <v>4.4138060965748924E-6</v>
      </c>
      <c r="D51" s="95">
        <v>2.2875039744929538E-4</v>
      </c>
      <c r="E51" s="96">
        <v>2.078814874197891E-5</v>
      </c>
      <c r="F51" s="97">
        <v>1.1039647425053476E-3</v>
      </c>
      <c r="G51" s="94">
        <v>0</v>
      </c>
      <c r="H51" s="95">
        <v>0</v>
      </c>
      <c r="I51" s="96">
        <v>0</v>
      </c>
      <c r="J51" s="97">
        <v>0</v>
      </c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2:26" x14ac:dyDescent="0.25">
      <c r="B52" s="99" t="s">
        <v>16</v>
      </c>
      <c r="C52" s="94">
        <v>2.550992870711631E-3</v>
      </c>
      <c r="D52" s="95">
        <v>7.3194291203367498E-2</v>
      </c>
      <c r="E52" s="96">
        <v>3.0065173472836842E-3</v>
      </c>
      <c r="F52" s="97">
        <v>7.2430198603266535E-2</v>
      </c>
      <c r="G52" s="94">
        <v>0</v>
      </c>
      <c r="H52" s="95">
        <v>0</v>
      </c>
      <c r="I52" s="96">
        <v>0</v>
      </c>
      <c r="J52" s="97">
        <v>0</v>
      </c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2:26" x14ac:dyDescent="0.25">
      <c r="B53" s="99" t="s">
        <v>88</v>
      </c>
      <c r="C53" s="94">
        <v>0</v>
      </c>
      <c r="D53" s="95">
        <v>0</v>
      </c>
      <c r="E53" s="96">
        <v>-6.0141902644583331E-7</v>
      </c>
      <c r="F53" s="97">
        <v>1.6114524781371425E-4</v>
      </c>
      <c r="G53" s="94">
        <v>0</v>
      </c>
      <c r="H53" s="95">
        <v>0</v>
      </c>
      <c r="I53" s="96">
        <v>0</v>
      </c>
      <c r="J53" s="97">
        <v>0</v>
      </c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2:26" x14ac:dyDescent="0.25">
      <c r="B54" s="99" t="s">
        <v>18</v>
      </c>
      <c r="C54" s="94">
        <v>0</v>
      </c>
      <c r="D54" s="95">
        <v>0</v>
      </c>
      <c r="E54" s="96">
        <v>0</v>
      </c>
      <c r="F54" s="97">
        <v>0</v>
      </c>
      <c r="G54" s="94">
        <v>0</v>
      </c>
      <c r="H54" s="95">
        <v>0</v>
      </c>
      <c r="I54" s="96">
        <v>0</v>
      </c>
      <c r="J54" s="97">
        <v>0</v>
      </c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2:26" x14ac:dyDescent="0.25">
      <c r="B55" s="74" t="s">
        <v>44</v>
      </c>
      <c r="C55" s="94">
        <v>0</v>
      </c>
      <c r="D55" s="95">
        <v>0</v>
      </c>
      <c r="E55" s="96">
        <v>0</v>
      </c>
      <c r="F55" s="97">
        <v>0</v>
      </c>
      <c r="G55" s="94">
        <v>0</v>
      </c>
      <c r="H55" s="95">
        <v>0</v>
      </c>
      <c r="I55" s="96">
        <v>0</v>
      </c>
      <c r="J55" s="97">
        <v>0</v>
      </c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2:26" x14ac:dyDescent="0.25">
      <c r="B56" s="99" t="s">
        <v>19</v>
      </c>
      <c r="C56" s="94">
        <v>0</v>
      </c>
      <c r="D56" s="95">
        <v>0</v>
      </c>
      <c r="E56" s="96">
        <v>0</v>
      </c>
      <c r="F56" s="97">
        <v>0</v>
      </c>
      <c r="G56" s="94">
        <v>0</v>
      </c>
      <c r="H56" s="95">
        <v>0</v>
      </c>
      <c r="I56" s="96">
        <v>0</v>
      </c>
      <c r="J56" s="97">
        <v>0</v>
      </c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2:26" x14ac:dyDescent="0.25">
      <c r="B57" s="100" t="s">
        <v>27</v>
      </c>
      <c r="C57" s="101">
        <v>1.14E-2</v>
      </c>
      <c r="D57" s="102">
        <v>1</v>
      </c>
      <c r="E57" s="103">
        <v>1.24E-2</v>
      </c>
      <c r="F57" s="104">
        <v>1</v>
      </c>
      <c r="G57" s="101">
        <v>0</v>
      </c>
      <c r="H57" s="102">
        <v>0</v>
      </c>
      <c r="I57" s="103">
        <v>0</v>
      </c>
      <c r="J57" s="104">
        <v>0</v>
      </c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2:26" x14ac:dyDescent="0.25">
      <c r="B58" s="105" t="s">
        <v>21</v>
      </c>
      <c r="C58" s="106">
        <v>2768.0880000000002</v>
      </c>
      <c r="D58" s="107"/>
      <c r="E58" s="108">
        <v>3042.6970000000001</v>
      </c>
      <c r="F58" s="107"/>
      <c r="G58" s="106">
        <v>0</v>
      </c>
      <c r="H58" s="107"/>
      <c r="I58" s="108">
        <v>0</v>
      </c>
      <c r="J58" s="10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2:26" x14ac:dyDescent="0.25">
      <c r="B59" s="109"/>
      <c r="C59" s="110"/>
      <c r="D59" s="110"/>
      <c r="E59" s="110"/>
      <c r="F59" s="110"/>
      <c r="G59" s="110"/>
      <c r="H59" s="110"/>
      <c r="I59" s="110"/>
      <c r="J59" s="110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2:26" x14ac:dyDescent="0.25">
      <c r="B60" s="93" t="s">
        <v>22</v>
      </c>
      <c r="C60" s="111">
        <v>8.1150268371015244E-3</v>
      </c>
      <c r="D60" s="112">
        <v>0.88460003164975964</v>
      </c>
      <c r="E60" s="113">
        <v>5.6386177889591327E-3</v>
      </c>
      <c r="F60" s="114">
        <v>0.86438908285969163</v>
      </c>
      <c r="G60" s="111">
        <v>0</v>
      </c>
      <c r="H60" s="112">
        <v>0</v>
      </c>
      <c r="I60" s="113">
        <v>0</v>
      </c>
      <c r="J60" s="114">
        <v>0</v>
      </c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2:26" x14ac:dyDescent="0.25">
      <c r="B61" s="99" t="s">
        <v>23</v>
      </c>
      <c r="C61" s="94">
        <v>3.284973162898476E-3</v>
      </c>
      <c r="D61" s="95">
        <v>0.11539996835024036</v>
      </c>
      <c r="E61" s="96">
        <v>6.7613822110408669E-3</v>
      </c>
      <c r="F61" s="97">
        <v>0.13561091714030835</v>
      </c>
      <c r="G61" s="94">
        <v>0</v>
      </c>
      <c r="H61" s="95">
        <v>0</v>
      </c>
      <c r="I61" s="96">
        <v>0</v>
      </c>
      <c r="J61" s="97">
        <v>0</v>
      </c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2:26" x14ac:dyDescent="0.25">
      <c r="B62" s="100" t="s">
        <v>27</v>
      </c>
      <c r="C62" s="101">
        <v>1.14E-2</v>
      </c>
      <c r="D62" s="102">
        <v>1</v>
      </c>
      <c r="E62" s="103">
        <v>1.24E-2</v>
      </c>
      <c r="F62" s="104">
        <v>1</v>
      </c>
      <c r="G62" s="101">
        <v>0</v>
      </c>
      <c r="H62" s="102">
        <v>0</v>
      </c>
      <c r="I62" s="103">
        <v>0</v>
      </c>
      <c r="J62" s="104">
        <v>0</v>
      </c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2:26" x14ac:dyDescent="0.25">
      <c r="B63" s="109"/>
      <c r="C63" s="110"/>
      <c r="D63" s="110"/>
      <c r="E63" s="110"/>
      <c r="F63" s="110"/>
      <c r="G63" s="110"/>
      <c r="H63" s="110"/>
      <c r="I63" s="110"/>
      <c r="J63" s="110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2:26" x14ac:dyDescent="0.25">
      <c r="B64" s="93" t="s">
        <v>24</v>
      </c>
      <c r="C64" s="111">
        <v>8.4927558381517887E-3</v>
      </c>
      <c r="D64" s="112">
        <v>0.85873447040481654</v>
      </c>
      <c r="E64" s="113">
        <v>1.033651191060847E-2</v>
      </c>
      <c r="F64" s="114">
        <v>0.85811707838098938</v>
      </c>
      <c r="G64" s="111">
        <v>0</v>
      </c>
      <c r="H64" s="112">
        <v>0</v>
      </c>
      <c r="I64" s="113">
        <v>0</v>
      </c>
      <c r="J64" s="114">
        <v>0</v>
      </c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2:26" x14ac:dyDescent="0.25">
      <c r="B65" s="99" t="s">
        <v>25</v>
      </c>
      <c r="C65" s="94">
        <v>2.9072441618482117E-3</v>
      </c>
      <c r="D65" s="95">
        <v>0.14126552959518365</v>
      </c>
      <c r="E65" s="96">
        <v>2.0634880893915294E-3</v>
      </c>
      <c r="F65" s="97">
        <v>0.14188292161901067</v>
      </c>
      <c r="G65" s="94">
        <v>0</v>
      </c>
      <c r="H65" s="95">
        <v>0</v>
      </c>
      <c r="I65" s="96">
        <v>0</v>
      </c>
      <c r="J65" s="97">
        <v>0</v>
      </c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2:26" x14ac:dyDescent="0.25">
      <c r="B66" s="115" t="s">
        <v>27</v>
      </c>
      <c r="C66" s="101">
        <v>1.14E-2</v>
      </c>
      <c r="D66" s="102">
        <v>1.0000000000000002</v>
      </c>
      <c r="E66" s="103">
        <v>1.24E-2</v>
      </c>
      <c r="F66" s="104">
        <v>1</v>
      </c>
      <c r="G66" s="101">
        <v>0</v>
      </c>
      <c r="H66" s="102">
        <v>0</v>
      </c>
      <c r="I66" s="103">
        <v>0</v>
      </c>
      <c r="J66" s="104">
        <v>0</v>
      </c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70" spans="2:26" x14ac:dyDescent="0.25">
      <c r="B70" s="121"/>
    </row>
    <row r="73" spans="2:26" x14ac:dyDescent="0.25">
      <c r="B73" s="116"/>
    </row>
  </sheetData>
  <mergeCells count="1">
    <mergeCell ref="D2:E2"/>
  </mergeCell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28774-43A6-4CA3-8965-AEF66DBFF305}">
  <sheetPr codeName="גיליון27">
    <tabColor rgb="FF92D050"/>
  </sheetPr>
  <dimension ref="A1:AB76"/>
  <sheetViews>
    <sheetView showGridLines="0" rightToLeft="1" topLeftCell="A13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8" t="s">
        <v>35</v>
      </c>
      <c r="B1" s="61"/>
      <c r="D1" s="2"/>
    </row>
    <row r="2" spans="1:26" ht="18.75" x14ac:dyDescent="0.3">
      <c r="A2" s="69" t="s">
        <v>36</v>
      </c>
      <c r="B2" s="71">
        <v>1350</v>
      </c>
    </row>
    <row r="3" spans="1:26" ht="18.75" x14ac:dyDescent="0.3">
      <c r="A3" s="70" t="s">
        <v>37</v>
      </c>
      <c r="B3" s="72" t="s">
        <v>30</v>
      </c>
    </row>
    <row r="4" spans="1:26" ht="18.75" x14ac:dyDescent="0.3">
      <c r="A4" s="69" t="s">
        <v>38</v>
      </c>
      <c r="B4" s="72" t="s">
        <v>28</v>
      </c>
    </row>
    <row r="5" spans="1:26" ht="18.75" x14ac:dyDescent="0.3">
      <c r="A5" s="70" t="s">
        <v>39</v>
      </c>
      <c r="B5" s="71">
        <v>2024</v>
      </c>
      <c r="C5" s="70" t="s">
        <v>40</v>
      </c>
      <c r="D5" s="71" t="s">
        <v>45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46</v>
      </c>
      <c r="C7" s="7"/>
      <c r="D7" s="8" t="s">
        <v>47</v>
      </c>
      <c r="E7" s="9"/>
      <c r="F7" s="6" t="s">
        <v>48</v>
      </c>
      <c r="G7" s="7"/>
      <c r="H7" s="8" t="s">
        <v>49</v>
      </c>
      <c r="I7" s="9"/>
      <c r="J7" s="6" t="s">
        <v>50</v>
      </c>
      <c r="K7" s="7"/>
      <c r="L7" s="8" t="s">
        <v>51</v>
      </c>
      <c r="M7" s="9"/>
      <c r="N7" s="6" t="s">
        <v>52</v>
      </c>
      <c r="O7" s="7"/>
      <c r="P7" s="8" t="s">
        <v>53</v>
      </c>
      <c r="Q7" s="9"/>
      <c r="R7" s="6" t="s">
        <v>54</v>
      </c>
      <c r="S7" s="7"/>
      <c r="T7" s="8" t="s">
        <v>55</v>
      </c>
      <c r="U7" s="8"/>
      <c r="V7" s="6" t="s">
        <v>56</v>
      </c>
      <c r="W7" s="7"/>
      <c r="X7" s="8" t="s">
        <v>57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1.9089745495433214E-3</v>
      </c>
      <c r="C9" s="15">
        <v>0.18650154193222743</v>
      </c>
      <c r="D9" s="16">
        <v>2.923908036617448E-4</v>
      </c>
      <c r="E9" s="16">
        <v>0.207066539463445</v>
      </c>
      <c r="F9" s="15">
        <v>1.2099002388255148E-3</v>
      </c>
      <c r="G9" s="15">
        <v>0.13513224067275154</v>
      </c>
      <c r="H9" s="16">
        <v>1.6431151438603131E-3</v>
      </c>
      <c r="I9" s="16">
        <v>0.19250277351775924</v>
      </c>
      <c r="J9" s="15">
        <v>-2.8023212080235255E-4</v>
      </c>
      <c r="K9" s="15">
        <v>6.6119632245192614E-2</v>
      </c>
      <c r="L9" s="16">
        <v>9.8801111707138428E-4</v>
      </c>
      <c r="M9" s="16">
        <v>0.21467985825831906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73" t="s">
        <v>43</v>
      </c>
      <c r="B10" s="15">
        <v>7.5182861242278069E-5</v>
      </c>
      <c r="C10" s="15">
        <v>1.9868110865950857E-2</v>
      </c>
      <c r="D10" s="16">
        <v>1.5114884057032234E-5</v>
      </c>
      <c r="E10" s="16">
        <v>4.4500198390764112E-3</v>
      </c>
      <c r="F10" s="15">
        <v>4.3736753697557188E-5</v>
      </c>
      <c r="G10" s="15">
        <v>1.750648535867871E-2</v>
      </c>
      <c r="H10" s="16">
        <v>1.4755044506938489E-4</v>
      </c>
      <c r="I10" s="16">
        <v>4.3787956603513083E-2</v>
      </c>
      <c r="J10" s="15">
        <v>1.5326657321728383E-4</v>
      </c>
      <c r="K10" s="15">
        <v>5.6667887083024261E-2</v>
      </c>
      <c r="L10" s="16">
        <v>1.7844138107150215E-4</v>
      </c>
      <c r="M10" s="16">
        <v>4.7114969233205982E-2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3.2660388596445396E-5</v>
      </c>
      <c r="C13" s="15">
        <v>1.4060781782988976E-3</v>
      </c>
      <c r="D13" s="16">
        <v>5.4907370661841553E-5</v>
      </c>
      <c r="E13" s="16">
        <v>5.8934695413643255E-4</v>
      </c>
      <c r="F13" s="15">
        <v>3.0724933931828506E-5</v>
      </c>
      <c r="G13" s="15">
        <v>3.478418556608165E-4</v>
      </c>
      <c r="H13" s="16">
        <v>0</v>
      </c>
      <c r="I13" s="16">
        <v>0</v>
      </c>
      <c r="J13" s="15">
        <v>1.0446965965833611E-4</v>
      </c>
      <c r="K13" s="15">
        <v>6.0845750770437547E-4</v>
      </c>
      <c r="L13" s="16">
        <v>-2.8160187095308286E-5</v>
      </c>
      <c r="M13" s="16">
        <v>7.2383755357939973E-4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-2.463931465191728E-3</v>
      </c>
      <c r="C15" s="15">
        <v>0.43092511101988773</v>
      </c>
      <c r="D15" s="16">
        <v>2.6702533440528631E-2</v>
      </c>
      <c r="E15" s="16">
        <v>0.41071229244454083</v>
      </c>
      <c r="F15" s="15">
        <v>1.7177176049440707E-2</v>
      </c>
      <c r="G15" s="15">
        <v>0.45345036484611856</v>
      </c>
      <c r="H15" s="16">
        <v>-1.4875880692163449E-2</v>
      </c>
      <c r="I15" s="16">
        <v>0.4222956997460941</v>
      </c>
      <c r="J15" s="15">
        <v>4.8038324723481997E-3</v>
      </c>
      <c r="K15" s="15">
        <v>0.47290673633437602</v>
      </c>
      <c r="L15" s="16">
        <v>6.2185943857879144E-5</v>
      </c>
      <c r="M15" s="16">
        <v>0.39176980950582135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-3.0574634123336744E-3</v>
      </c>
      <c r="C16" s="15">
        <v>0.25542485037440538</v>
      </c>
      <c r="D16" s="16">
        <v>7.2684794209503913E-3</v>
      </c>
      <c r="E16" s="16">
        <v>0.26072400148738173</v>
      </c>
      <c r="F16" s="15">
        <v>1.4853970818618391E-2</v>
      </c>
      <c r="G16" s="15">
        <v>0.27715032238438114</v>
      </c>
      <c r="H16" s="16">
        <v>-4.6090069246326835E-3</v>
      </c>
      <c r="I16" s="16">
        <v>0.24314796068894817</v>
      </c>
      <c r="J16" s="15">
        <v>4.9273417023488865E-3</v>
      </c>
      <c r="K16" s="15">
        <v>0.30968507240203935</v>
      </c>
      <c r="L16" s="16">
        <v>7.4400606632857727E-3</v>
      </c>
      <c r="M16" s="16">
        <v>0.26739446797172861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-2.8901291599854579E-4</v>
      </c>
      <c r="C17" s="15">
        <v>8.2292357965084703E-2</v>
      </c>
      <c r="D17" s="16">
        <v>-4.3769905974280391E-4</v>
      </c>
      <c r="E17" s="16">
        <v>8.4435587060607109E-2</v>
      </c>
      <c r="F17" s="15">
        <v>2.6168210894060963E-3</v>
      </c>
      <c r="G17" s="15">
        <v>8.0694567264641276E-2</v>
      </c>
      <c r="H17" s="16">
        <v>1.1846111039513737E-3</v>
      </c>
      <c r="I17" s="16">
        <v>6.5846023508171425E-2</v>
      </c>
      <c r="J17" s="15">
        <v>6.9302571522041886E-5</v>
      </c>
      <c r="K17" s="15">
        <v>6.9853047949842817E-2</v>
      </c>
      <c r="L17" s="16">
        <v>1.0285243381349743E-3</v>
      </c>
      <c r="M17" s="16">
        <v>5.5726952671402957E-2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4.9483661773398182E-4</v>
      </c>
      <c r="C18" s="15">
        <v>8.1927728327963641E-3</v>
      </c>
      <c r="D18" s="16">
        <v>2.2729880055225165E-4</v>
      </c>
      <c r="E18" s="16">
        <v>8.5558963019486661E-3</v>
      </c>
      <c r="F18" s="15">
        <v>5.0640901164340877E-4</v>
      </c>
      <c r="G18" s="15">
        <v>9.3874899518304501E-3</v>
      </c>
      <c r="H18" s="16">
        <v>2.8180948915838469E-4</v>
      </c>
      <c r="I18" s="16">
        <v>8.8429381491535505E-3</v>
      </c>
      <c r="J18" s="15">
        <v>-1.8051302578675973E-4</v>
      </c>
      <c r="K18" s="15">
        <v>1.1156263636290905E-2</v>
      </c>
      <c r="L18" s="16">
        <v>4.2720692915123721E-5</v>
      </c>
      <c r="M18" s="16">
        <v>9.7772392275551415E-3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1.4148896198922051E-5</v>
      </c>
      <c r="C19" s="15">
        <v>5.2487449196404778E-4</v>
      </c>
      <c r="D19" s="16">
        <v>3.8933051593130963E-4</v>
      </c>
      <c r="E19" s="16">
        <v>5.382620037665143E-4</v>
      </c>
      <c r="F19" s="15">
        <v>1.6421654702941012E-4</v>
      </c>
      <c r="G19" s="15">
        <v>9.6190799613337448E-4</v>
      </c>
      <c r="H19" s="16">
        <v>1.0860027824635845E-4</v>
      </c>
      <c r="I19" s="16">
        <v>1.1213612328989262E-3</v>
      </c>
      <c r="J19" s="15">
        <v>-1.2932349154231169E-4</v>
      </c>
      <c r="K19" s="15">
        <v>1.4622679391124631E-3</v>
      </c>
      <c r="L19" s="16">
        <v>-2.5556554976602852E-4</v>
      </c>
      <c r="M19" s="16">
        <v>1.1111929225125332E-3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3.7445985028605935E-3</v>
      </c>
      <c r="C20" s="15">
        <v>7.1804418298636371E-3</v>
      </c>
      <c r="D20" s="16">
        <v>1.6346332959419275E-2</v>
      </c>
      <c r="E20" s="16">
        <v>9.7963537848350553E-3</v>
      </c>
      <c r="F20" s="15">
        <v>2.2415683504015951E-3</v>
      </c>
      <c r="G20" s="15">
        <v>1.240474688734155E-2</v>
      </c>
      <c r="H20" s="16">
        <v>-1.4735596865086758E-2</v>
      </c>
      <c r="I20" s="16">
        <v>8.5701836209218837E-3</v>
      </c>
      <c r="J20" s="15">
        <v>7.5150660907973644E-3</v>
      </c>
      <c r="K20" s="15">
        <v>-8.1166893260429512E-3</v>
      </c>
      <c r="L20" s="16">
        <v>6.4201659421300912E-3</v>
      </c>
      <c r="M20" s="16">
        <v>-3.9571312513252332E-3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-1.2146804952859564E-3</v>
      </c>
      <c r="C21" s="15">
        <v>1.3456900632080448E-3</v>
      </c>
      <c r="D21" s="16">
        <v>-1.7411218138236803E-3</v>
      </c>
      <c r="E21" s="16">
        <v>1.362239858620857E-3</v>
      </c>
      <c r="F21" s="15">
        <v>-3.2169809412999165E-4</v>
      </c>
      <c r="G21" s="15">
        <v>9.745721302761533E-4</v>
      </c>
      <c r="H21" s="16">
        <v>1.0267812443922392E-4</v>
      </c>
      <c r="I21" s="16">
        <v>2.2303214755516471E-3</v>
      </c>
      <c r="J21" s="15">
        <v>5.3047142239932225E-4</v>
      </c>
      <c r="K21" s="15">
        <v>5.0491502670599979E-3</v>
      </c>
      <c r="L21" s="16">
        <v>-1.1566481234361794E-3</v>
      </c>
      <c r="M21" s="16">
        <v>2.6636998161843426E-3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-7.1668242916223164E-4</v>
      </c>
      <c r="C22" s="15">
        <v>6.1576710547940599E-3</v>
      </c>
      <c r="D22" s="16">
        <v>-3.8329278610280397E-4</v>
      </c>
      <c r="E22" s="16">
        <v>8.3376301014488289E-3</v>
      </c>
      <c r="F22" s="15">
        <v>6.3854210298068591E-4</v>
      </c>
      <c r="G22" s="15">
        <v>8.4176428635398207E-3</v>
      </c>
      <c r="H22" s="16">
        <v>-8.8998645227754408E-5</v>
      </c>
      <c r="I22" s="16">
        <v>8.3805328724605825E-3</v>
      </c>
      <c r="J22" s="15">
        <v>4.1632403931917458E-4</v>
      </c>
      <c r="K22" s="15">
        <v>1.0399667799044715E-2</v>
      </c>
      <c r="L22" s="16">
        <v>-4.3644633016479913E-6</v>
      </c>
      <c r="M22" s="16">
        <v>9.4897892232318933E-3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7.1668596072823511E-5</v>
      </c>
      <c r="D23" s="16">
        <v>6.7852333983880953E-7</v>
      </c>
      <c r="E23" s="16">
        <v>6.8411779647708338E-5</v>
      </c>
      <c r="F23" s="15">
        <v>3.7156366246157972E-7</v>
      </c>
      <c r="G23" s="15">
        <v>7.0922606069713699E-5</v>
      </c>
      <c r="H23" s="16">
        <v>2.7113009938442575E-7</v>
      </c>
      <c r="I23" s="16">
        <v>6.1289994431760857E-5</v>
      </c>
      <c r="J23" s="15">
        <v>2.9250456503609604E-7</v>
      </c>
      <c r="K23" s="15">
        <v>7.2641176607024968E-5</v>
      </c>
      <c r="L23" s="16">
        <v>2.6010766127078585E-7</v>
      </c>
      <c r="M23" s="16">
        <v>6.2392227128763139E-5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-1.8631098203405208E-5</v>
      </c>
      <c r="C24" s="15">
        <v>1.0883079544611326E-4</v>
      </c>
      <c r="D24" s="16">
        <v>-2.4953059433031877E-5</v>
      </c>
      <c r="E24" s="16">
        <v>3.3634189205446101E-3</v>
      </c>
      <c r="F24" s="15">
        <v>1.1826063449233424E-4</v>
      </c>
      <c r="G24" s="15">
        <v>3.5008951825765827E-3</v>
      </c>
      <c r="H24" s="16">
        <v>7.0847412286214684E-5</v>
      </c>
      <c r="I24" s="16">
        <v>3.2129585900954579E-3</v>
      </c>
      <c r="J24" s="15">
        <v>-2.9839804421965848E-7</v>
      </c>
      <c r="K24" s="15">
        <v>4.1358649857486645E-3</v>
      </c>
      <c r="L24" s="16">
        <v>5.4368137471166143E-5</v>
      </c>
      <c r="M24" s="16">
        <v>3.4429226406547191E-3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74" t="s">
        <v>44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19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20</v>
      </c>
      <c r="B28" s="20">
        <v>-1.49E-3</v>
      </c>
      <c r="C28" s="21">
        <v>1.0000000000000002</v>
      </c>
      <c r="D28" s="22">
        <v>4.8710000000000003E-2</v>
      </c>
      <c r="E28" s="23">
        <v>0.99999999999999956</v>
      </c>
      <c r="F28" s="20">
        <v>3.9280000000000002E-2</v>
      </c>
      <c r="G28" s="21">
        <v>0.99999999999999967</v>
      </c>
      <c r="H28" s="22">
        <v>-3.0769999999999999E-2</v>
      </c>
      <c r="I28" s="23">
        <v>1</v>
      </c>
      <c r="J28" s="20">
        <v>1.7930000000000001E-2</v>
      </c>
      <c r="K28" s="21">
        <v>1</v>
      </c>
      <c r="L28" s="22">
        <v>1.477E-2</v>
      </c>
      <c r="M28" s="23">
        <v>0.99999999999999944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21</v>
      </c>
      <c r="B29" s="24">
        <v>-2121.5540000000001</v>
      </c>
      <c r="C29" s="25"/>
      <c r="D29" s="26">
        <v>72187.388000000006</v>
      </c>
      <c r="E29" s="25"/>
      <c r="F29" s="24">
        <v>59576.968999999997</v>
      </c>
      <c r="G29" s="25"/>
      <c r="H29" s="26">
        <v>-47997.46</v>
      </c>
      <c r="I29" s="25"/>
      <c r="J29" s="24">
        <v>26869.448</v>
      </c>
      <c r="K29" s="25"/>
      <c r="L29" s="26">
        <v>22001.598000000002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22</v>
      </c>
      <c r="B31" s="29">
        <v>-8.5341440162992992E-3</v>
      </c>
      <c r="C31" s="15">
        <v>0.54011108347748404</v>
      </c>
      <c r="D31" s="31">
        <v>2.2661861025851941E-2</v>
      </c>
      <c r="E31" s="31">
        <v>0.52479153957362445</v>
      </c>
      <c r="F31" s="29">
        <v>4.8266833866968881E-3</v>
      </c>
      <c r="G31" s="15">
        <v>0.50051005664398329</v>
      </c>
      <c r="H31" s="31">
        <v>-1.249180807513077E-2</v>
      </c>
      <c r="I31" s="31">
        <v>0.53524792980816427</v>
      </c>
      <c r="J31" s="29">
        <v>-4.1622676309583939E-3</v>
      </c>
      <c r="K31" s="15">
        <v>0.447778571001894</v>
      </c>
      <c r="L31" s="31">
        <v>-9.092851907128963E-3</v>
      </c>
      <c r="M31" s="31">
        <v>0.51905124494149013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23</v>
      </c>
      <c r="B32" s="29">
        <v>7.0441440162993026E-3</v>
      </c>
      <c r="C32" s="15">
        <v>0.45988891652251596</v>
      </c>
      <c r="D32" s="30">
        <v>2.6048138974148025E-2</v>
      </c>
      <c r="E32" s="16">
        <v>0.47520846042637549</v>
      </c>
      <c r="F32" s="29">
        <v>3.4453316613303107E-2</v>
      </c>
      <c r="G32" s="15">
        <v>0.49948994335601665</v>
      </c>
      <c r="H32" s="30">
        <v>-1.8278191924869271E-2</v>
      </c>
      <c r="I32" s="16">
        <v>0.46475207019183568</v>
      </c>
      <c r="J32" s="29">
        <v>2.2092267630958402E-2</v>
      </c>
      <c r="K32" s="15">
        <v>0.55222142899810589</v>
      </c>
      <c r="L32" s="30">
        <v>2.3862851907128974E-2</v>
      </c>
      <c r="M32" s="16">
        <v>0.48094875505850992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20</v>
      </c>
      <c r="B33" s="20">
        <v>-1.4899999999999965E-3</v>
      </c>
      <c r="C33" s="21">
        <v>1</v>
      </c>
      <c r="D33" s="22">
        <v>4.8709999999999962E-2</v>
      </c>
      <c r="E33" s="23">
        <v>1</v>
      </c>
      <c r="F33" s="20">
        <v>3.9279999999999995E-2</v>
      </c>
      <c r="G33" s="21">
        <v>1</v>
      </c>
      <c r="H33" s="22">
        <v>-3.077000000000004E-2</v>
      </c>
      <c r="I33" s="23">
        <v>1</v>
      </c>
      <c r="J33" s="20">
        <v>1.7930000000000008E-2</v>
      </c>
      <c r="K33" s="21">
        <v>0.99999999999999989</v>
      </c>
      <c r="L33" s="22">
        <v>1.4770000000000011E-2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24</v>
      </c>
      <c r="B35" s="29">
        <v>-3.0956243477127821E-4</v>
      </c>
      <c r="C35" s="15">
        <v>0.98105331229293569</v>
      </c>
      <c r="D35" s="16">
        <v>4.1241953889520032E-2</v>
      </c>
      <c r="E35" s="31">
        <v>0.97815979975922795</v>
      </c>
      <c r="F35" s="29">
        <v>4.1784505770547611E-2</v>
      </c>
      <c r="G35" s="15">
        <v>0.96840783777127204</v>
      </c>
      <c r="H35" s="16">
        <v>-2.3057438019317436E-2</v>
      </c>
      <c r="I35" s="31">
        <v>0.97490880896747523</v>
      </c>
      <c r="J35" s="29">
        <v>1.5456435223100855E-2</v>
      </c>
      <c r="K35" s="15">
        <v>0.97909303033451345</v>
      </c>
      <c r="L35" s="16">
        <v>1.4148777562029893E-2</v>
      </c>
      <c r="M35" s="31">
        <v>0.978861706908705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25</v>
      </c>
      <c r="B36" s="29">
        <v>-1.1804375652287203E-3</v>
      </c>
      <c r="C36" s="15">
        <v>1.8946687707064345E-2</v>
      </c>
      <c r="D36" s="30">
        <v>7.4680461104799341E-3</v>
      </c>
      <c r="E36" s="16">
        <v>2.1840200240771976E-2</v>
      </c>
      <c r="F36" s="29">
        <v>-2.5045057705476216E-3</v>
      </c>
      <c r="G36" s="15">
        <v>3.1592162228728002E-2</v>
      </c>
      <c r="H36" s="30">
        <v>-7.7125619806825895E-3</v>
      </c>
      <c r="I36" s="16">
        <v>2.5091191032524673E-2</v>
      </c>
      <c r="J36" s="29">
        <v>2.4735647768991576E-3</v>
      </c>
      <c r="K36" s="15">
        <v>2.0906969665486479E-2</v>
      </c>
      <c r="L36" s="30">
        <v>6.2122243797011964E-4</v>
      </c>
      <c r="M36" s="16">
        <v>2.1138293091295068E-2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20</v>
      </c>
      <c r="B37" s="20">
        <v>-1.4899999999999985E-3</v>
      </c>
      <c r="C37" s="21">
        <v>1</v>
      </c>
      <c r="D37" s="22">
        <v>4.8709999999999969E-2</v>
      </c>
      <c r="E37" s="23">
        <v>0.99999999999999989</v>
      </c>
      <c r="F37" s="20">
        <v>3.9279999999999989E-2</v>
      </c>
      <c r="G37" s="21">
        <v>1</v>
      </c>
      <c r="H37" s="22">
        <v>-3.0770000000000026E-2</v>
      </c>
      <c r="I37" s="23">
        <v>0.99999999999999989</v>
      </c>
      <c r="J37" s="20">
        <v>1.7930000000000012E-2</v>
      </c>
      <c r="K37" s="21">
        <v>0.99999999999999989</v>
      </c>
      <c r="L37" s="22">
        <v>1.4770000000000012E-2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7"/>
      <c r="E39" s="78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26</v>
      </c>
      <c r="B40" s="79" t="s">
        <v>58</v>
      </c>
      <c r="C40" s="80"/>
      <c r="D40" s="75" t="s">
        <v>59</v>
      </c>
      <c r="E40" s="81"/>
      <c r="F40" s="79" t="s">
        <v>60</v>
      </c>
      <c r="G40" s="80"/>
      <c r="H40" s="75" t="s">
        <v>60</v>
      </c>
      <c r="I40" s="76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3.4144878664259665E-3</v>
      </c>
      <c r="C42" s="47">
        <v>0.17623344068947466</v>
      </c>
      <c r="D42" s="48">
        <v>5.7742977650654254E-3</v>
      </c>
      <c r="E42" s="48">
        <v>0.16700043101494913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3" t="s">
        <v>43</v>
      </c>
      <c r="B43" s="46">
        <v>1.5603339465159911E-4</v>
      </c>
      <c r="C43" s="47">
        <v>1.3941538687901994E-2</v>
      </c>
      <c r="D43" s="48">
        <v>6.588786729117052E-4</v>
      </c>
      <c r="E43" s="48">
        <v>3.1565904830574885E-2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1.1952940279932144E-4</v>
      </c>
      <c r="C46" s="47">
        <v>7.8108899603204893E-4</v>
      </c>
      <c r="D46" s="48">
        <v>1.9549458301223145E-4</v>
      </c>
      <c r="E46" s="48">
        <v>6.1259367489665368E-4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4.2446237696954089E-2</v>
      </c>
      <c r="C48" s="47">
        <v>0.43169592277018237</v>
      </c>
      <c r="D48" s="48">
        <v>3.1881669380824831E-2</v>
      </c>
      <c r="E48" s="48">
        <v>0.43034333564947308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1.9522146659833976E-2</v>
      </c>
      <c r="C49" s="47">
        <v>0.26443305808205614</v>
      </c>
      <c r="D49" s="48">
        <v>2.7377821492606664E-2</v>
      </c>
      <c r="E49" s="48">
        <v>0.26892111255148071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2.0184433831836046E-3</v>
      </c>
      <c r="C50" s="47">
        <v>8.2474170763444363E-2</v>
      </c>
      <c r="D50" s="48">
        <v>4.281746188502758E-3</v>
      </c>
      <c r="E50" s="48">
        <v>7.314142273662505E-2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1.2427665674740558E-3</v>
      </c>
      <c r="C51" s="47">
        <v>8.7120530288584928E-3</v>
      </c>
      <c r="D51" s="48">
        <v>1.3865848793741923E-3</v>
      </c>
      <c r="E51" s="48">
        <v>9.3187666832625117E-3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5.6883261254905772E-4</v>
      </c>
      <c r="C52" s="47">
        <v>6.7501483062131233E-4</v>
      </c>
      <c r="D52" s="48">
        <v>2.9268566814465114E-4</v>
      </c>
      <c r="E52" s="48">
        <v>9.5331109773130979E-4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2.2454333189958438E-2</v>
      </c>
      <c r="C53" s="47">
        <v>9.7938475006800804E-3</v>
      </c>
      <c r="D53" s="48">
        <v>2.1465419261460197E-2</v>
      </c>
      <c r="E53" s="48">
        <v>4.3129842575989896E-3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-3.2724988276774964E-3</v>
      </c>
      <c r="C54" s="47">
        <v>1.2275006840350184E-3</v>
      </c>
      <c r="D54" s="48">
        <v>-3.7936263221688173E-3</v>
      </c>
      <c r="E54" s="48">
        <v>2.2709456018168406E-3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-4.4981166272798641E-4</v>
      </c>
      <c r="C55" s="47">
        <v>7.6376480065942359E-3</v>
      </c>
      <c r="D55" s="48">
        <v>-1.2680739811330512E-4</v>
      </c>
      <c r="E55" s="48">
        <v>8.5304889857533168E-3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1.1610448650046599E-6</v>
      </c>
      <c r="C56" s="47">
        <v>7.0334327263415174E-5</v>
      </c>
      <c r="D56" s="48">
        <v>1.9715572563185215E-6</v>
      </c>
      <c r="E56" s="48">
        <v>6.7887729992965757E-5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7.8338671710385306E-5</v>
      </c>
      <c r="C57" s="47">
        <v>2.3243816328557686E-3</v>
      </c>
      <c r="D57" s="48">
        <v>2.038642711231294E-4</v>
      </c>
      <c r="E57" s="48">
        <v>2.960815185844358E-3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74" t="s">
        <v>44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19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27</v>
      </c>
      <c r="B61" s="49">
        <v>8.8300000000000003E-2</v>
      </c>
      <c r="C61" s="50">
        <v>0.99999999999999989</v>
      </c>
      <c r="D61" s="67">
        <v>8.9599999999999999E-2</v>
      </c>
      <c r="E61" s="52">
        <v>0.99999999999999989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21</v>
      </c>
      <c r="B62" s="53">
        <v>129642.803</v>
      </c>
      <c r="C62" s="54"/>
      <c r="D62" s="55">
        <v>130516.389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22</v>
      </c>
      <c r="B64" s="56">
        <v>1.8828257348992405E-2</v>
      </c>
      <c r="C64" s="47">
        <v>0.52180422656503056</v>
      </c>
      <c r="D64" s="57">
        <v>-7.1966642469593056E-3</v>
      </c>
      <c r="E64" s="48">
        <v>0.51124840424110685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23</v>
      </c>
      <c r="B65" s="46">
        <v>6.9471742651007598E-2</v>
      </c>
      <c r="C65" s="47">
        <v>0.47819577343496938</v>
      </c>
      <c r="D65" s="57">
        <v>9.6796664246959305E-2</v>
      </c>
      <c r="E65" s="48">
        <v>0.48875159575889332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27</v>
      </c>
      <c r="B66" s="49">
        <v>8.8300000000000003E-2</v>
      </c>
      <c r="C66" s="50">
        <v>1</v>
      </c>
      <c r="D66" s="51">
        <v>8.9599999999999999E-2</v>
      </c>
      <c r="E66" s="52">
        <v>1.0000000000000002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24</v>
      </c>
      <c r="B68" s="56">
        <v>8.4413936551479329E-2</v>
      </c>
      <c r="C68" s="47">
        <v>0.97587364994114523</v>
      </c>
      <c r="D68" s="57">
        <v>9.1005873775533264E-2</v>
      </c>
      <c r="E68" s="48">
        <v>0.97674741600568826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25</v>
      </c>
      <c r="B69" s="56">
        <v>3.8860634485206741E-3</v>
      </c>
      <c r="C69" s="47">
        <v>2.4126350058854773E-2</v>
      </c>
      <c r="D69" s="57">
        <v>-1.4058737755332645E-3</v>
      </c>
      <c r="E69" s="48">
        <v>2.3252583994311755E-2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27</v>
      </c>
      <c r="B70" s="49">
        <v>8.8300000000000003E-2</v>
      </c>
      <c r="C70" s="50">
        <v>1</v>
      </c>
      <c r="D70" s="51">
        <v>8.9599999999999999E-2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33FC9-FC7F-4F50-AB52-A2CD755D175E}">
  <sheetPr codeName="גיליון28">
    <tabColor rgb="FF92D050"/>
  </sheetPr>
  <dimension ref="A1:AB76"/>
  <sheetViews>
    <sheetView showGridLines="0" rightToLeft="1" topLeftCell="A46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8" t="s">
        <v>35</v>
      </c>
      <c r="B1" s="61"/>
      <c r="D1" s="2"/>
    </row>
    <row r="2" spans="1:26" ht="18.75" x14ac:dyDescent="0.3">
      <c r="A2" s="69" t="s">
        <v>36</v>
      </c>
      <c r="B2" s="71">
        <v>1534</v>
      </c>
    </row>
    <row r="3" spans="1:26" ht="18.75" x14ac:dyDescent="0.3">
      <c r="A3" s="70" t="s">
        <v>37</v>
      </c>
      <c r="B3" s="72" t="s">
        <v>31</v>
      </c>
    </row>
    <row r="4" spans="1:26" ht="18.75" x14ac:dyDescent="0.3">
      <c r="A4" s="69" t="s">
        <v>38</v>
      </c>
      <c r="B4" s="72" t="s">
        <v>28</v>
      </c>
    </row>
    <row r="5" spans="1:26" ht="18.75" x14ac:dyDescent="0.3">
      <c r="A5" s="70" t="s">
        <v>39</v>
      </c>
      <c r="B5" s="71">
        <v>2024</v>
      </c>
      <c r="C5" s="70" t="s">
        <v>40</v>
      </c>
      <c r="D5" s="71" t="s">
        <v>45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46</v>
      </c>
      <c r="C7" s="7"/>
      <c r="D7" s="8" t="s">
        <v>47</v>
      </c>
      <c r="E7" s="9"/>
      <c r="F7" s="6" t="s">
        <v>48</v>
      </c>
      <c r="G7" s="7"/>
      <c r="H7" s="8" t="s">
        <v>49</v>
      </c>
      <c r="I7" s="9"/>
      <c r="J7" s="6" t="s">
        <v>50</v>
      </c>
      <c r="K7" s="7"/>
      <c r="L7" s="8" t="s">
        <v>51</v>
      </c>
      <c r="M7" s="9"/>
      <c r="N7" s="6" t="s">
        <v>52</v>
      </c>
      <c r="O7" s="7"/>
      <c r="P7" s="8" t="s">
        <v>53</v>
      </c>
      <c r="Q7" s="9"/>
      <c r="R7" s="6" t="s">
        <v>54</v>
      </c>
      <c r="S7" s="7"/>
      <c r="T7" s="8" t="s">
        <v>55</v>
      </c>
      <c r="U7" s="8"/>
      <c r="V7" s="6" t="s">
        <v>56</v>
      </c>
      <c r="W7" s="7"/>
      <c r="X7" s="8" t="s">
        <v>57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7.8227066766593529E-4</v>
      </c>
      <c r="C9" s="15">
        <v>7.8675987312710291E-2</v>
      </c>
      <c r="D9" s="16">
        <v>6.3870376545233087E-5</v>
      </c>
      <c r="E9" s="16">
        <v>7.6777702560928404E-2</v>
      </c>
      <c r="F9" s="15">
        <v>6.998279543515909E-4</v>
      </c>
      <c r="G9" s="15">
        <v>6.7574676061660371E-2</v>
      </c>
      <c r="H9" s="16">
        <v>6.1538569369394558E-4</v>
      </c>
      <c r="I9" s="16">
        <v>7.3802330710484879E-2</v>
      </c>
      <c r="J9" s="15">
        <v>5.0377607722642062E-5</v>
      </c>
      <c r="K9" s="15">
        <v>6.2864569906255316E-2</v>
      </c>
      <c r="L9" s="16">
        <v>2.792797197643743E-4</v>
      </c>
      <c r="M9" s="16">
        <v>6.7534665418669815E-2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73" t="s">
        <v>43</v>
      </c>
      <c r="B10" s="15">
        <v>-8.4017365504152476E-4</v>
      </c>
      <c r="C10" s="15">
        <v>0.16449296253327858</v>
      </c>
      <c r="D10" s="16">
        <v>4.421255929616967E-4</v>
      </c>
      <c r="E10" s="16">
        <v>0.1694283327304662</v>
      </c>
      <c r="F10" s="15">
        <v>-7.6182948809115148E-4</v>
      </c>
      <c r="G10" s="15">
        <v>0.16886241642721753</v>
      </c>
      <c r="H10" s="16">
        <v>-1.9050775803555364E-3</v>
      </c>
      <c r="I10" s="16">
        <v>0.16833047524728356</v>
      </c>
      <c r="J10" s="15">
        <v>-1.3915003110564494E-3</v>
      </c>
      <c r="K10" s="15">
        <v>0.17482671687371376</v>
      </c>
      <c r="L10" s="16">
        <v>2.0600078261391189E-5</v>
      </c>
      <c r="M10" s="16">
        <v>0.17410365781610398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-2.840706423596182E-5</v>
      </c>
      <c r="C13" s="15">
        <v>4.0787076161691353E-2</v>
      </c>
      <c r="D13" s="16">
        <v>3.1012647484360582E-4</v>
      </c>
      <c r="E13" s="16">
        <v>4.1721659847188751E-2</v>
      </c>
      <c r="F13" s="15">
        <v>1.7790763857134217E-4</v>
      </c>
      <c r="G13" s="15">
        <v>4.1897002938444568E-2</v>
      </c>
      <c r="H13" s="16">
        <v>-2.5330637618851194E-4</v>
      </c>
      <c r="I13" s="16">
        <v>4.0196620846816376E-2</v>
      </c>
      <c r="J13" s="15">
        <v>-1.173650749607567E-4</v>
      </c>
      <c r="K13" s="15">
        <v>4.0420925050653311E-2</v>
      </c>
      <c r="L13" s="16">
        <v>-9.6371081933449177E-5</v>
      </c>
      <c r="M13" s="16">
        <v>3.6170484791980137E-2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-3.6825044285837094E-4</v>
      </c>
      <c r="C16" s="15">
        <v>0.70810733935358805</v>
      </c>
      <c r="D16" s="16">
        <v>1.5726997043406701E-2</v>
      </c>
      <c r="E16" s="16">
        <v>0.70431329658504782</v>
      </c>
      <c r="F16" s="15">
        <v>2.2888713691970819E-2</v>
      </c>
      <c r="G16" s="15">
        <v>0.71406607746785455</v>
      </c>
      <c r="H16" s="16">
        <v>-1.1534547101049527E-2</v>
      </c>
      <c r="I16" s="16">
        <v>0.71056666858695727</v>
      </c>
      <c r="J16" s="15">
        <v>8.1158872772498815E-3</v>
      </c>
      <c r="K16" s="15">
        <v>0.71548062624236308</v>
      </c>
      <c r="L16" s="16">
        <v>7.0061423698268635E-3</v>
      </c>
      <c r="M16" s="16">
        <v>0.71957764551029135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-3.1293774185226587E-5</v>
      </c>
      <c r="C17" s="15">
        <v>2.6664378727545967E-3</v>
      </c>
      <c r="D17" s="16">
        <v>-2.5952326872941368E-5</v>
      </c>
      <c r="E17" s="16">
        <v>2.4374139913041553E-3</v>
      </c>
      <c r="F17" s="15">
        <v>1.2970748494361915E-4</v>
      </c>
      <c r="G17" s="15">
        <v>3.4741874018976186E-3</v>
      </c>
      <c r="H17" s="16">
        <v>7.2635882357673746E-6</v>
      </c>
      <c r="I17" s="16">
        <v>3.6645629758347703E-3</v>
      </c>
      <c r="J17" s="15">
        <v>-4.7105931162366801E-5</v>
      </c>
      <c r="K17" s="15">
        <v>5.858778468467319E-3</v>
      </c>
      <c r="L17" s="16">
        <v>3.8871575379202333E-5</v>
      </c>
      <c r="M17" s="16">
        <v>2.1534956952580864E-3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7.6071902916766067E-4</v>
      </c>
      <c r="C20" s="15">
        <v>2.480148402539034E-3</v>
      </c>
      <c r="D20" s="16">
        <v>3.1004405485189237E-3</v>
      </c>
      <c r="E20" s="16">
        <v>2.83926218735736E-3</v>
      </c>
      <c r="F20" s="15">
        <v>3.5233424723715311E-5</v>
      </c>
      <c r="G20" s="15">
        <v>1.6063472961231943E-3</v>
      </c>
      <c r="H20" s="16">
        <v>-3.7247939767025059E-3</v>
      </c>
      <c r="I20" s="16">
        <v>8.9416926419385245E-4</v>
      </c>
      <c r="J20" s="15">
        <v>1.7595347324031068E-3</v>
      </c>
      <c r="K20" s="15">
        <v>-2.8937204652976539E-3</v>
      </c>
      <c r="L20" s="16">
        <v>9.0080316522325298E-4</v>
      </c>
      <c r="M20" s="16">
        <v>-1.9762460960488244E-3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-3.4486476051251186E-4</v>
      </c>
      <c r="C21" s="15">
        <v>5.5820516970860609E-4</v>
      </c>
      <c r="D21" s="16">
        <v>-2.4856690083429413E-4</v>
      </c>
      <c r="E21" s="16">
        <v>2.9094223785340796E-4</v>
      </c>
      <c r="F21" s="15">
        <v>-2.8401434440065185E-4</v>
      </c>
      <c r="G21" s="15">
        <v>3.5570789834836155E-4</v>
      </c>
      <c r="H21" s="16">
        <v>2.7696801835995076E-4</v>
      </c>
      <c r="I21" s="16">
        <v>4.6573023215919446E-4</v>
      </c>
      <c r="J21" s="15">
        <v>-2.8936171669904296E-4</v>
      </c>
      <c r="K21" s="15">
        <v>1.3329310945785343E-3</v>
      </c>
      <c r="L21" s="16">
        <v>-6.7443545515007174E-4</v>
      </c>
      <c r="M21" s="16">
        <v>6.5142830674769323E-4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2.2318431937291832E-3</v>
      </c>
      <c r="D23" s="16">
        <v>2.0959191431076256E-5</v>
      </c>
      <c r="E23" s="16">
        <v>2.1913898598539794E-3</v>
      </c>
      <c r="F23" s="15">
        <v>1.4453637930720009E-5</v>
      </c>
      <c r="G23" s="15">
        <v>2.1635845084534578E-3</v>
      </c>
      <c r="H23" s="16">
        <v>8.1077340064184599E-6</v>
      </c>
      <c r="I23" s="16">
        <v>2.0794421362700642E-3</v>
      </c>
      <c r="J23" s="15">
        <v>9.53341650298411E-6</v>
      </c>
      <c r="K23" s="15">
        <v>2.1091728292663859E-3</v>
      </c>
      <c r="L23" s="16">
        <v>5.1096286284353481E-6</v>
      </c>
      <c r="M23" s="16">
        <v>1.7848685569976203E-3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74" t="s">
        <v>44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19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20</v>
      </c>
      <c r="B28" s="20">
        <v>-6.9999999999999994E-5</v>
      </c>
      <c r="C28" s="21">
        <v>0.99999999999999967</v>
      </c>
      <c r="D28" s="22">
        <v>1.9390000000000001E-2</v>
      </c>
      <c r="E28" s="23">
        <v>1</v>
      </c>
      <c r="F28" s="20">
        <v>2.29E-2</v>
      </c>
      <c r="G28" s="21">
        <v>0.99999999999999967</v>
      </c>
      <c r="H28" s="22">
        <v>-1.651E-2</v>
      </c>
      <c r="I28" s="23">
        <v>0.99999999999999989</v>
      </c>
      <c r="J28" s="20">
        <v>8.09E-3</v>
      </c>
      <c r="K28" s="21">
        <v>1</v>
      </c>
      <c r="L28" s="22">
        <v>7.4799999999999997E-3</v>
      </c>
      <c r="M28" s="23">
        <v>1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21</v>
      </c>
      <c r="B29" s="24">
        <v>-23.257999999999999</v>
      </c>
      <c r="C29" s="25"/>
      <c r="D29" s="26">
        <v>5212.79</v>
      </c>
      <c r="E29" s="25"/>
      <c r="F29" s="24">
        <v>6250.174</v>
      </c>
      <c r="G29" s="25"/>
      <c r="H29" s="26">
        <v>-4598.9229999999998</v>
      </c>
      <c r="I29" s="25"/>
      <c r="J29" s="24">
        <v>2220.7620000000002</v>
      </c>
      <c r="K29" s="25"/>
      <c r="L29" s="26">
        <v>2050.884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22</v>
      </c>
      <c r="B31" s="29">
        <v>-4.3279273431802727E-4</v>
      </c>
      <c r="C31" s="15">
        <v>0.7125992231232946</v>
      </c>
      <c r="D31" s="31">
        <v>1.1308227016636575E-2</v>
      </c>
      <c r="E31" s="31">
        <v>0.71369218309838967</v>
      </c>
      <c r="F31" s="29">
        <v>6.9200316232893577E-3</v>
      </c>
      <c r="G31" s="15">
        <v>0.71459849215982096</v>
      </c>
      <c r="H31" s="31">
        <v>-8.2094446089648384E-3</v>
      </c>
      <c r="I31" s="31">
        <v>0.70672604825247054</v>
      </c>
      <c r="J31" s="29">
        <v>-1.0888502387195393E-3</v>
      </c>
      <c r="K31" s="15">
        <v>0.70398760692453599</v>
      </c>
      <c r="L31" s="31">
        <v>-3.7890659339815946E-3</v>
      </c>
      <c r="M31" s="31">
        <v>0.7022281863757398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23</v>
      </c>
      <c r="B32" s="29">
        <v>3.6279273431802746E-4</v>
      </c>
      <c r="C32" s="15">
        <v>0.28740077687670529</v>
      </c>
      <c r="D32" s="30">
        <v>8.0817729833634229E-3</v>
      </c>
      <c r="E32" s="16">
        <v>0.28630781690161028</v>
      </c>
      <c r="F32" s="29">
        <v>1.5979968376710646E-2</v>
      </c>
      <c r="G32" s="15">
        <v>0.28540150784017881</v>
      </c>
      <c r="H32" s="30">
        <v>-8.3005553910351654E-3</v>
      </c>
      <c r="I32" s="16">
        <v>0.29327395174752946</v>
      </c>
      <c r="J32" s="29">
        <v>9.1788502387195377E-3</v>
      </c>
      <c r="K32" s="15">
        <v>0.29601239307546412</v>
      </c>
      <c r="L32" s="30">
        <v>1.1269065933981599E-2</v>
      </c>
      <c r="M32" s="16">
        <v>0.29777181362426008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20</v>
      </c>
      <c r="B33" s="20">
        <v>-6.9999999999999804E-5</v>
      </c>
      <c r="C33" s="21">
        <v>0.99999999999999989</v>
      </c>
      <c r="D33" s="22">
        <v>1.9389999999999998E-2</v>
      </c>
      <c r="E33" s="23">
        <v>1</v>
      </c>
      <c r="F33" s="20">
        <v>2.2900000000000004E-2</v>
      </c>
      <c r="G33" s="21">
        <v>0.99999999999999978</v>
      </c>
      <c r="H33" s="22">
        <v>-1.6510000000000004E-2</v>
      </c>
      <c r="I33" s="23">
        <v>1</v>
      </c>
      <c r="J33" s="20">
        <v>8.0899999999999982E-3</v>
      </c>
      <c r="K33" s="21">
        <v>1</v>
      </c>
      <c r="L33" s="22">
        <v>7.480000000000004E-3</v>
      </c>
      <c r="M33" s="23">
        <v>0.99999999999999989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24</v>
      </c>
      <c r="B35" s="29">
        <v>3.1856637256783189E-4</v>
      </c>
      <c r="C35" s="15">
        <v>0.99681025972577642</v>
      </c>
      <c r="D35" s="16">
        <v>1.8878944563416718E-2</v>
      </c>
      <c r="E35" s="31">
        <v>0.99740586800988906</v>
      </c>
      <c r="F35" s="29">
        <v>2.4701538805447645E-2</v>
      </c>
      <c r="G35" s="15">
        <v>0.99678782187208459</v>
      </c>
      <c r="H35" s="16">
        <v>-1.5151513288673674E-2</v>
      </c>
      <c r="I35" s="31">
        <v>0.99859673864461374</v>
      </c>
      <c r="J35" s="29">
        <v>8.0324143310369009E-3</v>
      </c>
      <c r="K35" s="15">
        <v>0.99995731810844435</v>
      </c>
      <c r="L35" s="16">
        <v>8.4733247646870749E-3</v>
      </c>
      <c r="M35" s="31">
        <v>0.99991098246483612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25</v>
      </c>
      <c r="B36" s="29">
        <v>-3.8856637256783164E-4</v>
      </c>
      <c r="C36" s="15">
        <v>3.1897402742236272E-3</v>
      </c>
      <c r="D36" s="30">
        <v>5.1105543658327708E-4</v>
      </c>
      <c r="E36" s="16">
        <v>2.5941319901108518E-3</v>
      </c>
      <c r="F36" s="29">
        <v>-1.8015388054476449E-3</v>
      </c>
      <c r="G36" s="15">
        <v>3.2121781279153857E-3</v>
      </c>
      <c r="H36" s="30">
        <v>-1.3584867113263272E-3</v>
      </c>
      <c r="I36" s="16">
        <v>1.403261355386333E-3</v>
      </c>
      <c r="J36" s="29">
        <v>5.7585668963096735E-5</v>
      </c>
      <c r="K36" s="15">
        <v>4.2681891555677863E-5</v>
      </c>
      <c r="L36" s="30">
        <v>-9.9332476468707198E-4</v>
      </c>
      <c r="M36" s="16">
        <v>8.9017535163680913E-5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20</v>
      </c>
      <c r="B37" s="20">
        <v>-6.999999999999975E-5</v>
      </c>
      <c r="C37" s="21">
        <v>1</v>
      </c>
      <c r="D37" s="22">
        <v>1.9389999999999994E-2</v>
      </c>
      <c r="E37" s="23">
        <v>0.99999999999999989</v>
      </c>
      <c r="F37" s="20">
        <v>2.29E-2</v>
      </c>
      <c r="G37" s="21">
        <v>1</v>
      </c>
      <c r="H37" s="22">
        <v>-1.651E-2</v>
      </c>
      <c r="I37" s="23">
        <v>1</v>
      </c>
      <c r="J37" s="20">
        <v>8.0899999999999982E-3</v>
      </c>
      <c r="K37" s="21">
        <v>1</v>
      </c>
      <c r="L37" s="22">
        <v>7.4800000000000031E-3</v>
      </c>
      <c r="M37" s="23">
        <v>0.99999999999999978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7"/>
      <c r="E39" s="78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26</v>
      </c>
      <c r="B40" s="79" t="s">
        <v>58</v>
      </c>
      <c r="C40" s="80"/>
      <c r="D40" s="75" t="s">
        <v>59</v>
      </c>
      <c r="E40" s="81"/>
      <c r="F40" s="79" t="s">
        <v>60</v>
      </c>
      <c r="G40" s="80"/>
      <c r="H40" s="75" t="s">
        <v>60</v>
      </c>
      <c r="I40" s="76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1.5466111506070579E-3</v>
      </c>
      <c r="C42" s="47">
        <v>7.4342788645099689E-2</v>
      </c>
      <c r="D42" s="48">
        <v>2.493333065896719E-3</v>
      </c>
      <c r="E42" s="48">
        <v>7.1204988661784846E-2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3" t="s">
        <v>43</v>
      </c>
      <c r="B43" s="46">
        <v>-1.1362229883098468E-3</v>
      </c>
      <c r="C43" s="47">
        <v>0.16759457056365412</v>
      </c>
      <c r="D43" s="48">
        <v>-4.4552736475575658E-3</v>
      </c>
      <c r="E43" s="48">
        <v>0.17000742693801063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4.6553810786771827E-4</v>
      </c>
      <c r="C46" s="47">
        <v>4.1468579649108224E-2</v>
      </c>
      <c r="D46" s="48">
        <v>-1.3607434120148748E-5</v>
      </c>
      <c r="E46" s="48">
        <v>4.019896160612909E-2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3.8693410766099987E-2</v>
      </c>
      <c r="C49" s="47">
        <v>0.70882890446883018</v>
      </c>
      <c r="D49" s="48">
        <v>4.2088466737269507E-2</v>
      </c>
      <c r="E49" s="48">
        <v>0.71201860895768376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7.2859502587632795E-5</v>
      </c>
      <c r="C50" s="47">
        <v>2.859346421985457E-3</v>
      </c>
      <c r="D50" s="48">
        <v>7.0971117748559365E-5</v>
      </c>
      <c r="E50" s="48">
        <v>3.3758127342527577E-3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3.8992144647577473E-3</v>
      </c>
      <c r="C53" s="47">
        <v>2.3085859620065297E-3</v>
      </c>
      <c r="D53" s="48">
        <v>2.8218444076073055E-3</v>
      </c>
      <c r="E53" s="48">
        <v>4.9166009814449393E-4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-8.7713491716954345E-4</v>
      </c>
      <c r="C54" s="47">
        <v>4.016184353034585E-4</v>
      </c>
      <c r="D54" s="48">
        <v>-1.5635823009302746E-3</v>
      </c>
      <c r="E54" s="48">
        <v>6.0915748989929955E-4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3.5723913559250286E-5</v>
      </c>
      <c r="C56" s="47">
        <v>2.1956058540122067E-3</v>
      </c>
      <c r="D56" s="48">
        <v>5.784805408589833E-5</v>
      </c>
      <c r="E56" s="48">
        <v>2.0933835140951149E-3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74" t="s">
        <v>44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19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27</v>
      </c>
      <c r="B61" s="49">
        <v>4.2700000000000002E-2</v>
      </c>
      <c r="C61" s="50">
        <v>1</v>
      </c>
      <c r="D61" s="67">
        <v>4.1500000000000002E-2</v>
      </c>
      <c r="E61" s="52">
        <v>1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21</v>
      </c>
      <c r="B62" s="53">
        <v>11439.706</v>
      </c>
      <c r="C62" s="54"/>
      <c r="D62" s="55">
        <v>11112.429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22</v>
      </c>
      <c r="B64" s="56">
        <v>1.7865796268812906E-2</v>
      </c>
      <c r="C64" s="47">
        <v>0.71362996612716845</v>
      </c>
      <c r="D64" s="57">
        <v>4.5895447435420067E-3</v>
      </c>
      <c r="E64" s="48">
        <v>0.70897195665570856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23</v>
      </c>
      <c r="B65" s="46">
        <v>2.4834203731187096E-2</v>
      </c>
      <c r="C65" s="47">
        <v>0.28637003387283144</v>
      </c>
      <c r="D65" s="57">
        <v>3.6910455256457995E-2</v>
      </c>
      <c r="E65" s="48">
        <v>0.29102804334429133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27</v>
      </c>
      <c r="B66" s="49">
        <v>4.2700000000000002E-2</v>
      </c>
      <c r="C66" s="50">
        <v>0.99999999999999989</v>
      </c>
      <c r="D66" s="51">
        <v>4.1500000000000002E-2</v>
      </c>
      <c r="E66" s="52">
        <v>0.99999999999999989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24</v>
      </c>
      <c r="B68" s="56">
        <v>4.4379420559590654E-2</v>
      </c>
      <c r="C68" s="47">
        <v>0.99700131653591662</v>
      </c>
      <c r="D68" s="57">
        <v>4.5602565263078487E-2</v>
      </c>
      <c r="E68" s="48">
        <v>0.99824483147094079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25</v>
      </c>
      <c r="B69" s="56">
        <v>-1.6794205595906525E-3</v>
      </c>
      <c r="C69" s="47">
        <v>2.9986834640832881E-3</v>
      </c>
      <c r="D69" s="57">
        <v>-4.1025652630784851E-3</v>
      </c>
      <c r="E69" s="48">
        <v>1.7551685290592594E-3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27</v>
      </c>
      <c r="B70" s="49">
        <v>4.2700000000000002E-2</v>
      </c>
      <c r="C70" s="50">
        <v>0.99999999999999989</v>
      </c>
      <c r="D70" s="51">
        <v>4.1500000000000002E-2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CE13E-49B1-4800-AE9E-D34536E0B0E9}">
  <sheetPr codeName="גיליון29">
    <tabColor rgb="FF92D050"/>
  </sheetPr>
  <dimension ref="A1:AB76"/>
  <sheetViews>
    <sheetView showGridLines="0" rightToLeft="1" topLeftCell="A49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8" t="s">
        <v>35</v>
      </c>
      <c r="B1" s="61"/>
      <c r="D1" s="2"/>
    </row>
    <row r="2" spans="1:26" ht="18.75" x14ac:dyDescent="0.3">
      <c r="A2" s="69" t="s">
        <v>36</v>
      </c>
      <c r="B2" s="71">
        <v>12599</v>
      </c>
    </row>
    <row r="3" spans="1:26" ht="18.75" x14ac:dyDescent="0.3">
      <c r="A3" s="70" t="s">
        <v>37</v>
      </c>
      <c r="B3" s="72" t="s">
        <v>33</v>
      </c>
    </row>
    <row r="4" spans="1:26" ht="18.75" x14ac:dyDescent="0.3">
      <c r="A4" s="69" t="s">
        <v>38</v>
      </c>
      <c r="B4" s="72" t="s">
        <v>28</v>
      </c>
    </row>
    <row r="5" spans="1:26" ht="18.75" x14ac:dyDescent="0.3">
      <c r="A5" s="70" t="s">
        <v>39</v>
      </c>
      <c r="B5" s="71">
        <v>2024</v>
      </c>
      <c r="C5" s="70" t="s">
        <v>40</v>
      </c>
      <c r="D5" s="71" t="s">
        <v>45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46</v>
      </c>
      <c r="C7" s="7"/>
      <c r="D7" s="8" t="s">
        <v>47</v>
      </c>
      <c r="E7" s="9"/>
      <c r="F7" s="6" t="s">
        <v>48</v>
      </c>
      <c r="G7" s="7"/>
      <c r="H7" s="8" t="s">
        <v>49</v>
      </c>
      <c r="I7" s="9"/>
      <c r="J7" s="6" t="s">
        <v>50</v>
      </c>
      <c r="K7" s="7"/>
      <c r="L7" s="8" t="s">
        <v>51</v>
      </c>
      <c r="M7" s="9"/>
      <c r="N7" s="6" t="s">
        <v>52</v>
      </c>
      <c r="O7" s="7"/>
      <c r="P7" s="8" t="s">
        <v>53</v>
      </c>
      <c r="Q7" s="9"/>
      <c r="R7" s="6" t="s">
        <v>54</v>
      </c>
      <c r="S7" s="7"/>
      <c r="T7" s="8" t="s">
        <v>55</v>
      </c>
      <c r="U7" s="8"/>
      <c r="V7" s="6" t="s">
        <v>56</v>
      </c>
      <c r="W7" s="7"/>
      <c r="X7" s="8" t="s">
        <v>57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1.5750116987965152E-4</v>
      </c>
      <c r="C9" s="15">
        <v>5.8249893672412227E-2</v>
      </c>
      <c r="D9" s="16">
        <v>-3.7399361458744299E-4</v>
      </c>
      <c r="E9" s="16">
        <v>5.6494984215520946E-2</v>
      </c>
      <c r="F9" s="15">
        <v>5.8520138844942761E-4</v>
      </c>
      <c r="G9" s="15">
        <v>6.8363837997472782E-2</v>
      </c>
      <c r="H9" s="16">
        <v>3.7951736613755713E-4</v>
      </c>
      <c r="I9" s="16">
        <v>4.468131263673656E-2</v>
      </c>
      <c r="J9" s="15">
        <v>2.2695389027672323E-4</v>
      </c>
      <c r="K9" s="15">
        <v>3.3029521726356793E-2</v>
      </c>
      <c r="L9" s="16">
        <v>3.2701458457870666E-4</v>
      </c>
      <c r="M9" s="16">
        <v>3.782368269732922E-2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73" t="s">
        <v>43</v>
      </c>
      <c r="B10" s="15">
        <v>-1.2455234745703976E-3</v>
      </c>
      <c r="C10" s="15">
        <v>0.18289131465279193</v>
      </c>
      <c r="D10" s="16">
        <v>4.6959122213722761E-4</v>
      </c>
      <c r="E10" s="16">
        <v>0.19081374962526521</v>
      </c>
      <c r="F10" s="15">
        <v>-7.4024302329975819E-4</v>
      </c>
      <c r="G10" s="15">
        <v>0.19035061081031929</v>
      </c>
      <c r="H10" s="16">
        <v>-2.0361523019418208E-3</v>
      </c>
      <c r="I10" s="16">
        <v>0.20066572826232801</v>
      </c>
      <c r="J10" s="15">
        <v>-1.2600910725870504E-3</v>
      </c>
      <c r="K10" s="15">
        <v>0.21332901628408835</v>
      </c>
      <c r="L10" s="16">
        <v>6.8475278134049074E-4</v>
      </c>
      <c r="M10" s="16">
        <v>0.10383051039639567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1.1424298017303309E-3</v>
      </c>
      <c r="C13" s="15">
        <v>0.50614468130769386</v>
      </c>
      <c r="D13" s="16">
        <v>2.3291011418825271E-3</v>
      </c>
      <c r="E13" s="16">
        <v>0.50295451780411393</v>
      </c>
      <c r="F13" s="15">
        <v>6.3569842568300828E-3</v>
      </c>
      <c r="G13" s="15">
        <v>0.48876343817152151</v>
      </c>
      <c r="H13" s="16">
        <v>-6.1344422013676536E-4</v>
      </c>
      <c r="I13" s="16">
        <v>0.49562838078825289</v>
      </c>
      <c r="J13" s="15">
        <v>9.3756118815514322E-4</v>
      </c>
      <c r="K13" s="15">
        <v>0.49175466439786891</v>
      </c>
      <c r="L13" s="16">
        <v>2.805247752140875E-6</v>
      </c>
      <c r="M13" s="16">
        <v>0.49968817261809856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-2.1518929792555499E-5</v>
      </c>
      <c r="C14" s="15">
        <v>9.4003939049251695E-3</v>
      </c>
      <c r="D14" s="16">
        <v>6.9586211605318223E-5</v>
      </c>
      <c r="E14" s="16">
        <v>9.5989540555540091E-3</v>
      </c>
      <c r="F14" s="15">
        <v>7.8241209377839365E-5</v>
      </c>
      <c r="G14" s="15">
        <v>9.83452412071858E-3</v>
      </c>
      <c r="H14" s="16">
        <v>-5.6517297471160492E-5</v>
      </c>
      <c r="I14" s="16">
        <v>1.0086813411834959E-2</v>
      </c>
      <c r="J14" s="15">
        <v>-2.99332415712284E-5</v>
      </c>
      <c r="K14" s="15">
        <v>1.0171370638204735E-2</v>
      </c>
      <c r="L14" s="16">
        <v>-2.5871555401304436E-5</v>
      </c>
      <c r="M14" s="16">
        <v>1.0273331639195723E-2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-3.5754093239942649E-4</v>
      </c>
      <c r="C15" s="15">
        <v>6.2063534947839831E-2</v>
      </c>
      <c r="D15" s="16">
        <v>2.9190760568807536E-3</v>
      </c>
      <c r="E15" s="16">
        <v>5.3943212940757886E-2</v>
      </c>
      <c r="F15" s="15">
        <v>2.1436729103817631E-3</v>
      </c>
      <c r="G15" s="15">
        <v>5.7065038996623296E-2</v>
      </c>
      <c r="H15" s="16">
        <v>-1.7743533388874845E-3</v>
      </c>
      <c r="I15" s="16">
        <v>6.0039929192116349E-2</v>
      </c>
      <c r="J15" s="15">
        <v>2.4165146497883336E-4</v>
      </c>
      <c r="K15" s="15">
        <v>5.7584848380314996E-2</v>
      </c>
      <c r="L15" s="16">
        <v>-6.5832888430579446E-5</v>
      </c>
      <c r="M15" s="16">
        <v>0.10277070473522194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-2.0546065305960821E-4</v>
      </c>
      <c r="C16" s="15">
        <v>5.0300664978016232E-2</v>
      </c>
      <c r="D16" s="16">
        <v>9.3811803259281879E-4</v>
      </c>
      <c r="E16" s="16">
        <v>5.0114002253170316E-2</v>
      </c>
      <c r="F16" s="15">
        <v>2.2887245077649761E-3</v>
      </c>
      <c r="G16" s="15">
        <v>4.8881099151649607E-2</v>
      </c>
      <c r="H16" s="16">
        <v>-5.5537285292606262E-4</v>
      </c>
      <c r="I16" s="16">
        <v>4.6178183376569579E-2</v>
      </c>
      <c r="J16" s="15">
        <v>5.7817731856529668E-4</v>
      </c>
      <c r="K16" s="15">
        <v>4.5051316517858771E-2</v>
      </c>
      <c r="L16" s="16">
        <v>1.0305932829584438E-3</v>
      </c>
      <c r="M16" s="16">
        <v>8.2466229300887553E-2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3.808159970440291E-4</v>
      </c>
      <c r="C17" s="15">
        <v>4.3329071466374026E-2</v>
      </c>
      <c r="D17" s="16">
        <v>-3.3702051311197679E-4</v>
      </c>
      <c r="E17" s="16">
        <v>4.2355711572162752E-2</v>
      </c>
      <c r="F17" s="15">
        <v>1.5093185967220975E-3</v>
      </c>
      <c r="G17" s="15">
        <v>4.063876377222795E-2</v>
      </c>
      <c r="H17" s="16">
        <v>5.3467698113987192E-4</v>
      </c>
      <c r="I17" s="16">
        <v>4.2097122500780348E-2</v>
      </c>
      <c r="J17" s="15">
        <v>1.9319976061206833E-4</v>
      </c>
      <c r="K17" s="15">
        <v>4.3485604534210555E-2</v>
      </c>
      <c r="L17" s="16">
        <v>6.4409664049949256E-4</v>
      </c>
      <c r="M17" s="16">
        <v>4.910714674173132E-2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-1.2998079749976444E-4</v>
      </c>
      <c r="C18" s="15">
        <v>4.1965571977377047E-2</v>
      </c>
      <c r="D18" s="16">
        <v>-4.7816065830995835E-4</v>
      </c>
      <c r="E18" s="16">
        <v>4.4348412019716545E-2</v>
      </c>
      <c r="F18" s="15">
        <v>1.3257966928231983E-3</v>
      </c>
      <c r="G18" s="15">
        <v>4.5103811358517598E-2</v>
      </c>
      <c r="H18" s="16">
        <v>7.1343986929809484E-4</v>
      </c>
      <c r="I18" s="16">
        <v>4.8627366063442805E-2</v>
      </c>
      <c r="J18" s="15">
        <v>4.8222033601115201E-4</v>
      </c>
      <c r="K18" s="15">
        <v>5.087522223289611E-2</v>
      </c>
      <c r="L18" s="16">
        <v>9.2792155251642233E-4</v>
      </c>
      <c r="M18" s="16">
        <v>5.3183135937815984E-2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7.6766051478713561E-5</v>
      </c>
      <c r="C19" s="15">
        <v>3.0511167172617159E-4</v>
      </c>
      <c r="D19" s="16">
        <v>2.628192058411607E-4</v>
      </c>
      <c r="E19" s="16">
        <v>3.8423574464702283E-4</v>
      </c>
      <c r="F19" s="15">
        <v>5.7565862754980659E-5</v>
      </c>
      <c r="G19" s="15">
        <v>6.5074361256198731E-4</v>
      </c>
      <c r="H19" s="16">
        <v>-9.0063680639163163E-5</v>
      </c>
      <c r="I19" s="16">
        <v>7.3035523872494337E-4</v>
      </c>
      <c r="J19" s="15">
        <v>-1.6997754564684005E-4</v>
      </c>
      <c r="K19" s="15">
        <v>6.4429242444829094E-4</v>
      </c>
      <c r="L19" s="16">
        <v>-9.2814960030627894E-5</v>
      </c>
      <c r="M19" s="16">
        <v>5.8484216312946113E-4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1.5690195455811499E-4</v>
      </c>
      <c r="C20" s="15">
        <v>2.4816654800161875E-3</v>
      </c>
      <c r="D20" s="16">
        <v>2.8566875363717614E-3</v>
      </c>
      <c r="E20" s="16">
        <v>2.4598998020124397E-3</v>
      </c>
      <c r="F20" s="15">
        <v>-1.4211187911726036E-3</v>
      </c>
      <c r="G20" s="15">
        <v>2.9756690083262444E-3</v>
      </c>
      <c r="H20" s="16">
        <v>-4.1034160680997432E-3</v>
      </c>
      <c r="I20" s="16">
        <v>5.6811686632006518E-4</v>
      </c>
      <c r="J20" s="15">
        <v>1.2967324876798809E-3</v>
      </c>
      <c r="K20" s="15">
        <v>-3.5447450101963049E-3</v>
      </c>
      <c r="L20" s="16">
        <v>-1.1467100166445045E-4</v>
      </c>
      <c r="M20" s="16">
        <v>-2.4521091807241245E-3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-1.6042822726569371E-4</v>
      </c>
      <c r="C21" s="15">
        <v>1.8827477384061335E-4</v>
      </c>
      <c r="D21" s="16">
        <v>-2.4848812382939649E-4</v>
      </c>
      <c r="E21" s="16">
        <v>2.2027885415232501E-4</v>
      </c>
      <c r="F21" s="15">
        <v>-1.1592211251884769E-4</v>
      </c>
      <c r="G21" s="15">
        <v>2.2261522080440117E-4</v>
      </c>
      <c r="H21" s="16">
        <v>-1.0891340151773079E-4</v>
      </c>
      <c r="I21" s="16">
        <v>3.5688404711050757E-4</v>
      </c>
      <c r="J21" s="15">
        <v>4.3844808113037115E-5</v>
      </c>
      <c r="K21" s="15">
        <v>5.3344324201740415E-4</v>
      </c>
      <c r="L21" s="16">
        <v>-1.1882101707401124E-4</v>
      </c>
      <c r="M21" s="16">
        <v>6.6969862159717373E-4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-8.2689564719736611E-5</v>
      </c>
      <c r="C22" s="15">
        <v>1.1744907348470986E-3</v>
      </c>
      <c r="D22" s="16">
        <v>-5.7611052666802432E-5</v>
      </c>
      <c r="E22" s="16">
        <v>1.5664572869902142E-3</v>
      </c>
      <c r="F22" s="15">
        <v>8.6809008418184513E-5</v>
      </c>
      <c r="G22" s="15">
        <v>1.4685570420708896E-3</v>
      </c>
      <c r="H22" s="16">
        <v>4.8276397950729844E-6</v>
      </c>
      <c r="I22" s="16">
        <v>2.3241798878927654E-3</v>
      </c>
      <c r="J22" s="15">
        <v>6.7318692072420037E-5</v>
      </c>
      <c r="K22" s="15">
        <v>3.3426468351271232E-3</v>
      </c>
      <c r="L22" s="16">
        <v>7.646340792632984E-7</v>
      </c>
      <c r="M22" s="16">
        <v>6.8458539354126447E-3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6.2346030972836107E-4</v>
      </c>
      <c r="C23" s="15">
        <v>3.7636837313298255E-2</v>
      </c>
      <c r="D23" s="16">
        <v>2.8421685585299937E-4</v>
      </c>
      <c r="E23" s="16">
        <v>4.0385204293852409E-2</v>
      </c>
      <c r="F23" s="15">
        <v>6.0913143460681891E-4</v>
      </c>
      <c r="G23" s="15">
        <v>4.1310926532358828E-2</v>
      </c>
      <c r="H23" s="16">
        <v>2.5783960003140271E-4</v>
      </c>
      <c r="I23" s="16">
        <v>4.3611519094764059E-2</v>
      </c>
      <c r="J23" s="15">
        <v>1.8531214752356113E-4</v>
      </c>
      <c r="K23" s="15">
        <v>4.9326790462299729E-2</v>
      </c>
      <c r="L23" s="16">
        <v>-9.4734599941855978E-5</v>
      </c>
      <c r="M23" s="16">
        <v>5.0261105790881909E-2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-2.2310309593032341E-6</v>
      </c>
      <c r="C24" s="15">
        <v>1.3104083620561745E-5</v>
      </c>
      <c r="D24" s="16">
        <v>-3.9223006589907839E-6</v>
      </c>
      <c r="E24" s="16">
        <v>4.5859554719815935E-4</v>
      </c>
      <c r="F24" s="15">
        <v>1.5838058861837791E-5</v>
      </c>
      <c r="G24" s="15">
        <v>4.3936989919458744E-4</v>
      </c>
      <c r="H24" s="16">
        <v>9.5864000558597259E-6</v>
      </c>
      <c r="I24" s="16">
        <v>4.3506544520579155E-4</v>
      </c>
      <c r="J24" s="15">
        <v>-3.4333470200915101E-8</v>
      </c>
      <c r="K24" s="15">
        <v>4.2635419253609361E-4</v>
      </c>
      <c r="L24" s="16">
        <v>6.1494738210134441E-6</v>
      </c>
      <c r="M24" s="16">
        <v>8.9412784628884747E-4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74" t="s">
        <v>44</v>
      </c>
      <c r="B26" s="15">
        <v>7.4983258472846066E-6</v>
      </c>
      <c r="C26" s="15">
        <v>3.8553890352210087E-3</v>
      </c>
      <c r="D26" s="16">
        <v>0</v>
      </c>
      <c r="E26" s="16">
        <v>3.9017839848864474E-3</v>
      </c>
      <c r="F26" s="15">
        <v>0</v>
      </c>
      <c r="G26" s="15">
        <v>3.9309943056325862E-3</v>
      </c>
      <c r="H26" s="16">
        <v>-1.6546948379285148E-6</v>
      </c>
      <c r="I26" s="16">
        <v>3.9690431879208319E-3</v>
      </c>
      <c r="J26" s="15">
        <v>7.0640992872041327E-6</v>
      </c>
      <c r="K26" s="15">
        <v>3.9896531419684727E-3</v>
      </c>
      <c r="L26" s="16">
        <v>-1.3521750031441163E-6</v>
      </c>
      <c r="M26" s="16">
        <v>4.0535667567383853E-3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19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20</v>
      </c>
      <c r="B28" s="20">
        <v>3.4000000000000002E-4</v>
      </c>
      <c r="C28" s="21">
        <v>1.0000000000000002</v>
      </c>
      <c r="D28" s="22">
        <v>8.6300000000000005E-3</v>
      </c>
      <c r="E28" s="23">
        <v>1.0000000000000007</v>
      </c>
      <c r="F28" s="20">
        <v>1.278E-2</v>
      </c>
      <c r="G28" s="21">
        <v>1</v>
      </c>
      <c r="H28" s="22">
        <v>-7.4400000000000004E-3</v>
      </c>
      <c r="I28" s="23">
        <v>1.0000000000000002</v>
      </c>
      <c r="J28" s="20">
        <v>2.8E-3</v>
      </c>
      <c r="K28" s="21">
        <v>0.99999999999999989</v>
      </c>
      <c r="L28" s="22">
        <v>3.1099999999999999E-3</v>
      </c>
      <c r="M28" s="23">
        <v>1.0000000000000002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21</v>
      </c>
      <c r="B29" s="24">
        <v>127.348</v>
      </c>
      <c r="C29" s="25"/>
      <c r="D29" s="26">
        <v>3535.8420000000001</v>
      </c>
      <c r="E29" s="25"/>
      <c r="F29" s="24">
        <v>5184.3010000000004</v>
      </c>
      <c r="G29" s="25"/>
      <c r="H29" s="26">
        <v>-3028.5709999999999</v>
      </c>
      <c r="I29" s="25"/>
      <c r="J29" s="24">
        <v>1146.3309999999999</v>
      </c>
      <c r="K29" s="25"/>
      <c r="L29" s="26">
        <v>1240.412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22</v>
      </c>
      <c r="B31" s="29">
        <v>-5.4777286800164644E-4</v>
      </c>
      <c r="C31" s="15">
        <v>0.76839184805928062</v>
      </c>
      <c r="D31" s="31">
        <v>7.082823990779509E-3</v>
      </c>
      <c r="E31" s="31">
        <v>0.75573222190159051</v>
      </c>
      <c r="F31" s="29">
        <v>1.6993590486927427E-3</v>
      </c>
      <c r="G31" s="15">
        <v>0.76812267108119825</v>
      </c>
      <c r="H31" s="31">
        <v>-4.9241221592986918E-3</v>
      </c>
      <c r="I31" s="31">
        <v>0.77061429318886809</v>
      </c>
      <c r="J31" s="29">
        <v>-1.8038722813860089E-3</v>
      </c>
      <c r="K31" s="15">
        <v>0.75602312049147025</v>
      </c>
      <c r="L31" s="31">
        <v>-3.0289696176547995E-3</v>
      </c>
      <c r="M31" s="31">
        <v>0.68484932870290194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23</v>
      </c>
      <c r="B32" s="29">
        <v>8.877728680016495E-4</v>
      </c>
      <c r="C32" s="15">
        <v>0.23160815194071943</v>
      </c>
      <c r="D32" s="30">
        <v>1.5471760092204876E-3</v>
      </c>
      <c r="E32" s="16">
        <v>0.2442677780984093</v>
      </c>
      <c r="F32" s="29">
        <v>1.1080640951307249E-2</v>
      </c>
      <c r="G32" s="15">
        <v>0.23187732891880178</v>
      </c>
      <c r="H32" s="30">
        <v>-2.5158778407013103E-3</v>
      </c>
      <c r="I32" s="16">
        <v>0.22938570681113193</v>
      </c>
      <c r="J32" s="29">
        <v>4.6038722813860136E-3</v>
      </c>
      <c r="K32" s="15">
        <v>0.2439768795085297</v>
      </c>
      <c r="L32" s="30">
        <v>6.1389696176547999E-3</v>
      </c>
      <c r="M32" s="16">
        <v>0.31515067129709817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20</v>
      </c>
      <c r="B33" s="20">
        <v>3.4000000000000306E-4</v>
      </c>
      <c r="C33" s="21">
        <v>1</v>
      </c>
      <c r="D33" s="22">
        <v>8.629999999999997E-3</v>
      </c>
      <c r="E33" s="23">
        <v>0.99999999999999978</v>
      </c>
      <c r="F33" s="20">
        <v>1.2779999999999993E-2</v>
      </c>
      <c r="G33" s="21">
        <v>1</v>
      </c>
      <c r="H33" s="22">
        <v>-7.4400000000000022E-3</v>
      </c>
      <c r="I33" s="23">
        <v>1</v>
      </c>
      <c r="J33" s="20">
        <v>2.8000000000000047E-3</v>
      </c>
      <c r="K33" s="21">
        <v>1</v>
      </c>
      <c r="L33" s="22">
        <v>3.1100000000000004E-3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24</v>
      </c>
      <c r="B35" s="29">
        <v>1.183592420942701E-4</v>
      </c>
      <c r="C35" s="15">
        <v>0.898240562250186</v>
      </c>
      <c r="D35" s="16">
        <v>7.1917465171541222E-3</v>
      </c>
      <c r="E35" s="31">
        <v>0.89225355821171626</v>
      </c>
      <c r="F35" s="29">
        <v>1.2969214696928502E-2</v>
      </c>
      <c r="G35" s="15">
        <v>0.88830732008663149</v>
      </c>
      <c r="H35" s="16">
        <v>-5.5063513628440929E-3</v>
      </c>
      <c r="I35" s="31">
        <v>0.88315952887096572</v>
      </c>
      <c r="J35" s="29">
        <v>1.8174133927495715E-3</v>
      </c>
      <c r="K35" s="15">
        <v>0.87672597988710488</v>
      </c>
      <c r="L35" s="16">
        <v>3.3677297103904282E-3</v>
      </c>
      <c r="M35" s="31">
        <v>0.86958893589579767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25</v>
      </c>
      <c r="B36" s="29">
        <v>2.2164075790573272E-4</v>
      </c>
      <c r="C36" s="15">
        <v>0.10175943774981405</v>
      </c>
      <c r="D36" s="30">
        <v>1.4382534828458744E-3</v>
      </c>
      <c r="E36" s="16">
        <v>0.10774644178828376</v>
      </c>
      <c r="F36" s="29">
        <v>-1.8921469692851096E-4</v>
      </c>
      <c r="G36" s="15">
        <v>0.11169267991336852</v>
      </c>
      <c r="H36" s="30">
        <v>-1.9336486371559082E-3</v>
      </c>
      <c r="I36" s="16">
        <v>0.11684047112903423</v>
      </c>
      <c r="J36" s="29">
        <v>9.8258660725043302E-4</v>
      </c>
      <c r="K36" s="15">
        <v>0.12327402011289496</v>
      </c>
      <c r="L36" s="30">
        <v>-2.577297103904279E-4</v>
      </c>
      <c r="M36" s="16">
        <v>0.13041106410420245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20</v>
      </c>
      <c r="B37" s="20">
        <v>3.4000000000000284E-4</v>
      </c>
      <c r="C37" s="21">
        <v>1</v>
      </c>
      <c r="D37" s="22">
        <v>8.629999999999997E-3</v>
      </c>
      <c r="E37" s="23">
        <v>1</v>
      </c>
      <c r="F37" s="20">
        <v>1.2779999999999991E-2</v>
      </c>
      <c r="G37" s="21">
        <v>1</v>
      </c>
      <c r="H37" s="22">
        <v>-7.4400000000000013E-3</v>
      </c>
      <c r="I37" s="23">
        <v>1</v>
      </c>
      <c r="J37" s="20">
        <v>2.8000000000000047E-3</v>
      </c>
      <c r="K37" s="21">
        <v>0.99999999999999978</v>
      </c>
      <c r="L37" s="22">
        <v>3.1100000000000004E-3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7"/>
      <c r="E39" s="78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26</v>
      </c>
      <c r="B40" s="79" t="s">
        <v>58</v>
      </c>
      <c r="C40" s="80"/>
      <c r="D40" s="75" t="s">
        <v>59</v>
      </c>
      <c r="E40" s="81"/>
      <c r="F40" s="79" t="s">
        <v>60</v>
      </c>
      <c r="G40" s="80"/>
      <c r="H40" s="75" t="s">
        <v>60</v>
      </c>
      <c r="I40" s="76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3.6852331315962925E-4</v>
      </c>
      <c r="C42" s="47">
        <v>6.1036238628468652E-2</v>
      </c>
      <c r="D42" s="48">
        <v>1.3026377563427581E-3</v>
      </c>
      <c r="E42" s="48">
        <v>4.9773872157638087E-2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3" t="s">
        <v>43</v>
      </c>
      <c r="B43" s="46">
        <v>-1.4914936430720361E-3</v>
      </c>
      <c r="C43" s="47">
        <v>0.18801855836279216</v>
      </c>
      <c r="D43" s="48">
        <v>-4.1131235141257981E-3</v>
      </c>
      <c r="E43" s="48">
        <v>0.18031348833853142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9.918830808425174E-3</v>
      </c>
      <c r="C46" s="47">
        <v>0.49928754576110984</v>
      </c>
      <c r="D46" s="48">
        <v>1.0211196060465562E-2</v>
      </c>
      <c r="E46" s="48">
        <v>0.4974889758479249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1.2757296598550874E-4</v>
      </c>
      <c r="C47" s="47">
        <v>9.6112906937325868E-3</v>
      </c>
      <c r="D47" s="48">
        <v>1.4542654920056809E-5</v>
      </c>
      <c r="E47" s="48">
        <v>9.8942312950721974E-3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4.7172294717485203E-3</v>
      </c>
      <c r="C48" s="47">
        <v>5.7690595628407004E-2</v>
      </c>
      <c r="D48" s="48">
        <v>3.1070003169588389E-3</v>
      </c>
      <c r="E48" s="48">
        <v>6.5577878198812375E-2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3.0294010181403839E-3</v>
      </c>
      <c r="C49" s="47">
        <v>4.976525546094538E-2</v>
      </c>
      <c r="D49" s="48">
        <v>4.0822187011625667E-3</v>
      </c>
      <c r="E49" s="48">
        <v>5.3831915929692005E-2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1.5585814970331094E-3</v>
      </c>
      <c r="C50" s="47">
        <v>4.2107848936921571E-2</v>
      </c>
      <c r="D50" s="48">
        <v>2.9302097198318673E-3</v>
      </c>
      <c r="E50" s="48">
        <v>4.3502236764581155E-2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7.2266405301447977E-4</v>
      </c>
      <c r="C51" s="47">
        <v>4.3805931785203728E-2</v>
      </c>
      <c r="D51" s="48">
        <v>2.8461705868967654E-3</v>
      </c>
      <c r="E51" s="48">
        <v>4.7350586598294352E-2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3.9724950823829121E-4</v>
      </c>
      <c r="C52" s="47">
        <v>4.466970096450606E-4</v>
      </c>
      <c r="D52" s="48">
        <v>4.4265328260977723E-5</v>
      </c>
      <c r="E52" s="48">
        <v>5.4993014253964623E-4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1.5889821933183414E-3</v>
      </c>
      <c r="C53" s="47">
        <v>2.6390780967849568E-3</v>
      </c>
      <c r="D53" s="48">
        <v>-1.342342801928255E-3</v>
      </c>
      <c r="E53" s="48">
        <v>4.1474949429241766E-4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-5.2472357167091541E-4</v>
      </c>
      <c r="C54" s="47">
        <v>2.1038961626577982E-4</v>
      </c>
      <c r="D54" s="48">
        <v>-7.0852053344595324E-4</v>
      </c>
      <c r="E54" s="48">
        <v>3.6519912658707082E-4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-5.3314751719070297E-5</v>
      </c>
      <c r="C55" s="47">
        <v>1.4031683546360675E-3</v>
      </c>
      <c r="D55" s="48">
        <v>1.9567361639355907E-5</v>
      </c>
      <c r="E55" s="48">
        <v>2.7870309537234559E-3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1.5227626376011752E-3</v>
      </c>
      <c r="C56" s="47">
        <v>3.9777656046503164E-2</v>
      </c>
      <c r="D56" s="48">
        <v>1.8689857945264118E-3</v>
      </c>
      <c r="E56" s="48">
        <v>4.3755397247909202E-2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9.7245208824106534E-6</v>
      </c>
      <c r="C57" s="47">
        <v>3.0368984333776952E-4</v>
      </c>
      <c r="D57" s="48">
        <v>2.5411734964858939E-5</v>
      </c>
      <c r="E57" s="48">
        <v>4.4443616900734017E-4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74" t="s">
        <v>44</v>
      </c>
      <c r="B59" s="46">
        <v>8.0099789150090364E-6</v>
      </c>
      <c r="C59" s="47">
        <v>3.8960557752466805E-3</v>
      </c>
      <c r="D59" s="48">
        <v>1.178083352998298E-5</v>
      </c>
      <c r="E59" s="48">
        <v>3.9500717353946222E-3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19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27</v>
      </c>
      <c r="B61" s="49">
        <v>2.1899999999999999E-2</v>
      </c>
      <c r="C61" s="50">
        <v>1.0000000000000004</v>
      </c>
      <c r="D61" s="67">
        <v>2.0299999999999999E-2</v>
      </c>
      <c r="E61" s="52">
        <v>1.0000000000000002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21</v>
      </c>
      <c r="B62" s="53">
        <v>8847.491</v>
      </c>
      <c r="C62" s="54"/>
      <c r="D62" s="55">
        <v>8205.6630000000005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22</v>
      </c>
      <c r="B64" s="56">
        <v>8.2416291977813749E-3</v>
      </c>
      <c r="C64" s="47">
        <v>0.76408224701402316</v>
      </c>
      <c r="D64" s="57">
        <v>-1.5662727272958143E-3</v>
      </c>
      <c r="E64" s="48">
        <v>0.75062224723755167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23</v>
      </c>
      <c r="B65" s="46">
        <v>1.3658370802218624E-2</v>
      </c>
      <c r="C65" s="47">
        <v>0.23591775298597684</v>
      </c>
      <c r="D65" s="57">
        <v>2.1866272727295813E-2</v>
      </c>
      <c r="E65" s="48">
        <v>0.24937775276244836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27</v>
      </c>
      <c r="B66" s="49">
        <v>2.1899999999999999E-2</v>
      </c>
      <c r="C66" s="50">
        <v>1</v>
      </c>
      <c r="D66" s="51">
        <v>2.0299999999999999E-2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24</v>
      </c>
      <c r="B68" s="56">
        <v>2.0374989036413993E-2</v>
      </c>
      <c r="C68" s="47">
        <v>0.89293381351617784</v>
      </c>
      <c r="D68" s="57">
        <v>2.0024314086105166E-2</v>
      </c>
      <c r="E68" s="48">
        <v>0.88471264753373369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25</v>
      </c>
      <c r="B69" s="56">
        <v>1.5250109635860064E-3</v>
      </c>
      <c r="C69" s="47">
        <v>0.1070661864838221</v>
      </c>
      <c r="D69" s="57">
        <v>2.7568591389483255E-4</v>
      </c>
      <c r="E69" s="48">
        <v>0.11528735246626631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27</v>
      </c>
      <c r="B70" s="49">
        <v>2.1899999999999999E-2</v>
      </c>
      <c r="C70" s="50">
        <v>1</v>
      </c>
      <c r="D70" s="51">
        <v>2.0299999999999999E-2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27877-F422-4F75-ACB5-03F1351EFE64}">
  <sheetPr codeName="גיליון42">
    <tabColor rgb="FF92D050"/>
  </sheetPr>
  <dimension ref="A1:AB76"/>
  <sheetViews>
    <sheetView showGridLines="0" rightToLeft="1" topLeftCell="A43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8" t="s">
        <v>35</v>
      </c>
      <c r="B1" s="61"/>
      <c r="D1" s="2"/>
    </row>
    <row r="2" spans="1:26" ht="18.75" x14ac:dyDescent="0.3">
      <c r="A2" s="69" t="s">
        <v>36</v>
      </c>
      <c r="B2" s="71">
        <v>13342</v>
      </c>
    </row>
    <row r="3" spans="1:26" ht="18.75" x14ac:dyDescent="0.3">
      <c r="A3" s="70" t="s">
        <v>37</v>
      </c>
      <c r="B3" s="72" t="s">
        <v>34</v>
      </c>
    </row>
    <row r="4" spans="1:26" ht="18.75" x14ac:dyDescent="0.3">
      <c r="A4" s="69" t="s">
        <v>38</v>
      </c>
      <c r="B4" s="72" t="s">
        <v>28</v>
      </c>
    </row>
    <row r="5" spans="1:26" ht="18.75" x14ac:dyDescent="0.3">
      <c r="A5" s="70" t="s">
        <v>39</v>
      </c>
      <c r="B5" s="71">
        <v>2024</v>
      </c>
      <c r="C5" s="70" t="s">
        <v>40</v>
      </c>
      <c r="D5" s="71" t="s">
        <v>45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46</v>
      </c>
      <c r="C7" s="7"/>
      <c r="D7" s="8" t="s">
        <v>47</v>
      </c>
      <c r="E7" s="9"/>
      <c r="F7" s="6" t="s">
        <v>48</v>
      </c>
      <c r="G7" s="7"/>
      <c r="H7" s="8" t="s">
        <v>49</v>
      </c>
      <c r="I7" s="9"/>
      <c r="J7" s="6" t="s">
        <v>50</v>
      </c>
      <c r="K7" s="7"/>
      <c r="L7" s="8" t="s">
        <v>51</v>
      </c>
      <c r="M7" s="9"/>
      <c r="N7" s="6" t="s">
        <v>52</v>
      </c>
      <c r="O7" s="7"/>
      <c r="P7" s="8" t="s">
        <v>53</v>
      </c>
      <c r="Q7" s="9"/>
      <c r="R7" s="6" t="s">
        <v>54</v>
      </c>
      <c r="S7" s="7"/>
      <c r="T7" s="8" t="s">
        <v>55</v>
      </c>
      <c r="U7" s="8"/>
      <c r="V7" s="6" t="s">
        <v>56</v>
      </c>
      <c r="W7" s="7"/>
      <c r="X7" s="8" t="s">
        <v>57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6.6975354528516357E-3</v>
      </c>
      <c r="C9" s="15">
        <v>0.4509512810592512</v>
      </c>
      <c r="D9" s="16">
        <v>-1.2941117650719439E-3</v>
      </c>
      <c r="E9" s="16">
        <v>0.45235589317921426</v>
      </c>
      <c r="F9" s="15">
        <v>8.1413509375987264E-3</v>
      </c>
      <c r="G9" s="15">
        <v>0.45045384085526163</v>
      </c>
      <c r="H9" s="16">
        <v>4.9482846280316101E-3</v>
      </c>
      <c r="I9" s="16">
        <v>0.47866755931800653</v>
      </c>
      <c r="J9" s="15">
        <v>1.7215821844461451E-3</v>
      </c>
      <c r="K9" s="15">
        <v>0.32055810986927802</v>
      </c>
      <c r="L9" s="16">
        <v>5.9099178991455087E-3</v>
      </c>
      <c r="M9" s="16">
        <v>0.61790304733363555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73" t="s">
        <v>43</v>
      </c>
      <c r="B10" s="15">
        <v>0</v>
      </c>
      <c r="C10" s="15">
        <v>0</v>
      </c>
      <c r="D10" s="16">
        <v>0</v>
      </c>
      <c r="E10" s="16">
        <v>0</v>
      </c>
      <c r="F10" s="15">
        <v>0</v>
      </c>
      <c r="G10" s="15">
        <v>0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0</v>
      </c>
      <c r="C13" s="15">
        <v>0</v>
      </c>
      <c r="D13" s="16">
        <v>0</v>
      </c>
      <c r="E13" s="16">
        <v>0</v>
      </c>
      <c r="F13" s="15">
        <v>0</v>
      </c>
      <c r="G13" s="15">
        <v>0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1.3186050926303134E-2</v>
      </c>
      <c r="C16" s="15">
        <v>0.53534314358972879</v>
      </c>
      <c r="D16" s="16">
        <v>1.4774234928802843E-2</v>
      </c>
      <c r="E16" s="16">
        <v>0.53402298321107411</v>
      </c>
      <c r="F16" s="15">
        <v>3.2370823761651506E-2</v>
      </c>
      <c r="G16" s="15">
        <v>0.54913354754132493</v>
      </c>
      <c r="H16" s="16">
        <v>-8.2464977844563352E-3</v>
      </c>
      <c r="I16" s="16">
        <v>0.51014340036259886</v>
      </c>
      <c r="J16" s="15">
        <v>1.2564656864416945E-2</v>
      </c>
      <c r="K16" s="15">
        <v>0.68987603776323037</v>
      </c>
      <c r="L16" s="16">
        <v>2.2002612331974539E-2</v>
      </c>
      <c r="M16" s="16">
        <v>0.38517280438404061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2.2464136208452307E-3</v>
      </c>
      <c r="C20" s="15">
        <v>1.3705575351020035E-2</v>
      </c>
      <c r="D20" s="16">
        <v>1.8119876836269103E-2</v>
      </c>
      <c r="E20" s="16">
        <v>1.3621123609711648E-2</v>
      </c>
      <c r="F20" s="15">
        <v>1.945782530074977E-2</v>
      </c>
      <c r="G20" s="15">
        <v>4.1261160341352402E-4</v>
      </c>
      <c r="H20" s="16">
        <v>-1.7071786843575274E-2</v>
      </c>
      <c r="I20" s="16">
        <v>1.1189040319394617E-2</v>
      </c>
      <c r="J20" s="15">
        <v>1.7683760951136909E-2</v>
      </c>
      <c r="K20" s="15">
        <v>-1.0434147632508545E-2</v>
      </c>
      <c r="L20" s="16">
        <v>2.7217469768879947E-2</v>
      </c>
      <c r="M20" s="16">
        <v>-3.0758517176763703E-3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74" t="s">
        <v>44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19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20</v>
      </c>
      <c r="B28" s="20">
        <v>2.213E-2</v>
      </c>
      <c r="C28" s="21">
        <v>1</v>
      </c>
      <c r="D28" s="22">
        <v>3.1600000000000003E-2</v>
      </c>
      <c r="E28" s="23">
        <v>1</v>
      </c>
      <c r="F28" s="20">
        <v>5.9970000000000002E-2</v>
      </c>
      <c r="G28" s="21">
        <v>1</v>
      </c>
      <c r="H28" s="22">
        <v>-2.0369999999999999E-2</v>
      </c>
      <c r="I28" s="23">
        <v>1</v>
      </c>
      <c r="J28" s="20">
        <v>3.1969999999999998E-2</v>
      </c>
      <c r="K28" s="21">
        <v>1</v>
      </c>
      <c r="L28" s="22">
        <v>5.5129999999999998E-2</v>
      </c>
      <c r="M28" s="23">
        <v>0.99999999999999978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21</v>
      </c>
      <c r="B29" s="24">
        <v>38668.993999999999</v>
      </c>
      <c r="C29" s="25"/>
      <c r="D29" s="26">
        <v>61715.402999999998</v>
      </c>
      <c r="E29" s="25"/>
      <c r="F29" s="24">
        <v>132376.353</v>
      </c>
      <c r="G29" s="25"/>
      <c r="H29" s="26">
        <v>-50478.09</v>
      </c>
      <c r="I29" s="25"/>
      <c r="J29" s="24">
        <v>79143.604999999996</v>
      </c>
      <c r="K29" s="25"/>
      <c r="L29" s="26">
        <v>150522.66399999999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22</v>
      </c>
      <c r="B31" s="29">
        <v>3.5987836144171642E-3</v>
      </c>
      <c r="C31" s="15">
        <v>0.43653329534718777</v>
      </c>
      <c r="D31" s="31">
        <v>-4.8386439421138835E-3</v>
      </c>
      <c r="E31" s="31">
        <v>0.44796416066105238</v>
      </c>
      <c r="F31" s="29">
        <v>1.3988830442021073E-2</v>
      </c>
      <c r="G31" s="15">
        <v>0.34272307652288497</v>
      </c>
      <c r="H31" s="31">
        <v>9.6313215957941276E-3</v>
      </c>
      <c r="I31" s="31">
        <v>0.32221433873953081</v>
      </c>
      <c r="J31" s="29">
        <v>9.3916974562561367E-4</v>
      </c>
      <c r="K31" s="15">
        <v>3.8776238424318793E-2</v>
      </c>
      <c r="L31" s="31">
        <v>1.0033417617464714E-2</v>
      </c>
      <c r="M31" s="31">
        <v>0.42640640828501641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23</v>
      </c>
      <c r="B32" s="29">
        <v>1.8531216385582836E-2</v>
      </c>
      <c r="C32" s="15">
        <v>0.56346670465281223</v>
      </c>
      <c r="D32" s="30">
        <v>3.643864394211388E-2</v>
      </c>
      <c r="E32" s="16">
        <v>0.55203583933894751</v>
      </c>
      <c r="F32" s="29">
        <v>4.5981169557978922E-2</v>
      </c>
      <c r="G32" s="15">
        <v>0.65727692347711486</v>
      </c>
      <c r="H32" s="30">
        <v>-3.000132159579413E-2</v>
      </c>
      <c r="I32" s="16">
        <v>0.67778566126046924</v>
      </c>
      <c r="J32" s="29">
        <v>3.1030830254374388E-2</v>
      </c>
      <c r="K32" s="15">
        <v>0.96122376157568101</v>
      </c>
      <c r="L32" s="30">
        <v>4.5096582382535298E-2</v>
      </c>
      <c r="M32" s="16">
        <v>0.5735935917149837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20</v>
      </c>
      <c r="B33" s="20">
        <v>2.213E-2</v>
      </c>
      <c r="C33" s="21">
        <v>1</v>
      </c>
      <c r="D33" s="22">
        <v>3.1599999999999996E-2</v>
      </c>
      <c r="E33" s="23">
        <v>0.99999999999999989</v>
      </c>
      <c r="F33" s="20">
        <v>5.9969999999999996E-2</v>
      </c>
      <c r="G33" s="21">
        <v>0.99999999999999978</v>
      </c>
      <c r="H33" s="22">
        <v>-2.0370000000000003E-2</v>
      </c>
      <c r="I33" s="23">
        <v>1</v>
      </c>
      <c r="J33" s="20">
        <v>3.1970000000000005E-2</v>
      </c>
      <c r="K33" s="21">
        <v>0.99999999999999978</v>
      </c>
      <c r="L33" s="22">
        <v>5.5130000000000012E-2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24</v>
      </c>
      <c r="B35" s="29">
        <v>2.5228751838434468E-2</v>
      </c>
      <c r="C35" s="15">
        <v>1</v>
      </c>
      <c r="D35" s="16">
        <v>3.5139205550366592E-2</v>
      </c>
      <c r="E35" s="31">
        <v>1.0026168004352058</v>
      </c>
      <c r="F35" s="29">
        <v>5.4122395690764533E-2</v>
      </c>
      <c r="G35" s="15">
        <v>1.0057519475318586</v>
      </c>
      <c r="H35" s="16">
        <v>-2.5053104496457201E-2</v>
      </c>
      <c r="I35" s="31">
        <v>1.0001287442765232</v>
      </c>
      <c r="J35" s="29">
        <v>3.2752434642350531E-2</v>
      </c>
      <c r="K35" s="15">
        <v>0.99247915970313572</v>
      </c>
      <c r="L35" s="16">
        <v>5.1006461871001857E-2</v>
      </c>
      <c r="M35" s="31">
        <v>0.99820093429563117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25</v>
      </c>
      <c r="B36" s="29">
        <v>-3.0987518384344706E-3</v>
      </c>
      <c r="C36" s="15">
        <v>0</v>
      </c>
      <c r="D36" s="30">
        <v>-3.5392055503665975E-3</v>
      </c>
      <c r="E36" s="16">
        <v>-2.6168004352059501E-3</v>
      </c>
      <c r="F36" s="29">
        <v>5.8476043092354551E-3</v>
      </c>
      <c r="G36" s="15">
        <v>-5.7519475318585358E-3</v>
      </c>
      <c r="H36" s="30">
        <v>4.683104496457197E-3</v>
      </c>
      <c r="I36" s="16">
        <v>-1.2874427652335253E-4</v>
      </c>
      <c r="J36" s="29">
        <v>-7.8243464235052611E-4</v>
      </c>
      <c r="K36" s="15">
        <v>7.5208402968642771E-3</v>
      </c>
      <c r="L36" s="30">
        <v>4.1235381289981572E-3</v>
      </c>
      <c r="M36" s="16">
        <v>1.7990657043688541E-3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20</v>
      </c>
      <c r="B37" s="20">
        <v>2.2129999999999997E-2</v>
      </c>
      <c r="C37" s="21">
        <v>1</v>
      </c>
      <c r="D37" s="22">
        <v>3.1599999999999996E-2</v>
      </c>
      <c r="E37" s="23">
        <v>0.99999999999999989</v>
      </c>
      <c r="F37" s="20">
        <v>5.9969999999999989E-2</v>
      </c>
      <c r="G37" s="21">
        <v>1</v>
      </c>
      <c r="H37" s="22">
        <v>-2.0370000000000006E-2</v>
      </c>
      <c r="I37" s="23">
        <v>0.99999999999999989</v>
      </c>
      <c r="J37" s="20">
        <v>3.1970000000000005E-2</v>
      </c>
      <c r="K37" s="21">
        <v>1</v>
      </c>
      <c r="L37" s="22">
        <v>5.5130000000000012E-2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7"/>
      <c r="E39" s="78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26</v>
      </c>
      <c r="B40" s="79" t="s">
        <v>58</v>
      </c>
      <c r="C40" s="80"/>
      <c r="D40" s="75" t="s">
        <v>59</v>
      </c>
      <c r="E40" s="81"/>
      <c r="F40" s="79" t="s">
        <v>60</v>
      </c>
      <c r="G40" s="80"/>
      <c r="H40" s="75" t="s">
        <v>60</v>
      </c>
      <c r="I40" s="76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1.3580027870443656E-2</v>
      </c>
      <c r="C42" s="47">
        <v>0.45125367169790903</v>
      </c>
      <c r="D42" s="48">
        <v>2.637928567165404E-2</v>
      </c>
      <c r="E42" s="48">
        <v>0.46181495526910793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3" t="s">
        <v>43</v>
      </c>
      <c r="B43" s="46">
        <v>0</v>
      </c>
      <c r="C43" s="47">
        <v>0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0</v>
      </c>
      <c r="C46" s="47">
        <v>0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6.3817286000701218E-2</v>
      </c>
      <c r="C49" s="47">
        <v>0.53949989144737598</v>
      </c>
      <c r="D49" s="48">
        <v>9.685474168538713E-2</v>
      </c>
      <c r="E49" s="48">
        <v>0.53394865280866621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4.0302686128855125E-2</v>
      </c>
      <c r="C53" s="47">
        <v>9.2464368547150698E-3</v>
      </c>
      <c r="D53" s="48">
        <v>6.8965972642958839E-2</v>
      </c>
      <c r="E53" s="48">
        <v>4.2363919222258182E-3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74" t="s">
        <v>44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19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27</v>
      </c>
      <c r="B61" s="49">
        <v>0.1177</v>
      </c>
      <c r="C61" s="50">
        <v>1.0000000000000002</v>
      </c>
      <c r="D61" s="67">
        <v>0.19220000000000001</v>
      </c>
      <c r="E61" s="52">
        <v>0.99999999999999989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21</v>
      </c>
      <c r="B62" s="53">
        <v>232760.75</v>
      </c>
      <c r="C62" s="54"/>
      <c r="D62" s="55">
        <v>411948.929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22</v>
      </c>
      <c r="B64" s="56">
        <v>1.2713969095136113E-2</v>
      </c>
      <c r="C64" s="47">
        <v>0.40907351084370841</v>
      </c>
      <c r="D64" s="57">
        <v>3.3696494449892311E-2</v>
      </c>
      <c r="E64" s="48">
        <v>0.33576958632999854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23</v>
      </c>
      <c r="B65" s="46">
        <v>0.10498603090486389</v>
      </c>
      <c r="C65" s="47">
        <v>0.59092648915629153</v>
      </c>
      <c r="D65" s="57">
        <v>0.1585035055501077</v>
      </c>
      <c r="E65" s="48">
        <v>0.66423041367000135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27</v>
      </c>
      <c r="B66" s="49">
        <v>0.1177</v>
      </c>
      <c r="C66" s="50">
        <v>1</v>
      </c>
      <c r="D66" s="51">
        <v>0.19220000000000001</v>
      </c>
      <c r="E66" s="52">
        <v>0.99999999999999989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24</v>
      </c>
      <c r="B68" s="56">
        <v>0.11869211034707283</v>
      </c>
      <c r="C68" s="47">
        <v>1.0027895826556881</v>
      </c>
      <c r="D68" s="57">
        <v>0.18384038051644702</v>
      </c>
      <c r="E68" s="48">
        <v>0.99986293104039226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25</v>
      </c>
      <c r="B69" s="56">
        <v>-9.9211034707283319E-4</v>
      </c>
      <c r="C69" s="47">
        <v>-2.7895826556881623E-3</v>
      </c>
      <c r="D69" s="57">
        <v>8.359619483552988E-3</v>
      </c>
      <c r="E69" s="48">
        <v>1.3706895960754857E-4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27</v>
      </c>
      <c r="B70" s="49">
        <v>0.1177</v>
      </c>
      <c r="C70" s="50">
        <v>0.99999999999999989</v>
      </c>
      <c r="D70" s="51">
        <v>0.19220000000000001</v>
      </c>
      <c r="E70" s="52">
        <v>0.99999999999999978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344D9-7453-4B6C-9C1B-36AD8315ABF5}">
  <sheetPr codeName="גיליון43">
    <tabColor rgb="FF92D050"/>
  </sheetPr>
  <dimension ref="A1:AB76"/>
  <sheetViews>
    <sheetView showGridLines="0" rightToLeft="1" topLeftCell="A46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8" t="s">
        <v>35</v>
      </c>
      <c r="B1" s="61"/>
      <c r="D1" s="2"/>
    </row>
    <row r="2" spans="1:26" ht="18.75" x14ac:dyDescent="0.3">
      <c r="A2" s="69" t="s">
        <v>36</v>
      </c>
      <c r="B2" s="71">
        <v>2115</v>
      </c>
    </row>
    <row r="3" spans="1:26" ht="18.75" x14ac:dyDescent="0.3">
      <c r="A3" s="70" t="s">
        <v>37</v>
      </c>
      <c r="B3" s="72" t="s">
        <v>32</v>
      </c>
    </row>
    <row r="4" spans="1:26" ht="18.75" x14ac:dyDescent="0.3">
      <c r="A4" s="69" t="s">
        <v>38</v>
      </c>
      <c r="B4" s="72" t="s">
        <v>28</v>
      </c>
    </row>
    <row r="5" spans="1:26" ht="18.75" x14ac:dyDescent="0.3">
      <c r="A5" s="70" t="s">
        <v>39</v>
      </c>
      <c r="B5" s="71">
        <v>2024</v>
      </c>
      <c r="C5" s="70" t="s">
        <v>40</v>
      </c>
      <c r="D5" s="71" t="s">
        <v>45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46</v>
      </c>
      <c r="C7" s="7"/>
      <c r="D7" s="8" t="s">
        <v>47</v>
      </c>
      <c r="E7" s="9"/>
      <c r="F7" s="6" t="s">
        <v>48</v>
      </c>
      <c r="G7" s="7"/>
      <c r="H7" s="8" t="s">
        <v>49</v>
      </c>
      <c r="I7" s="9"/>
      <c r="J7" s="6" t="s">
        <v>50</v>
      </c>
      <c r="K7" s="7"/>
      <c r="L7" s="8" t="s">
        <v>51</v>
      </c>
      <c r="M7" s="9"/>
      <c r="N7" s="6" t="s">
        <v>52</v>
      </c>
      <c r="O7" s="7"/>
      <c r="P7" s="8" t="s">
        <v>53</v>
      </c>
      <c r="Q7" s="9"/>
      <c r="R7" s="6" t="s">
        <v>54</v>
      </c>
      <c r="S7" s="7"/>
      <c r="T7" s="8" t="s">
        <v>55</v>
      </c>
      <c r="U7" s="8"/>
      <c r="V7" s="6" t="s">
        <v>56</v>
      </c>
      <c r="W7" s="7"/>
      <c r="X7" s="8" t="s">
        <v>57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-4.1592395369516007E-5</v>
      </c>
      <c r="C9" s="15">
        <v>5.34294320449911E-2</v>
      </c>
      <c r="D9" s="16">
        <v>-2.6869701427428361E-4</v>
      </c>
      <c r="E9" s="16">
        <v>6.1223557208198838E-2</v>
      </c>
      <c r="F9" s="15">
        <v>3.0668699954945842E-4</v>
      </c>
      <c r="G9" s="15">
        <v>7.5990318691493627E-2</v>
      </c>
      <c r="H9" s="16">
        <v>4.0265165182099428E-4</v>
      </c>
      <c r="I9" s="16">
        <v>7.5219145523797423E-2</v>
      </c>
      <c r="J9" s="15">
        <v>1.4803585297717072E-4</v>
      </c>
      <c r="K9" s="15">
        <v>3.2497913892786133E-2</v>
      </c>
      <c r="L9" s="16">
        <v>2.1147020192974143E-4</v>
      </c>
      <c r="M9" s="16">
        <v>7.1036338300432933E-2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73" t="s">
        <v>43</v>
      </c>
      <c r="B10" s="15">
        <v>-1.4905138986476573E-3</v>
      </c>
      <c r="C10" s="15">
        <v>0.2887254331520725</v>
      </c>
      <c r="D10" s="16">
        <v>7.6390142333669414E-4</v>
      </c>
      <c r="E10" s="16">
        <v>0.29331966786543889</v>
      </c>
      <c r="F10" s="15">
        <v>-1.3020463973473348E-3</v>
      </c>
      <c r="G10" s="15">
        <v>0.2914217996867699</v>
      </c>
      <c r="H10" s="16">
        <v>-3.4608622285245368E-3</v>
      </c>
      <c r="I10" s="16">
        <v>0.30433824019806022</v>
      </c>
      <c r="J10" s="15">
        <v>-3.1137157313152926E-3</v>
      </c>
      <c r="K10" s="15">
        <v>0.32495445458421063</v>
      </c>
      <c r="L10" s="16">
        <v>1.7491198194009641E-4</v>
      </c>
      <c r="M10" s="16">
        <v>0.31319674266531322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1.0293591406894489E-3</v>
      </c>
      <c r="C13" s="15">
        <v>0.45844679866762927</v>
      </c>
      <c r="D13" s="16">
        <v>2.3322219467698285E-3</v>
      </c>
      <c r="E13" s="16">
        <v>0.44734429934661579</v>
      </c>
      <c r="F13" s="15">
        <v>5.2388604622205948E-3</v>
      </c>
      <c r="G13" s="15">
        <v>0.43639479956677685</v>
      </c>
      <c r="H13" s="16">
        <v>-4.293676947223846E-4</v>
      </c>
      <c r="I13" s="16">
        <v>0.43001307409347828</v>
      </c>
      <c r="J13" s="15">
        <v>9.8298107802873946E-4</v>
      </c>
      <c r="K13" s="15">
        <v>0.44039667330795362</v>
      </c>
      <c r="L13" s="16">
        <v>-3.5928969153785866E-4</v>
      </c>
      <c r="M13" s="16">
        <v>0.42892576237393187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-3.344131003161838E-5</v>
      </c>
      <c r="C14" s="15">
        <v>1.514260475631221E-2</v>
      </c>
      <c r="D14" s="16">
        <v>1.1345345531216736E-4</v>
      </c>
      <c r="E14" s="16">
        <v>1.4733902482842752E-2</v>
      </c>
      <c r="F14" s="15">
        <v>1.171517512113936E-4</v>
      </c>
      <c r="G14" s="15">
        <v>1.4786023246198543E-2</v>
      </c>
      <c r="H14" s="16">
        <v>-8.2683929026237092E-5</v>
      </c>
      <c r="I14" s="16">
        <v>1.4039276091833395E-2</v>
      </c>
      <c r="J14" s="15">
        <v>-5.4358826653191717E-5</v>
      </c>
      <c r="K14" s="15">
        <v>1.3525987908020388E-2</v>
      </c>
      <c r="L14" s="16">
        <v>-2.8834424390783606E-5</v>
      </c>
      <c r="M14" s="16">
        <v>1.1318072219810774E-2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-3.7716915020137259E-5</v>
      </c>
      <c r="C15" s="15">
        <v>6.1076820837771004E-3</v>
      </c>
      <c r="D15" s="16">
        <v>1.0773607581151151E-4</v>
      </c>
      <c r="E15" s="16">
        <v>5.9347336980642975E-3</v>
      </c>
      <c r="F15" s="15">
        <v>1.5548626845557589E-4</v>
      </c>
      <c r="G15" s="15">
        <v>6.007464067295065E-3</v>
      </c>
      <c r="H15" s="16">
        <v>-1.4556427388189204E-4</v>
      </c>
      <c r="I15" s="16">
        <v>6.1395874818115795E-3</v>
      </c>
      <c r="J15" s="15">
        <v>-3.6335402786892936E-4</v>
      </c>
      <c r="K15" s="15">
        <v>6.2333746091332871E-3</v>
      </c>
      <c r="L15" s="16">
        <v>-6.6767889228922099E-6</v>
      </c>
      <c r="M15" s="16">
        <v>5.647256983003543E-3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1.4459898188843413E-4</v>
      </c>
      <c r="C16" s="15">
        <v>1.6578232138661188E-2</v>
      </c>
      <c r="D16" s="16">
        <v>1.8849000303742563E-6</v>
      </c>
      <c r="E16" s="16">
        <v>1.3322222362196753E-2</v>
      </c>
      <c r="F16" s="15">
        <v>2.3490990721962421E-4</v>
      </c>
      <c r="G16" s="15">
        <v>1.2336634593140603E-2</v>
      </c>
      <c r="H16" s="16">
        <v>3.5802083513480203E-5</v>
      </c>
      <c r="I16" s="16">
        <v>1.0709816911180123E-2</v>
      </c>
      <c r="J16" s="15">
        <v>1.2657240574618175E-5</v>
      </c>
      <c r="K16" s="15">
        <v>1.0679803301900529E-2</v>
      </c>
      <c r="L16" s="16">
        <v>1.1769619054737572E-4</v>
      </c>
      <c r="M16" s="16">
        <v>1.0245057265357313E-2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3.7201049755219073E-4</v>
      </c>
      <c r="C17" s="15">
        <v>3.4420262572311934E-2</v>
      </c>
      <c r="D17" s="16">
        <v>-3.4036772067570596E-4</v>
      </c>
      <c r="E17" s="16">
        <v>3.4771297316448173E-2</v>
      </c>
      <c r="F17" s="15">
        <v>1.1703736327799558E-3</v>
      </c>
      <c r="G17" s="15">
        <v>3.2845170766166741E-2</v>
      </c>
      <c r="H17" s="16">
        <v>3.8901993980117552E-4</v>
      </c>
      <c r="I17" s="16">
        <v>2.8393482991189784E-2</v>
      </c>
      <c r="J17" s="15">
        <v>1.4371563101029565E-4</v>
      </c>
      <c r="K17" s="15">
        <v>3.103875793678151E-2</v>
      </c>
      <c r="L17" s="16">
        <v>4.3384603445732864E-4</v>
      </c>
      <c r="M17" s="16">
        <v>2.9985583904090927E-2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2.7695147765872057E-6</v>
      </c>
      <c r="C18" s="15">
        <v>5.0633300961279243E-2</v>
      </c>
      <c r="D18" s="16">
        <v>-6.2742454996440194E-4</v>
      </c>
      <c r="E18" s="16">
        <v>5.263272702363863E-2</v>
      </c>
      <c r="F18" s="15">
        <v>1.5194554259223873E-3</v>
      </c>
      <c r="G18" s="15">
        <v>5.3215295238291563E-2</v>
      </c>
      <c r="H18" s="16">
        <v>7.4868190455893585E-4</v>
      </c>
      <c r="I18" s="16">
        <v>5.5912077403644879E-2</v>
      </c>
      <c r="J18" s="15">
        <v>6.340111835224072E-4</v>
      </c>
      <c r="K18" s="15">
        <v>6.0576110616568882E-2</v>
      </c>
      <c r="L18" s="16">
        <v>8.8641127412309123E-4</v>
      </c>
      <c r="M18" s="16">
        <v>5.9242989275291848E-2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1.9281862514833105E-5</v>
      </c>
      <c r="C19" s="15">
        <v>9.4591230849836862E-5</v>
      </c>
      <c r="D19" s="16">
        <v>9.2540868164299651E-5</v>
      </c>
      <c r="E19" s="16">
        <v>1.2936942099243265E-4</v>
      </c>
      <c r="F19" s="15">
        <v>3.8915161238117844E-5</v>
      </c>
      <c r="G19" s="15">
        <v>2.2109455426345609E-4</v>
      </c>
      <c r="H19" s="16">
        <v>-3.6349317285089817E-5</v>
      </c>
      <c r="I19" s="16">
        <v>2.5955665086430303E-4</v>
      </c>
      <c r="J19" s="15">
        <v>-1.2166595109667296E-4</v>
      </c>
      <c r="K19" s="15">
        <v>2.3183392168906313E-4</v>
      </c>
      <c r="L19" s="16">
        <v>-3.6097403760481223E-5</v>
      </c>
      <c r="M19" s="16">
        <v>1.3584037732877651E-4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-5.972468010712438E-4</v>
      </c>
      <c r="C20" s="15">
        <v>8.326649877722352E-4</v>
      </c>
      <c r="D20" s="16">
        <v>4.4724550970088206E-4</v>
      </c>
      <c r="E20" s="16">
        <v>-2.7800084078802122E-5</v>
      </c>
      <c r="F20" s="15">
        <v>-8.9412257392160795E-4</v>
      </c>
      <c r="G20" s="15">
        <v>2.0924858639740962E-4</v>
      </c>
      <c r="H20" s="16">
        <v>-1.7786004201828767E-3</v>
      </c>
      <c r="I20" s="16">
        <v>-6.2481212135106318E-4</v>
      </c>
      <c r="J20" s="15">
        <v>8.4904079629585425E-4</v>
      </c>
      <c r="K20" s="15">
        <v>-2.42932456323909E-3</v>
      </c>
      <c r="L20" s="16">
        <v>-4.5163344790279315E-4</v>
      </c>
      <c r="M20" s="16">
        <v>-2.4446150251962212E-3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-2.3509853793012918E-5</v>
      </c>
      <c r="C21" s="15">
        <v>2.5967555061743229E-5</v>
      </c>
      <c r="D21" s="16">
        <v>-6.7821512356106924E-6</v>
      </c>
      <c r="E21" s="16">
        <v>2.0148832100449119E-5</v>
      </c>
      <c r="F21" s="15">
        <v>-3.1469769799938638E-4</v>
      </c>
      <c r="G21" s="15">
        <v>6.3453485792211678E-5</v>
      </c>
      <c r="H21" s="16">
        <v>-2.5305309847222527E-4</v>
      </c>
      <c r="I21" s="16">
        <v>-2.006246153019193E-4</v>
      </c>
      <c r="J21" s="15">
        <v>2.4828674873280234E-4</v>
      </c>
      <c r="K21" s="15">
        <v>-1.8722315051846264E-4</v>
      </c>
      <c r="L21" s="16">
        <v>1.6595496179848865E-4</v>
      </c>
      <c r="M21" s="16">
        <v>6.4970148643212596E-6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4.8664811997306947E-6</v>
      </c>
      <c r="C22" s="15">
        <v>7.3087212946771176E-4</v>
      </c>
      <c r="D22" s="16">
        <v>4.3004340177921168E-6</v>
      </c>
      <c r="E22" s="16">
        <v>6.9022708149397581E-4</v>
      </c>
      <c r="F22" s="15">
        <v>4.4174035619471962E-6</v>
      </c>
      <c r="G22" s="15">
        <v>6.5036060271012291E-4</v>
      </c>
      <c r="H22" s="16">
        <v>2.3222423589166383E-5</v>
      </c>
      <c r="I22" s="16">
        <v>1.7447935251925619E-3</v>
      </c>
      <c r="J22" s="15">
        <v>3.477039583482368E-5</v>
      </c>
      <c r="K22" s="15">
        <v>3.1467462086497101E-3</v>
      </c>
      <c r="L22" s="16">
        <v>5.7863378923427377E-7</v>
      </c>
      <c r="M22" s="16">
        <v>5.0394680920134004E-3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1.031134695311961E-3</v>
      </c>
      <c r="C23" s="15">
        <v>7.4832157719813927E-2</v>
      </c>
      <c r="D23" s="16">
        <v>5.5998682300645287E-4</v>
      </c>
      <c r="E23" s="16">
        <v>7.5905647446047095E-2</v>
      </c>
      <c r="F23" s="15">
        <v>1.1046096571092749E-3</v>
      </c>
      <c r="G23" s="15">
        <v>7.58583369147037E-2</v>
      </c>
      <c r="H23" s="16">
        <v>4.3710295881149058E-4</v>
      </c>
      <c r="I23" s="16">
        <v>7.4056385865600968E-2</v>
      </c>
      <c r="J23" s="15">
        <v>3.9959560995737512E-4</v>
      </c>
      <c r="K23" s="15">
        <v>7.9334891426065174E-2</v>
      </c>
      <c r="L23" s="16">
        <v>-8.8337522070547781E-5</v>
      </c>
      <c r="M23" s="16">
        <v>6.7665006553757415E-2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74" t="s">
        <v>44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19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20</v>
      </c>
      <c r="B28" s="20">
        <v>3.8000000000000002E-4</v>
      </c>
      <c r="C28" s="21">
        <v>1.0000000000000002</v>
      </c>
      <c r="D28" s="22">
        <v>3.1800000000000001E-3</v>
      </c>
      <c r="E28" s="23">
        <v>0.99999999999999922</v>
      </c>
      <c r="F28" s="20">
        <v>7.3800000000000003E-3</v>
      </c>
      <c r="G28" s="21">
        <v>0.99999999999999978</v>
      </c>
      <c r="H28" s="22">
        <v>-4.15E-3</v>
      </c>
      <c r="I28" s="23">
        <v>1.0000000000000007</v>
      </c>
      <c r="J28" s="20">
        <v>-2.0000000000000001E-4</v>
      </c>
      <c r="K28" s="21">
        <v>1.0000000000000013</v>
      </c>
      <c r="L28" s="22">
        <v>1.0200000000000001E-3</v>
      </c>
      <c r="M28" s="23">
        <v>0.99999999999999989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21</v>
      </c>
      <c r="B29" s="24">
        <v>60.941000000000003</v>
      </c>
      <c r="C29" s="25"/>
      <c r="D29" s="26">
        <v>523.90300000000002</v>
      </c>
      <c r="E29" s="25"/>
      <c r="F29" s="24">
        <v>1214.0239999999999</v>
      </c>
      <c r="G29" s="25"/>
      <c r="H29" s="26">
        <v>-675.68399999999997</v>
      </c>
      <c r="I29" s="25"/>
      <c r="J29" s="24">
        <v>-24.858000000000001</v>
      </c>
      <c r="K29" s="25"/>
      <c r="L29" s="26">
        <v>169.858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22</v>
      </c>
      <c r="B31" s="29">
        <v>-1.2934245905360628E-4</v>
      </c>
      <c r="C31" s="15">
        <v>0.85206994580037398</v>
      </c>
      <c r="D31" s="31">
        <v>5.141941026691162E-3</v>
      </c>
      <c r="E31" s="31">
        <v>0.85826339462108092</v>
      </c>
      <c r="F31" s="29">
        <v>1.7249058864096159E-3</v>
      </c>
      <c r="G31" s="15">
        <v>0.8622487717927384</v>
      </c>
      <c r="H31" s="31">
        <v>-4.2255638677714509E-3</v>
      </c>
      <c r="I31" s="31">
        <v>0.86015512453742893</v>
      </c>
      <c r="J31" s="29">
        <v>-2.5209840315176678E-3</v>
      </c>
      <c r="K31" s="15">
        <v>0.83638828249412056</v>
      </c>
      <c r="L31" s="31">
        <v>-1.5848260346900298E-3</v>
      </c>
      <c r="M31" s="31">
        <v>0.83748413219903428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23</v>
      </c>
      <c r="B32" s="29">
        <v>5.0934245905360576E-4</v>
      </c>
      <c r="C32" s="15">
        <v>0.14793005419962599</v>
      </c>
      <c r="D32" s="30">
        <v>-1.961941026691161E-3</v>
      </c>
      <c r="E32" s="16">
        <v>0.14173660537891913</v>
      </c>
      <c r="F32" s="29">
        <v>5.6550941135903848E-3</v>
      </c>
      <c r="G32" s="15">
        <v>0.13775122820726138</v>
      </c>
      <c r="H32" s="30">
        <v>7.5563867771451506E-5</v>
      </c>
      <c r="I32" s="16">
        <v>0.1398448754625711</v>
      </c>
      <c r="J32" s="29">
        <v>2.3209840315176621E-3</v>
      </c>
      <c r="K32" s="15">
        <v>0.16361171750587936</v>
      </c>
      <c r="L32" s="30">
        <v>2.6048260346900319E-3</v>
      </c>
      <c r="M32" s="16">
        <v>0.16251586780096572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20</v>
      </c>
      <c r="B33" s="20">
        <v>3.7999999999999948E-4</v>
      </c>
      <c r="C33" s="21">
        <v>1</v>
      </c>
      <c r="D33" s="22">
        <v>3.180000000000001E-3</v>
      </c>
      <c r="E33" s="23">
        <v>1</v>
      </c>
      <c r="F33" s="20">
        <v>7.3800000000000011E-3</v>
      </c>
      <c r="G33" s="21">
        <v>0.99999999999999978</v>
      </c>
      <c r="H33" s="22">
        <v>-4.1499999999999992E-3</v>
      </c>
      <c r="I33" s="23">
        <v>1</v>
      </c>
      <c r="J33" s="20">
        <v>-2.0000000000000573E-4</v>
      </c>
      <c r="K33" s="21">
        <v>0.99999999999999989</v>
      </c>
      <c r="L33" s="22">
        <v>1.020000000000002E-3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24</v>
      </c>
      <c r="B35" s="29">
        <v>-2.5349476135120576E-4</v>
      </c>
      <c r="C35" s="15">
        <v>0.8558376655043658</v>
      </c>
      <c r="D35" s="16">
        <v>2.6313972910879347E-3</v>
      </c>
      <c r="E35" s="31">
        <v>0.85372353851428873</v>
      </c>
      <c r="F35" s="29">
        <v>5.9897793775846595E-3</v>
      </c>
      <c r="G35" s="15">
        <v>0.8527274239521484</v>
      </c>
      <c r="H35" s="16">
        <v>-4.0183537987531501E-3</v>
      </c>
      <c r="I35" s="31">
        <v>0.85272494881042094</v>
      </c>
      <c r="J35" s="29">
        <v>-1.6733447537070553E-3</v>
      </c>
      <c r="K35" s="15">
        <v>0.84286343689263132</v>
      </c>
      <c r="L35" s="16">
        <v>6.6028892737624695E-4</v>
      </c>
      <c r="M35" s="31">
        <v>0.85650343518545557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25</v>
      </c>
      <c r="B36" s="29">
        <v>6.3349476135120481E-4</v>
      </c>
      <c r="C36" s="15">
        <v>0.14416233449563431</v>
      </c>
      <c r="D36" s="30">
        <v>5.4860270891206721E-4</v>
      </c>
      <c r="E36" s="16">
        <v>0.14627646148571125</v>
      </c>
      <c r="F36" s="29">
        <v>1.3902206224153423E-3</v>
      </c>
      <c r="G36" s="15">
        <v>0.14727257604785157</v>
      </c>
      <c r="H36" s="30">
        <v>-1.3164620124685235E-4</v>
      </c>
      <c r="I36" s="16">
        <v>0.14727505118957909</v>
      </c>
      <c r="J36" s="29">
        <v>1.4733447537070496E-3</v>
      </c>
      <c r="K36" s="15">
        <v>0.15713656310736854</v>
      </c>
      <c r="L36" s="30">
        <v>3.597110726237554E-4</v>
      </c>
      <c r="M36" s="16">
        <v>0.1434965648145444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20</v>
      </c>
      <c r="B37" s="20">
        <v>3.7999999999999905E-4</v>
      </c>
      <c r="C37" s="21">
        <v>1</v>
      </c>
      <c r="D37" s="22">
        <v>3.1800000000000018E-3</v>
      </c>
      <c r="E37" s="23">
        <v>1</v>
      </c>
      <c r="F37" s="20">
        <v>7.380000000000002E-3</v>
      </c>
      <c r="G37" s="21">
        <v>1</v>
      </c>
      <c r="H37" s="22">
        <v>-4.1500000000000026E-3</v>
      </c>
      <c r="I37" s="23">
        <v>1</v>
      </c>
      <c r="J37" s="20">
        <v>-2.0000000000000573E-4</v>
      </c>
      <c r="K37" s="21">
        <v>0.99999999999999989</v>
      </c>
      <c r="L37" s="22">
        <v>1.0200000000000022E-3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7"/>
      <c r="E39" s="78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26</v>
      </c>
      <c r="B40" s="79" t="s">
        <v>58</v>
      </c>
      <c r="C40" s="80"/>
      <c r="D40" s="75" t="s">
        <v>59</v>
      </c>
      <c r="E40" s="81"/>
      <c r="F40" s="79" t="s">
        <v>60</v>
      </c>
      <c r="G40" s="80"/>
      <c r="H40" s="75" t="s">
        <v>60</v>
      </c>
      <c r="I40" s="76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-3.6863926424750976E-6</v>
      </c>
      <c r="C42" s="47">
        <v>6.3547769314894517E-2</v>
      </c>
      <c r="D42" s="48">
        <v>7.5864457730756563E-4</v>
      </c>
      <c r="E42" s="48">
        <v>6.1566117610283334E-2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3" t="s">
        <v>43</v>
      </c>
      <c r="B43" s="46">
        <v>-2.0167163075536032E-3</v>
      </c>
      <c r="C43" s="47">
        <v>0.29115563356809376</v>
      </c>
      <c r="D43" s="48">
        <v>-8.4260133164247176E-3</v>
      </c>
      <c r="E43" s="48">
        <v>0.30265938969197759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8.639110403837939E-3</v>
      </c>
      <c r="C46" s="47">
        <v>0.44739529919367399</v>
      </c>
      <c r="D46" s="48">
        <v>8.7866152336570098E-3</v>
      </c>
      <c r="E46" s="48">
        <v>0.4402535678927309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1.977898969223603E-4</v>
      </c>
      <c r="C47" s="47">
        <v>1.4887510161784502E-2</v>
      </c>
      <c r="D47" s="48">
        <v>3.0343770166187099E-5</v>
      </c>
      <c r="E47" s="48">
        <v>1.3924311117503011E-2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2.2576298875357458E-4</v>
      </c>
      <c r="C48" s="47">
        <v>6.016626616378821E-3</v>
      </c>
      <c r="D48" s="48">
        <v>-2.9054185303067708E-4</v>
      </c>
      <c r="E48" s="48">
        <v>6.0116831538474793E-3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3.8201520104231017E-4</v>
      </c>
      <c r="C49" s="47">
        <v>1.4079029697999514E-2</v>
      </c>
      <c r="D49" s="48">
        <v>5.4683627975103742E-4</v>
      </c>
      <c r="E49" s="48">
        <v>1.2311961095406084E-2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1.2033440994842204E-3</v>
      </c>
      <c r="C50" s="47">
        <v>3.4012243551642285E-2</v>
      </c>
      <c r="D50" s="48">
        <v>2.1678393833061919E-3</v>
      </c>
      <c r="E50" s="48">
        <v>3.1909092581164845E-2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8.9602324652851789E-4</v>
      </c>
      <c r="C51" s="47">
        <v>5.2160441074403152E-2</v>
      </c>
      <c r="D51" s="48">
        <v>3.16300909971713E-3</v>
      </c>
      <c r="E51" s="48">
        <v>5.5368750086452513E-2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1.5075021034916157E-4</v>
      </c>
      <c r="C52" s="47">
        <v>1.4835173536857519E-4</v>
      </c>
      <c r="D52" s="48">
        <v>-4.3399640431253611E-5</v>
      </c>
      <c r="E52" s="48">
        <v>1.7871435933131138E-4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-1.0442425354953793E-3</v>
      </c>
      <c r="C53" s="47">
        <v>3.3803783003028091E-4</v>
      </c>
      <c r="D53" s="48">
        <v>-2.4250462253961273E-3</v>
      </c>
      <c r="E53" s="48">
        <v>-7.4743970328258866E-4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-3.4497848873673925E-4</v>
      </c>
      <c r="C54" s="47">
        <v>3.6523290984801341E-5</v>
      </c>
      <c r="D54" s="48">
        <v>-1.8390760809328476E-4</v>
      </c>
      <c r="E54" s="48">
        <v>-4.5296813000276111E-5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1.3613155505374148E-5</v>
      </c>
      <c r="C55" s="47">
        <v>6.9048660455727027E-4</v>
      </c>
      <c r="D55" s="48">
        <v>7.202468691044183E-5</v>
      </c>
      <c r="E55" s="48">
        <v>2.0004112732545805E-3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2.7012145220047397E-3</v>
      </c>
      <c r="C56" s="47">
        <v>7.5532047360188245E-2</v>
      </c>
      <c r="D56" s="48">
        <v>3.4435956125604965E-3</v>
      </c>
      <c r="E56" s="48">
        <v>7.4608737654331389E-2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74" t="s">
        <v>44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19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27</v>
      </c>
      <c r="B61" s="49">
        <v>1.0999999999999999E-2</v>
      </c>
      <c r="C61" s="50">
        <v>0.99999999999999989</v>
      </c>
      <c r="D61" s="67">
        <v>7.6E-3</v>
      </c>
      <c r="E61" s="52">
        <v>1.0000000000000002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21</v>
      </c>
      <c r="B62" s="53">
        <v>1798.8679999999999</v>
      </c>
      <c r="C62" s="54"/>
      <c r="D62" s="55">
        <v>1268.184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22</v>
      </c>
      <c r="B64" s="56">
        <v>6.7454844963406035E-3</v>
      </c>
      <c r="C64" s="47">
        <v>0.8575273707380644</v>
      </c>
      <c r="D64" s="57">
        <v>-1.620616923685092E-3</v>
      </c>
      <c r="E64" s="48">
        <v>0.85110160857412964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23</v>
      </c>
      <c r="B65" s="46">
        <v>4.2545155036593958E-3</v>
      </c>
      <c r="C65" s="47">
        <v>0.14247262926193549</v>
      </c>
      <c r="D65" s="57">
        <v>9.2206169236850911E-3</v>
      </c>
      <c r="E65" s="48">
        <v>0.14889839142587044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27</v>
      </c>
      <c r="B66" s="49">
        <v>1.0999999999999999E-2</v>
      </c>
      <c r="C66" s="50">
        <v>0.99999999999999989</v>
      </c>
      <c r="D66" s="51">
        <v>7.6E-3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24</v>
      </c>
      <c r="B68" s="56">
        <v>8.3812539779726247E-3</v>
      </c>
      <c r="C68" s="47">
        <v>0.85409620932360097</v>
      </c>
      <c r="D68" s="57">
        <v>3.3106700919005583E-3</v>
      </c>
      <c r="E68" s="48">
        <v>0.85239674147655187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25</v>
      </c>
      <c r="B69" s="56">
        <v>2.6187460220273746E-3</v>
      </c>
      <c r="C69" s="47">
        <v>0.14590379067639905</v>
      </c>
      <c r="D69" s="57">
        <v>4.2893299080994417E-3</v>
      </c>
      <c r="E69" s="48">
        <v>0.14760325852344822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27</v>
      </c>
      <c r="B70" s="49">
        <v>1.0999999999999999E-2</v>
      </c>
      <c r="C70" s="50">
        <v>1</v>
      </c>
      <c r="D70" s="51">
        <v>7.6E-3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F1745-0EA8-440A-94AD-2182B9A08343}">
  <sheetPr codeName="גיליון30">
    <tabColor rgb="FF92D050"/>
  </sheetPr>
  <dimension ref="B1:AE73"/>
  <sheetViews>
    <sheetView showGridLines="0" rightToLeft="1" topLeftCell="A40" zoomScale="90" zoomScaleNormal="90" workbookViewId="0">
      <selection activeCell="H73" sqref="H73"/>
    </sheetView>
  </sheetViews>
  <sheetFormatPr defaultColWidth="9.125" defaultRowHeight="15" x14ac:dyDescent="0.25"/>
  <cols>
    <col min="1" max="1" width="2.875" style="82" customWidth="1"/>
    <col min="2" max="2" width="29.125" style="82" customWidth="1"/>
    <col min="3" max="3" width="20" style="82" customWidth="1"/>
    <col min="4" max="26" width="11.625" style="82" customWidth="1"/>
    <col min="27" max="16384" width="9.125" style="82"/>
  </cols>
  <sheetData>
    <row r="1" spans="2:31" ht="18.75" x14ac:dyDescent="0.3">
      <c r="B1" s="68" t="s">
        <v>35</v>
      </c>
    </row>
    <row r="2" spans="2:31" ht="18.75" x14ac:dyDescent="0.3">
      <c r="B2" s="69" t="s">
        <v>36</v>
      </c>
      <c r="C2" s="71">
        <f ca="1">[2]הנחיות!B21</f>
        <v>1351</v>
      </c>
      <c r="D2" s="83"/>
      <c r="E2" s="83"/>
    </row>
    <row r="3" spans="2:31" ht="18.75" x14ac:dyDescent="0.3">
      <c r="B3" s="84" t="s">
        <v>37</v>
      </c>
      <c r="C3" s="72" t="str">
        <f ca="1">[2]הנחיות!B23</f>
        <v>כלל השתלמות שקלי טווח קצר</v>
      </c>
      <c r="D3" s="72"/>
    </row>
    <row r="4" spans="2:31" ht="18.75" x14ac:dyDescent="0.3">
      <c r="B4" s="69" t="s">
        <v>38</v>
      </c>
      <c r="C4" s="72" t="str">
        <f ca="1">[2]הנחיות!B24</f>
        <v>כלל פנסיה וגמל בע"מ</v>
      </c>
      <c r="D4" s="72"/>
    </row>
    <row r="5" spans="2:31" ht="18.75" x14ac:dyDescent="0.3">
      <c r="B5" s="84" t="s">
        <v>39</v>
      </c>
      <c r="C5" s="71">
        <f ca="1">[2]הנחיות!B19</f>
        <v>2024</v>
      </c>
      <c r="D5" s="84" t="s">
        <v>40</v>
      </c>
      <c r="E5" s="71" t="str">
        <f ca="1">[2]הנחיות!B22</f>
        <v>30.06.24</v>
      </c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>
        <f ca="1">W5+1</f>
        <v>1</v>
      </c>
      <c r="Z5" s="85"/>
    </row>
    <row r="6" spans="2:31" s="86" customFormat="1" ht="47.45" customHeight="1" x14ac:dyDescent="0.2">
      <c r="B6" s="87" t="s">
        <v>61</v>
      </c>
      <c r="C6" s="88" t="s">
        <v>62</v>
      </c>
      <c r="D6" s="89" t="s">
        <v>63</v>
      </c>
      <c r="E6" s="90" t="s">
        <v>64</v>
      </c>
      <c r="F6" s="91" t="s">
        <v>65</v>
      </c>
      <c r="G6" s="88" t="s">
        <v>66</v>
      </c>
      <c r="H6" s="89" t="s">
        <v>67</v>
      </c>
      <c r="I6" s="90" t="s">
        <v>68</v>
      </c>
      <c r="J6" s="91" t="s">
        <v>69</v>
      </c>
      <c r="K6" s="88" t="s">
        <v>70</v>
      </c>
      <c r="L6" s="89" t="s">
        <v>71</v>
      </c>
      <c r="M6" s="90" t="s">
        <v>72</v>
      </c>
      <c r="N6" s="91" t="s">
        <v>73</v>
      </c>
      <c r="O6" s="88" t="s">
        <v>74</v>
      </c>
      <c r="P6" s="89" t="s">
        <v>75</v>
      </c>
      <c r="Q6" s="90" t="s">
        <v>76</v>
      </c>
      <c r="R6" s="91" t="s">
        <v>77</v>
      </c>
      <c r="S6" s="88" t="s">
        <v>78</v>
      </c>
      <c r="T6" s="89" t="s">
        <v>79</v>
      </c>
      <c r="U6" s="90" t="s">
        <v>80</v>
      </c>
      <c r="V6" s="91" t="s">
        <v>81</v>
      </c>
      <c r="W6" s="88" t="s">
        <v>82</v>
      </c>
      <c r="X6" s="89" t="s">
        <v>83</v>
      </c>
      <c r="Y6" s="90" t="s">
        <v>84</v>
      </c>
      <c r="Z6" s="91" t="s">
        <v>85</v>
      </c>
      <c r="AE6" s="92"/>
    </row>
    <row r="7" spans="2:31" x14ac:dyDescent="0.25">
      <c r="B7" s="93" t="s">
        <v>3</v>
      </c>
      <c r="C7" s="94">
        <v>4.4221138152009207E-4</v>
      </c>
      <c r="D7" s="95">
        <v>2.0292462942888168E-2</v>
      </c>
      <c r="E7" s="96">
        <v>2.9072542336151244E-4</v>
      </c>
      <c r="F7" s="97">
        <v>8.2548487184686214E-2</v>
      </c>
      <c r="G7" s="94">
        <v>2.2027345992693724E-4</v>
      </c>
      <c r="H7" s="95">
        <v>7.4298282004218896E-2</v>
      </c>
      <c r="I7" s="96">
        <v>2.5560179089323181E-4</v>
      </c>
      <c r="J7" s="97">
        <v>2.1097814206547924E-2</v>
      </c>
      <c r="K7" s="94">
        <v>8.921664046640564E-5</v>
      </c>
      <c r="L7" s="95">
        <v>1.0848441279136928E-3</v>
      </c>
      <c r="M7" s="96">
        <v>1.5102749144870267E-4</v>
      </c>
      <c r="N7" s="97">
        <v>3.2847675740623806E-3</v>
      </c>
      <c r="O7" s="94">
        <v>0</v>
      </c>
      <c r="P7" s="95">
        <v>0</v>
      </c>
      <c r="Q7" s="96">
        <v>0</v>
      </c>
      <c r="R7" s="97">
        <v>0</v>
      </c>
      <c r="S7" s="94">
        <v>0</v>
      </c>
      <c r="T7" s="95">
        <v>0</v>
      </c>
      <c r="U7" s="96">
        <v>0</v>
      </c>
      <c r="V7" s="97">
        <v>0</v>
      </c>
      <c r="W7" s="94">
        <v>0</v>
      </c>
      <c r="X7" s="95">
        <v>0</v>
      </c>
      <c r="Y7" s="96">
        <v>0</v>
      </c>
      <c r="Z7" s="97">
        <v>0</v>
      </c>
      <c r="AE7" s="98"/>
    </row>
    <row r="8" spans="2:31" ht="30" x14ac:dyDescent="0.25">
      <c r="B8" s="73" t="s">
        <v>43</v>
      </c>
      <c r="C8" s="94">
        <v>7.5344713636280643E-4</v>
      </c>
      <c r="D8" s="95">
        <v>0.20951198017227196</v>
      </c>
      <c r="E8" s="96">
        <v>5.8375820415953864E-4</v>
      </c>
      <c r="F8" s="97">
        <v>0.16987916773092512</v>
      </c>
      <c r="G8" s="94">
        <v>5.3631353759457179E-4</v>
      </c>
      <c r="H8" s="95">
        <v>0.15347879674936174</v>
      </c>
      <c r="I8" s="96">
        <v>3.929076307389865E-4</v>
      </c>
      <c r="J8" s="97">
        <v>0.13363814818015166</v>
      </c>
      <c r="K8" s="94">
        <v>5.3811320059909886E-4</v>
      </c>
      <c r="L8" s="95">
        <v>0.18550637954960983</v>
      </c>
      <c r="M8" s="96">
        <v>6.4805629886307843E-4</v>
      </c>
      <c r="N8" s="97">
        <v>0.17881053320307327</v>
      </c>
      <c r="O8" s="94">
        <v>0</v>
      </c>
      <c r="P8" s="95">
        <v>0</v>
      </c>
      <c r="Q8" s="96">
        <v>0</v>
      </c>
      <c r="R8" s="97">
        <v>0</v>
      </c>
      <c r="S8" s="94">
        <v>0</v>
      </c>
      <c r="T8" s="95">
        <v>0</v>
      </c>
      <c r="U8" s="96">
        <v>0</v>
      </c>
      <c r="V8" s="97">
        <v>0</v>
      </c>
      <c r="W8" s="94">
        <v>0</v>
      </c>
      <c r="X8" s="95">
        <v>0</v>
      </c>
      <c r="Y8" s="96">
        <v>0</v>
      </c>
      <c r="Z8" s="97">
        <v>0</v>
      </c>
      <c r="AE8" s="98"/>
    </row>
    <row r="9" spans="2:31" x14ac:dyDescent="0.25">
      <c r="B9" s="99" t="s">
        <v>4</v>
      </c>
      <c r="C9" s="94">
        <v>0</v>
      </c>
      <c r="D9" s="95">
        <v>0</v>
      </c>
      <c r="E9" s="96">
        <v>0</v>
      </c>
      <c r="F9" s="97">
        <v>0</v>
      </c>
      <c r="G9" s="94">
        <v>0</v>
      </c>
      <c r="H9" s="95">
        <v>0</v>
      </c>
      <c r="I9" s="96">
        <v>0</v>
      </c>
      <c r="J9" s="97">
        <v>0</v>
      </c>
      <c r="K9" s="94">
        <v>0</v>
      </c>
      <c r="L9" s="95">
        <v>0</v>
      </c>
      <c r="M9" s="96">
        <v>0</v>
      </c>
      <c r="N9" s="97">
        <v>0</v>
      </c>
      <c r="O9" s="94">
        <v>0</v>
      </c>
      <c r="P9" s="95">
        <v>0</v>
      </c>
      <c r="Q9" s="96">
        <v>0</v>
      </c>
      <c r="R9" s="97">
        <v>0</v>
      </c>
      <c r="S9" s="94">
        <v>0</v>
      </c>
      <c r="T9" s="95">
        <v>0</v>
      </c>
      <c r="U9" s="96">
        <v>0</v>
      </c>
      <c r="V9" s="97">
        <v>0</v>
      </c>
      <c r="W9" s="94">
        <v>0</v>
      </c>
      <c r="X9" s="95">
        <v>0</v>
      </c>
      <c r="Y9" s="96">
        <v>0</v>
      </c>
      <c r="Z9" s="97">
        <v>0</v>
      </c>
      <c r="AE9" s="98"/>
    </row>
    <row r="10" spans="2:31" x14ac:dyDescent="0.25">
      <c r="B10" s="99" t="s">
        <v>5</v>
      </c>
      <c r="C10" s="94">
        <v>1.0913771383710953E-5</v>
      </c>
      <c r="D10" s="95">
        <v>2.3324545166325322E-3</v>
      </c>
      <c r="E10" s="96">
        <v>7.956690122502392E-5</v>
      </c>
      <c r="F10" s="97">
        <v>2.1381717068811317E-3</v>
      </c>
      <c r="G10" s="94">
        <v>-9.9432807276231085E-5</v>
      </c>
      <c r="H10" s="95">
        <v>1.280111728733678E-3</v>
      </c>
      <c r="I10" s="96">
        <v>0</v>
      </c>
      <c r="J10" s="97">
        <v>0</v>
      </c>
      <c r="K10" s="94">
        <v>0</v>
      </c>
      <c r="L10" s="95">
        <v>0</v>
      </c>
      <c r="M10" s="96">
        <v>0</v>
      </c>
      <c r="N10" s="97">
        <v>0</v>
      </c>
      <c r="O10" s="94">
        <v>0</v>
      </c>
      <c r="P10" s="95">
        <v>0</v>
      </c>
      <c r="Q10" s="96">
        <v>0</v>
      </c>
      <c r="R10" s="97">
        <v>0</v>
      </c>
      <c r="S10" s="94">
        <v>0</v>
      </c>
      <c r="T10" s="95">
        <v>0</v>
      </c>
      <c r="U10" s="96">
        <v>0</v>
      </c>
      <c r="V10" s="97">
        <v>0</v>
      </c>
      <c r="W10" s="94">
        <v>0</v>
      </c>
      <c r="X10" s="95">
        <v>0</v>
      </c>
      <c r="Y10" s="96">
        <v>0</v>
      </c>
      <c r="Z10" s="97">
        <v>0</v>
      </c>
      <c r="AE10" s="98"/>
    </row>
    <row r="11" spans="2:31" x14ac:dyDescent="0.25">
      <c r="B11" s="99" t="s">
        <v>86</v>
      </c>
      <c r="C11" s="94">
        <v>2.6822147773538059E-3</v>
      </c>
      <c r="D11" s="95">
        <v>0.56678621519975902</v>
      </c>
      <c r="E11" s="96">
        <v>1.9643175718730005E-3</v>
      </c>
      <c r="F11" s="97">
        <v>0.58775138268376526</v>
      </c>
      <c r="G11" s="94">
        <v>2.1467636544441585E-3</v>
      </c>
      <c r="H11" s="95">
        <v>0.63913607369853886</v>
      </c>
      <c r="I11" s="96">
        <v>1.8859856771747526E-3</v>
      </c>
      <c r="J11" s="97">
        <v>0.76754007573079785</v>
      </c>
      <c r="K11" s="94">
        <v>3.0624928634203105E-3</v>
      </c>
      <c r="L11" s="95">
        <v>0.76449948555761515</v>
      </c>
      <c r="M11" s="96">
        <v>3.919802378988195E-3</v>
      </c>
      <c r="N11" s="97">
        <v>0.81763414868961237</v>
      </c>
      <c r="O11" s="94">
        <v>0</v>
      </c>
      <c r="P11" s="95">
        <v>0</v>
      </c>
      <c r="Q11" s="96">
        <v>0</v>
      </c>
      <c r="R11" s="97">
        <v>0</v>
      </c>
      <c r="S11" s="94">
        <v>0</v>
      </c>
      <c r="T11" s="95">
        <v>0</v>
      </c>
      <c r="U11" s="96">
        <v>0</v>
      </c>
      <c r="V11" s="97">
        <v>0</v>
      </c>
      <c r="W11" s="94">
        <v>0</v>
      </c>
      <c r="X11" s="95">
        <v>0</v>
      </c>
      <c r="Y11" s="96">
        <v>0</v>
      </c>
      <c r="Z11" s="97">
        <v>0</v>
      </c>
      <c r="AE11" s="98"/>
    </row>
    <row r="12" spans="2:31" x14ac:dyDescent="0.25">
      <c r="B12" s="99" t="s">
        <v>87</v>
      </c>
      <c r="C12" s="94">
        <v>0</v>
      </c>
      <c r="D12" s="95">
        <v>0</v>
      </c>
      <c r="E12" s="96">
        <v>0</v>
      </c>
      <c r="F12" s="97">
        <v>0</v>
      </c>
      <c r="G12" s="94">
        <v>0</v>
      </c>
      <c r="H12" s="95">
        <v>0</v>
      </c>
      <c r="I12" s="96">
        <v>0</v>
      </c>
      <c r="J12" s="97">
        <v>0</v>
      </c>
      <c r="K12" s="94">
        <v>0</v>
      </c>
      <c r="L12" s="95">
        <v>0</v>
      </c>
      <c r="M12" s="96">
        <v>0</v>
      </c>
      <c r="N12" s="97">
        <v>0</v>
      </c>
      <c r="O12" s="94">
        <v>0</v>
      </c>
      <c r="P12" s="95">
        <v>0</v>
      </c>
      <c r="Q12" s="96">
        <v>0</v>
      </c>
      <c r="R12" s="97">
        <v>0</v>
      </c>
      <c r="S12" s="94">
        <v>0</v>
      </c>
      <c r="T12" s="95">
        <v>0</v>
      </c>
      <c r="U12" s="96">
        <v>0</v>
      </c>
      <c r="V12" s="97">
        <v>0</v>
      </c>
      <c r="W12" s="94">
        <v>0</v>
      </c>
      <c r="X12" s="95">
        <v>0</v>
      </c>
      <c r="Y12" s="96">
        <v>0</v>
      </c>
      <c r="Z12" s="97">
        <v>0</v>
      </c>
      <c r="AE12" s="98"/>
    </row>
    <row r="13" spans="2:31" x14ac:dyDescent="0.25">
      <c r="B13" s="99" t="s">
        <v>8</v>
      </c>
      <c r="C13" s="94">
        <v>0</v>
      </c>
      <c r="D13" s="95">
        <v>0</v>
      </c>
      <c r="E13" s="96">
        <v>0</v>
      </c>
      <c r="F13" s="97">
        <v>0</v>
      </c>
      <c r="G13" s="94">
        <v>0</v>
      </c>
      <c r="H13" s="95">
        <v>0</v>
      </c>
      <c r="I13" s="96">
        <v>0</v>
      </c>
      <c r="J13" s="97">
        <v>0</v>
      </c>
      <c r="K13" s="94">
        <v>0</v>
      </c>
      <c r="L13" s="95">
        <v>0</v>
      </c>
      <c r="M13" s="96">
        <v>0</v>
      </c>
      <c r="N13" s="97">
        <v>0</v>
      </c>
      <c r="O13" s="94">
        <v>0</v>
      </c>
      <c r="P13" s="95">
        <v>0</v>
      </c>
      <c r="Q13" s="96">
        <v>0</v>
      </c>
      <c r="R13" s="97">
        <v>0</v>
      </c>
      <c r="S13" s="94">
        <v>0</v>
      </c>
      <c r="T13" s="95">
        <v>0</v>
      </c>
      <c r="U13" s="96">
        <v>0</v>
      </c>
      <c r="V13" s="97">
        <v>0</v>
      </c>
      <c r="W13" s="94">
        <v>0</v>
      </c>
      <c r="X13" s="95">
        <v>0</v>
      </c>
      <c r="Y13" s="96">
        <v>0</v>
      </c>
      <c r="Z13" s="97">
        <v>0</v>
      </c>
      <c r="AE13" s="98"/>
    </row>
    <row r="14" spans="2:31" x14ac:dyDescent="0.25">
      <c r="B14" s="99" t="s">
        <v>9</v>
      </c>
      <c r="C14" s="94">
        <v>0</v>
      </c>
      <c r="D14" s="95">
        <v>0</v>
      </c>
      <c r="E14" s="96">
        <v>0</v>
      </c>
      <c r="F14" s="97">
        <v>0</v>
      </c>
      <c r="G14" s="94">
        <v>0</v>
      </c>
      <c r="H14" s="95">
        <v>0</v>
      </c>
      <c r="I14" s="96">
        <v>0</v>
      </c>
      <c r="J14" s="97">
        <v>0</v>
      </c>
      <c r="K14" s="94">
        <v>0</v>
      </c>
      <c r="L14" s="95">
        <v>0</v>
      </c>
      <c r="M14" s="96">
        <v>0</v>
      </c>
      <c r="N14" s="97">
        <v>0</v>
      </c>
      <c r="O14" s="94">
        <v>0</v>
      </c>
      <c r="P14" s="95">
        <v>0</v>
      </c>
      <c r="Q14" s="96">
        <v>0</v>
      </c>
      <c r="R14" s="97">
        <v>0</v>
      </c>
      <c r="S14" s="94">
        <v>0</v>
      </c>
      <c r="T14" s="95">
        <v>0</v>
      </c>
      <c r="U14" s="96">
        <v>0</v>
      </c>
      <c r="V14" s="97">
        <v>0</v>
      </c>
      <c r="W14" s="94">
        <v>0</v>
      </c>
      <c r="X14" s="95">
        <v>0</v>
      </c>
      <c r="Y14" s="96">
        <v>0</v>
      </c>
      <c r="Z14" s="97">
        <v>0</v>
      </c>
      <c r="AE14" s="98"/>
    </row>
    <row r="15" spans="2:31" x14ac:dyDescent="0.25">
      <c r="B15" s="99" t="s">
        <v>10</v>
      </c>
      <c r="C15" s="94">
        <v>0</v>
      </c>
      <c r="D15" s="95">
        <v>0</v>
      </c>
      <c r="E15" s="96">
        <v>0</v>
      </c>
      <c r="F15" s="97">
        <v>0</v>
      </c>
      <c r="G15" s="94">
        <v>0</v>
      </c>
      <c r="H15" s="95">
        <v>0</v>
      </c>
      <c r="I15" s="96">
        <v>0</v>
      </c>
      <c r="J15" s="97">
        <v>0</v>
      </c>
      <c r="K15" s="94">
        <v>0</v>
      </c>
      <c r="L15" s="95">
        <v>0</v>
      </c>
      <c r="M15" s="96">
        <v>0</v>
      </c>
      <c r="N15" s="97">
        <v>0</v>
      </c>
      <c r="O15" s="94">
        <v>0</v>
      </c>
      <c r="P15" s="95">
        <v>0</v>
      </c>
      <c r="Q15" s="96">
        <v>0</v>
      </c>
      <c r="R15" s="97">
        <v>0</v>
      </c>
      <c r="S15" s="94">
        <v>0</v>
      </c>
      <c r="T15" s="95">
        <v>0</v>
      </c>
      <c r="U15" s="96">
        <v>0</v>
      </c>
      <c r="V15" s="97">
        <v>0</v>
      </c>
      <c r="W15" s="94">
        <v>0</v>
      </c>
      <c r="X15" s="95">
        <v>0</v>
      </c>
      <c r="Y15" s="96">
        <v>0</v>
      </c>
      <c r="Z15" s="97">
        <v>0</v>
      </c>
      <c r="AE15" s="98"/>
    </row>
    <row r="16" spans="2:31" x14ac:dyDescent="0.25">
      <c r="B16" s="99" t="s">
        <v>11</v>
      </c>
      <c r="C16" s="94">
        <v>0</v>
      </c>
      <c r="D16" s="95">
        <v>0</v>
      </c>
      <c r="E16" s="96">
        <v>0</v>
      </c>
      <c r="F16" s="97">
        <v>0</v>
      </c>
      <c r="G16" s="94">
        <v>0</v>
      </c>
      <c r="H16" s="95">
        <v>0</v>
      </c>
      <c r="I16" s="96">
        <v>0</v>
      </c>
      <c r="J16" s="97">
        <v>0</v>
      </c>
      <c r="K16" s="94">
        <v>0</v>
      </c>
      <c r="L16" s="95">
        <v>0</v>
      </c>
      <c r="M16" s="96">
        <v>0</v>
      </c>
      <c r="N16" s="97">
        <v>0</v>
      </c>
      <c r="O16" s="94">
        <v>0</v>
      </c>
      <c r="P16" s="95">
        <v>0</v>
      </c>
      <c r="Q16" s="96">
        <v>0</v>
      </c>
      <c r="R16" s="97">
        <v>0</v>
      </c>
      <c r="S16" s="94">
        <v>0</v>
      </c>
      <c r="T16" s="95">
        <v>0</v>
      </c>
      <c r="U16" s="96">
        <v>0</v>
      </c>
      <c r="V16" s="97">
        <v>0</v>
      </c>
      <c r="W16" s="94">
        <v>0</v>
      </c>
      <c r="X16" s="95">
        <v>0</v>
      </c>
      <c r="Y16" s="96">
        <v>0</v>
      </c>
      <c r="Z16" s="97">
        <v>0</v>
      </c>
      <c r="AE16" s="98"/>
    </row>
    <row r="17" spans="2:31" x14ac:dyDescent="0.25">
      <c r="B17" s="99" t="s">
        <v>12</v>
      </c>
      <c r="C17" s="94">
        <v>0</v>
      </c>
      <c r="D17" s="95">
        <v>0</v>
      </c>
      <c r="E17" s="96">
        <v>0</v>
      </c>
      <c r="F17" s="97">
        <v>0</v>
      </c>
      <c r="G17" s="94">
        <v>0</v>
      </c>
      <c r="H17" s="95">
        <v>0</v>
      </c>
      <c r="I17" s="96">
        <v>0</v>
      </c>
      <c r="J17" s="97">
        <v>0</v>
      </c>
      <c r="K17" s="94">
        <v>0</v>
      </c>
      <c r="L17" s="95">
        <v>0</v>
      </c>
      <c r="M17" s="96">
        <v>0</v>
      </c>
      <c r="N17" s="97">
        <v>0</v>
      </c>
      <c r="O17" s="94">
        <v>0</v>
      </c>
      <c r="P17" s="95">
        <v>0</v>
      </c>
      <c r="Q17" s="96">
        <v>0</v>
      </c>
      <c r="R17" s="97">
        <v>0</v>
      </c>
      <c r="S17" s="94">
        <v>0</v>
      </c>
      <c r="T17" s="95">
        <v>0</v>
      </c>
      <c r="U17" s="96">
        <v>0</v>
      </c>
      <c r="V17" s="97">
        <v>0</v>
      </c>
      <c r="W17" s="94">
        <v>0</v>
      </c>
      <c r="X17" s="95">
        <v>0</v>
      </c>
      <c r="Y17" s="96">
        <v>0</v>
      </c>
      <c r="Z17" s="97">
        <v>0</v>
      </c>
      <c r="AE17" s="98"/>
    </row>
    <row r="18" spans="2:31" x14ac:dyDescent="0.25">
      <c r="B18" s="99" t="s">
        <v>13</v>
      </c>
      <c r="C18" s="94">
        <v>0</v>
      </c>
      <c r="D18" s="95">
        <v>0</v>
      </c>
      <c r="E18" s="96">
        <v>0</v>
      </c>
      <c r="F18" s="97">
        <v>0</v>
      </c>
      <c r="G18" s="94">
        <v>0</v>
      </c>
      <c r="H18" s="95">
        <v>0</v>
      </c>
      <c r="I18" s="96">
        <v>0</v>
      </c>
      <c r="J18" s="97">
        <v>0</v>
      </c>
      <c r="K18" s="94">
        <v>0</v>
      </c>
      <c r="L18" s="95">
        <v>0</v>
      </c>
      <c r="M18" s="96">
        <v>0</v>
      </c>
      <c r="N18" s="97">
        <v>0</v>
      </c>
      <c r="O18" s="94">
        <v>0</v>
      </c>
      <c r="P18" s="95">
        <v>0</v>
      </c>
      <c r="Q18" s="96">
        <v>0</v>
      </c>
      <c r="R18" s="97">
        <v>0</v>
      </c>
      <c r="S18" s="94">
        <v>0</v>
      </c>
      <c r="T18" s="95">
        <v>0</v>
      </c>
      <c r="U18" s="96">
        <v>0</v>
      </c>
      <c r="V18" s="97">
        <v>0</v>
      </c>
      <c r="W18" s="94">
        <v>0</v>
      </c>
      <c r="X18" s="95">
        <v>0</v>
      </c>
      <c r="Y18" s="96">
        <v>0</v>
      </c>
      <c r="Z18" s="97">
        <v>0</v>
      </c>
      <c r="AE18" s="98"/>
    </row>
    <row r="19" spans="2:31" x14ac:dyDescent="0.25">
      <c r="B19" s="99" t="s">
        <v>14</v>
      </c>
      <c r="C19" s="94">
        <v>0</v>
      </c>
      <c r="D19" s="95">
        <v>0</v>
      </c>
      <c r="E19" s="96">
        <v>0</v>
      </c>
      <c r="F19" s="97">
        <v>0</v>
      </c>
      <c r="G19" s="94">
        <v>0</v>
      </c>
      <c r="H19" s="95">
        <v>0</v>
      </c>
      <c r="I19" s="96">
        <v>0</v>
      </c>
      <c r="J19" s="97">
        <v>0</v>
      </c>
      <c r="K19" s="94">
        <v>0</v>
      </c>
      <c r="L19" s="95">
        <v>0</v>
      </c>
      <c r="M19" s="96">
        <v>0</v>
      </c>
      <c r="N19" s="97">
        <v>0</v>
      </c>
      <c r="O19" s="94">
        <v>0</v>
      </c>
      <c r="P19" s="95">
        <v>0</v>
      </c>
      <c r="Q19" s="96">
        <v>0</v>
      </c>
      <c r="R19" s="97">
        <v>0</v>
      </c>
      <c r="S19" s="94">
        <v>0</v>
      </c>
      <c r="T19" s="95">
        <v>0</v>
      </c>
      <c r="U19" s="96">
        <v>0</v>
      </c>
      <c r="V19" s="97">
        <v>0</v>
      </c>
      <c r="W19" s="94">
        <v>0</v>
      </c>
      <c r="X19" s="95">
        <v>0</v>
      </c>
      <c r="Y19" s="96">
        <v>0</v>
      </c>
      <c r="Z19" s="97">
        <v>0</v>
      </c>
    </row>
    <row r="20" spans="2:31" x14ac:dyDescent="0.25">
      <c r="B20" s="99" t="s">
        <v>15</v>
      </c>
      <c r="C20" s="94">
        <v>0</v>
      </c>
      <c r="D20" s="95">
        <v>0</v>
      </c>
      <c r="E20" s="96">
        <v>0</v>
      </c>
      <c r="F20" s="97">
        <v>0</v>
      </c>
      <c r="G20" s="94">
        <v>0</v>
      </c>
      <c r="H20" s="95">
        <v>0</v>
      </c>
      <c r="I20" s="96">
        <v>0</v>
      </c>
      <c r="J20" s="97">
        <v>0</v>
      </c>
      <c r="K20" s="94">
        <v>0</v>
      </c>
      <c r="L20" s="95">
        <v>0</v>
      </c>
      <c r="M20" s="96">
        <v>0</v>
      </c>
      <c r="N20" s="97">
        <v>0</v>
      </c>
      <c r="O20" s="94">
        <v>0</v>
      </c>
      <c r="P20" s="95">
        <v>0</v>
      </c>
      <c r="Q20" s="96">
        <v>0</v>
      </c>
      <c r="R20" s="97">
        <v>0</v>
      </c>
      <c r="S20" s="94">
        <v>0</v>
      </c>
      <c r="T20" s="95">
        <v>0</v>
      </c>
      <c r="U20" s="96">
        <v>0</v>
      </c>
      <c r="V20" s="97">
        <v>0</v>
      </c>
      <c r="W20" s="94">
        <v>0</v>
      </c>
      <c r="X20" s="95">
        <v>0</v>
      </c>
      <c r="Y20" s="96">
        <v>0</v>
      </c>
      <c r="Z20" s="97">
        <v>0</v>
      </c>
    </row>
    <row r="21" spans="2:31" x14ac:dyDescent="0.25">
      <c r="B21" s="99" t="s">
        <v>16</v>
      </c>
      <c r="C21" s="94">
        <v>0</v>
      </c>
      <c r="D21" s="95">
        <v>2.7458187118244349E-4</v>
      </c>
      <c r="E21" s="96">
        <v>3.0652911281097044E-6</v>
      </c>
      <c r="F21" s="97">
        <v>2.4786455771177567E-4</v>
      </c>
      <c r="G21" s="94">
        <v>2.1181672190022917E-6</v>
      </c>
      <c r="H21" s="95">
        <v>2.4990700081315548E-4</v>
      </c>
      <c r="I21" s="96">
        <v>1.3020161050772579E-6</v>
      </c>
      <c r="J21" s="97">
        <v>2.6479504669650361E-4</v>
      </c>
      <c r="K21" s="94">
        <v>1.5194963979798981E-6</v>
      </c>
      <c r="L21" s="95">
        <v>2.4837495315291016E-4</v>
      </c>
      <c r="M21" s="96">
        <v>1.1138307000243024E-6</v>
      </c>
      <c r="N21" s="97">
        <v>2.7055053325194536E-4</v>
      </c>
      <c r="O21" s="94">
        <v>0</v>
      </c>
      <c r="P21" s="95">
        <v>0</v>
      </c>
      <c r="Q21" s="96">
        <v>0</v>
      </c>
      <c r="R21" s="97">
        <v>0</v>
      </c>
      <c r="S21" s="94">
        <v>0</v>
      </c>
      <c r="T21" s="95">
        <v>0</v>
      </c>
      <c r="U21" s="96">
        <v>0</v>
      </c>
      <c r="V21" s="97">
        <v>0</v>
      </c>
      <c r="W21" s="94">
        <v>0</v>
      </c>
      <c r="X21" s="95">
        <v>0</v>
      </c>
      <c r="Y21" s="96">
        <v>0</v>
      </c>
      <c r="Z21" s="97">
        <v>0</v>
      </c>
    </row>
    <row r="22" spans="2:31" x14ac:dyDescent="0.25">
      <c r="B22" s="99" t="s">
        <v>88</v>
      </c>
      <c r="C22" s="94">
        <v>7.1121293337958491E-4</v>
      </c>
      <c r="D22" s="95">
        <v>0.20080230529726589</v>
      </c>
      <c r="E22" s="96">
        <v>5.9856660825281468E-4</v>
      </c>
      <c r="F22" s="97">
        <v>0.15743492613603044</v>
      </c>
      <c r="G22" s="94">
        <v>5.239639880915616E-4</v>
      </c>
      <c r="H22" s="95">
        <v>0.13155682881833355</v>
      </c>
      <c r="I22" s="96">
        <v>2.6420288508795145E-4</v>
      </c>
      <c r="J22" s="97">
        <v>7.7459166835806198E-2</v>
      </c>
      <c r="K22" s="94">
        <v>-1.3422008837946208E-6</v>
      </c>
      <c r="L22" s="95">
        <v>4.8660915811708394E-2</v>
      </c>
      <c r="M22" s="96">
        <v>0</v>
      </c>
      <c r="N22" s="97">
        <v>0</v>
      </c>
      <c r="O22" s="94">
        <v>0</v>
      </c>
      <c r="P22" s="95">
        <v>0</v>
      </c>
      <c r="Q22" s="96">
        <v>0</v>
      </c>
      <c r="R22" s="97">
        <v>0</v>
      </c>
      <c r="S22" s="94">
        <v>0</v>
      </c>
      <c r="T22" s="95">
        <v>0</v>
      </c>
      <c r="U22" s="96">
        <v>0</v>
      </c>
      <c r="V22" s="97">
        <v>0</v>
      </c>
      <c r="W22" s="94">
        <v>0</v>
      </c>
      <c r="X22" s="95">
        <v>0</v>
      </c>
      <c r="Y22" s="96">
        <v>0</v>
      </c>
      <c r="Z22" s="97">
        <v>0</v>
      </c>
    </row>
    <row r="23" spans="2:31" x14ac:dyDescent="0.25">
      <c r="B23" s="99" t="s">
        <v>18</v>
      </c>
      <c r="C23" s="94">
        <v>0</v>
      </c>
      <c r="D23" s="95">
        <v>0</v>
      </c>
      <c r="E23" s="96">
        <v>0</v>
      </c>
      <c r="F23" s="97">
        <v>0</v>
      </c>
      <c r="G23" s="94">
        <v>0</v>
      </c>
      <c r="H23" s="95">
        <v>0</v>
      </c>
      <c r="I23" s="96">
        <v>0</v>
      </c>
      <c r="J23" s="97">
        <v>0</v>
      </c>
      <c r="K23" s="94">
        <v>0</v>
      </c>
      <c r="L23" s="95">
        <v>0</v>
      </c>
      <c r="M23" s="96">
        <v>0</v>
      </c>
      <c r="N23" s="97">
        <v>0</v>
      </c>
      <c r="O23" s="94">
        <v>0</v>
      </c>
      <c r="P23" s="95">
        <v>0</v>
      </c>
      <c r="Q23" s="96">
        <v>0</v>
      </c>
      <c r="R23" s="97">
        <v>0</v>
      </c>
      <c r="S23" s="94">
        <v>0</v>
      </c>
      <c r="T23" s="95">
        <v>0</v>
      </c>
      <c r="U23" s="96">
        <v>0</v>
      </c>
      <c r="V23" s="97">
        <v>0</v>
      </c>
      <c r="W23" s="94">
        <v>0</v>
      </c>
      <c r="X23" s="95">
        <v>0</v>
      </c>
      <c r="Y23" s="96">
        <v>0</v>
      </c>
      <c r="Z23" s="97">
        <v>0</v>
      </c>
    </row>
    <row r="24" spans="2:31" x14ac:dyDescent="0.25">
      <c r="B24" s="74" t="s">
        <v>44</v>
      </c>
      <c r="C24" s="94">
        <v>0</v>
      </c>
      <c r="D24" s="95">
        <v>0</v>
      </c>
      <c r="E24" s="96">
        <v>0</v>
      </c>
      <c r="F24" s="97">
        <v>0</v>
      </c>
      <c r="G24" s="94">
        <v>0</v>
      </c>
      <c r="H24" s="95">
        <v>0</v>
      </c>
      <c r="I24" s="96">
        <v>0</v>
      </c>
      <c r="J24" s="97">
        <v>0</v>
      </c>
      <c r="K24" s="94">
        <v>0</v>
      </c>
      <c r="L24" s="95">
        <v>0</v>
      </c>
      <c r="M24" s="96">
        <v>0</v>
      </c>
      <c r="N24" s="97">
        <v>0</v>
      </c>
      <c r="O24" s="94">
        <v>0</v>
      </c>
      <c r="P24" s="95">
        <v>0</v>
      </c>
      <c r="Q24" s="96">
        <v>0</v>
      </c>
      <c r="R24" s="97">
        <v>0</v>
      </c>
      <c r="S24" s="94">
        <v>0</v>
      </c>
      <c r="T24" s="95">
        <v>0</v>
      </c>
      <c r="U24" s="96">
        <v>0</v>
      </c>
      <c r="V24" s="97">
        <v>0</v>
      </c>
      <c r="W24" s="94">
        <v>0</v>
      </c>
      <c r="X24" s="95">
        <v>0</v>
      </c>
      <c r="Y24" s="96">
        <v>0</v>
      </c>
      <c r="Z24" s="97">
        <v>0</v>
      </c>
    </row>
    <row r="25" spans="2:31" x14ac:dyDescent="0.25">
      <c r="B25" s="99" t="s">
        <v>19</v>
      </c>
      <c r="C25" s="94">
        <v>0</v>
      </c>
      <c r="D25" s="95">
        <v>0</v>
      </c>
      <c r="E25" s="96">
        <v>0</v>
      </c>
      <c r="F25" s="97">
        <v>0</v>
      </c>
      <c r="G25" s="94">
        <v>0</v>
      </c>
      <c r="H25" s="95">
        <v>0</v>
      </c>
      <c r="I25" s="96">
        <v>0</v>
      </c>
      <c r="J25" s="97">
        <v>0</v>
      </c>
      <c r="K25" s="94">
        <v>0</v>
      </c>
      <c r="L25" s="95">
        <v>0</v>
      </c>
      <c r="M25" s="96">
        <v>0</v>
      </c>
      <c r="N25" s="97">
        <v>0</v>
      </c>
      <c r="O25" s="94">
        <v>0</v>
      </c>
      <c r="P25" s="95">
        <v>0</v>
      </c>
      <c r="Q25" s="96">
        <v>0</v>
      </c>
      <c r="R25" s="97">
        <v>0</v>
      </c>
      <c r="S25" s="94">
        <v>0</v>
      </c>
      <c r="T25" s="95">
        <v>0</v>
      </c>
      <c r="U25" s="96">
        <v>0</v>
      </c>
      <c r="V25" s="97">
        <v>0</v>
      </c>
      <c r="W25" s="94">
        <v>0</v>
      </c>
      <c r="X25" s="95">
        <v>0</v>
      </c>
      <c r="Y25" s="96">
        <v>0</v>
      </c>
      <c r="Z25" s="97">
        <v>0</v>
      </c>
    </row>
    <row r="26" spans="2:31" x14ac:dyDescent="0.25">
      <c r="B26" s="100" t="s">
        <v>20</v>
      </c>
      <c r="C26" s="101">
        <v>4.5999999999999999E-3</v>
      </c>
      <c r="D26" s="102">
        <v>1</v>
      </c>
      <c r="E26" s="103">
        <v>3.5200000000000001E-3</v>
      </c>
      <c r="F26" s="104">
        <v>1</v>
      </c>
      <c r="G26" s="101">
        <v>3.3300000000000001E-3</v>
      </c>
      <c r="H26" s="102">
        <v>0.99999999999999989</v>
      </c>
      <c r="I26" s="103">
        <v>2.8E-3</v>
      </c>
      <c r="J26" s="104">
        <v>1.0000000000000002</v>
      </c>
      <c r="K26" s="101">
        <v>3.6900000000000001E-3</v>
      </c>
      <c r="L26" s="102">
        <v>0.99999999999999989</v>
      </c>
      <c r="M26" s="103">
        <v>4.7200000000000002E-3</v>
      </c>
      <c r="N26" s="104">
        <v>1</v>
      </c>
      <c r="O26" s="101">
        <v>0</v>
      </c>
      <c r="P26" s="102">
        <v>0</v>
      </c>
      <c r="Q26" s="103">
        <v>0</v>
      </c>
      <c r="R26" s="104">
        <v>0</v>
      </c>
      <c r="S26" s="101">
        <v>0</v>
      </c>
      <c r="T26" s="102">
        <v>0</v>
      </c>
      <c r="U26" s="103">
        <v>0</v>
      </c>
      <c r="V26" s="104">
        <v>0</v>
      </c>
      <c r="W26" s="101">
        <v>0</v>
      </c>
      <c r="X26" s="102">
        <v>0</v>
      </c>
      <c r="Y26" s="103">
        <v>0</v>
      </c>
      <c r="Z26" s="104">
        <v>0</v>
      </c>
    </row>
    <row r="27" spans="2:31" x14ac:dyDescent="0.25">
      <c r="B27" s="105" t="s">
        <v>21</v>
      </c>
      <c r="C27" s="106">
        <v>1259.779</v>
      </c>
      <c r="D27" s="107"/>
      <c r="E27" s="108">
        <v>959.81799999999998</v>
      </c>
      <c r="F27" s="107"/>
      <c r="G27" s="106">
        <v>890.46100000000001</v>
      </c>
      <c r="H27" s="107"/>
      <c r="I27" s="108">
        <v>740.63599999999997</v>
      </c>
      <c r="J27" s="107"/>
      <c r="K27" s="106">
        <v>969.45600000000002</v>
      </c>
      <c r="L27" s="107"/>
      <c r="M27" s="108">
        <v>1209.758</v>
      </c>
      <c r="N27" s="107"/>
      <c r="O27" s="106">
        <v>0</v>
      </c>
      <c r="P27" s="107"/>
      <c r="Q27" s="108">
        <v>0</v>
      </c>
      <c r="R27" s="107"/>
      <c r="S27" s="106">
        <v>0</v>
      </c>
      <c r="T27" s="107"/>
      <c r="U27" s="108">
        <v>0</v>
      </c>
      <c r="V27" s="107"/>
      <c r="W27" s="106">
        <v>0</v>
      </c>
      <c r="X27" s="107"/>
      <c r="Y27" s="108">
        <v>0</v>
      </c>
      <c r="Z27" s="107"/>
    </row>
    <row r="28" spans="2:31" x14ac:dyDescent="0.25">
      <c r="B28" s="109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</row>
    <row r="29" spans="2:31" x14ac:dyDescent="0.25">
      <c r="B29" s="93" t="s">
        <v>22</v>
      </c>
      <c r="C29" s="111">
        <v>4.6000000000000008E-3</v>
      </c>
      <c r="D29" s="112">
        <v>1</v>
      </c>
      <c r="E29" s="113">
        <v>3.5199999999999984E-3</v>
      </c>
      <c r="F29" s="114">
        <v>1</v>
      </c>
      <c r="G29" s="111">
        <v>3.3300000000000001E-3</v>
      </c>
      <c r="H29" s="112">
        <v>1</v>
      </c>
      <c r="I29" s="113">
        <v>2.8000000000000017E-3</v>
      </c>
      <c r="J29" s="114">
        <v>1</v>
      </c>
      <c r="K29" s="111">
        <v>3.6899999999999997E-3</v>
      </c>
      <c r="L29" s="112">
        <v>1</v>
      </c>
      <c r="M29" s="113">
        <v>4.7200000000000002E-3</v>
      </c>
      <c r="N29" s="114">
        <v>1</v>
      </c>
      <c r="O29" s="111">
        <v>0</v>
      </c>
      <c r="P29" s="112">
        <v>0</v>
      </c>
      <c r="Q29" s="113">
        <v>0</v>
      </c>
      <c r="R29" s="114">
        <v>0</v>
      </c>
      <c r="S29" s="111">
        <v>0</v>
      </c>
      <c r="T29" s="112">
        <v>0</v>
      </c>
      <c r="U29" s="113">
        <v>0</v>
      </c>
      <c r="V29" s="114">
        <v>0</v>
      </c>
      <c r="W29" s="111">
        <v>0</v>
      </c>
      <c r="X29" s="112">
        <v>0</v>
      </c>
      <c r="Y29" s="113">
        <v>0</v>
      </c>
      <c r="Z29" s="114">
        <v>0</v>
      </c>
    </row>
    <row r="30" spans="2:31" x14ac:dyDescent="0.25">
      <c r="B30" s="99" t="s">
        <v>23</v>
      </c>
      <c r="C30" s="94">
        <v>0</v>
      </c>
      <c r="D30" s="95">
        <v>0</v>
      </c>
      <c r="E30" s="96">
        <v>0</v>
      </c>
      <c r="F30" s="97">
        <v>0</v>
      </c>
      <c r="G30" s="94">
        <v>0</v>
      </c>
      <c r="H30" s="95">
        <v>0</v>
      </c>
      <c r="I30" s="96">
        <v>0</v>
      </c>
      <c r="J30" s="97">
        <v>0</v>
      </c>
      <c r="K30" s="94">
        <v>0</v>
      </c>
      <c r="L30" s="95">
        <v>0</v>
      </c>
      <c r="M30" s="96">
        <v>0</v>
      </c>
      <c r="N30" s="97">
        <v>0</v>
      </c>
      <c r="O30" s="94">
        <v>0</v>
      </c>
      <c r="P30" s="95">
        <v>0</v>
      </c>
      <c r="Q30" s="96">
        <v>0</v>
      </c>
      <c r="R30" s="97">
        <v>0</v>
      </c>
      <c r="S30" s="94">
        <v>0</v>
      </c>
      <c r="T30" s="95">
        <v>0</v>
      </c>
      <c r="U30" s="96">
        <v>0</v>
      </c>
      <c r="V30" s="97">
        <v>0</v>
      </c>
      <c r="W30" s="94">
        <v>0</v>
      </c>
      <c r="X30" s="95">
        <v>0</v>
      </c>
      <c r="Y30" s="96">
        <v>0</v>
      </c>
      <c r="Z30" s="97">
        <v>0</v>
      </c>
    </row>
    <row r="31" spans="2:31" x14ac:dyDescent="0.25">
      <c r="B31" s="100" t="s">
        <v>20</v>
      </c>
      <c r="C31" s="101">
        <v>4.6000000000000008E-3</v>
      </c>
      <c r="D31" s="102">
        <v>1</v>
      </c>
      <c r="E31" s="103">
        <v>3.5199999999999984E-3</v>
      </c>
      <c r="F31" s="104">
        <v>1</v>
      </c>
      <c r="G31" s="101">
        <v>3.3300000000000001E-3</v>
      </c>
      <c r="H31" s="102">
        <v>1</v>
      </c>
      <c r="I31" s="103">
        <v>2.8000000000000017E-3</v>
      </c>
      <c r="J31" s="104">
        <v>1</v>
      </c>
      <c r="K31" s="101">
        <v>3.6899999999999997E-3</v>
      </c>
      <c r="L31" s="102">
        <v>1</v>
      </c>
      <c r="M31" s="103">
        <v>4.7200000000000002E-3</v>
      </c>
      <c r="N31" s="104">
        <v>1</v>
      </c>
      <c r="O31" s="101">
        <v>0</v>
      </c>
      <c r="P31" s="102">
        <v>0</v>
      </c>
      <c r="Q31" s="103">
        <v>0</v>
      </c>
      <c r="R31" s="104">
        <v>0</v>
      </c>
      <c r="S31" s="101">
        <v>0</v>
      </c>
      <c r="T31" s="102">
        <v>0</v>
      </c>
      <c r="U31" s="103">
        <v>0</v>
      </c>
      <c r="V31" s="104">
        <v>0</v>
      </c>
      <c r="W31" s="101">
        <v>0</v>
      </c>
      <c r="X31" s="102">
        <v>0</v>
      </c>
      <c r="Y31" s="103">
        <v>0</v>
      </c>
      <c r="Z31" s="104">
        <v>0</v>
      </c>
    </row>
    <row r="32" spans="2:31" x14ac:dyDescent="0.25">
      <c r="B32" s="109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</row>
    <row r="33" spans="2:26" x14ac:dyDescent="0.25">
      <c r="B33" s="93" t="s">
        <v>24</v>
      </c>
      <c r="C33" s="111">
        <v>3.8778732952367044E-3</v>
      </c>
      <c r="D33" s="112">
        <v>0.79659065831491915</v>
      </c>
      <c r="E33" s="113">
        <v>2.8388011993940505E-3</v>
      </c>
      <c r="F33" s="114">
        <v>0.84017903759937673</v>
      </c>
      <c r="G33" s="111">
        <v>2.9033506519656684E-3</v>
      </c>
      <c r="H33" s="112">
        <v>0.86691315245211953</v>
      </c>
      <c r="I33" s="113">
        <v>2.5344950988069738E-3</v>
      </c>
      <c r="J33" s="114">
        <v>0.92227603811749737</v>
      </c>
      <c r="K33" s="111">
        <v>3.6898227044858145E-3</v>
      </c>
      <c r="L33" s="112">
        <v>0.95109070923513894</v>
      </c>
      <c r="M33" s="113">
        <v>4.7188861692999762E-3</v>
      </c>
      <c r="N33" s="114">
        <v>0.99972944946674802</v>
      </c>
      <c r="O33" s="111">
        <v>0</v>
      </c>
      <c r="P33" s="112">
        <v>0</v>
      </c>
      <c r="Q33" s="113">
        <v>0</v>
      </c>
      <c r="R33" s="114">
        <v>0</v>
      </c>
      <c r="S33" s="111">
        <v>0</v>
      </c>
      <c r="T33" s="112">
        <v>0</v>
      </c>
      <c r="U33" s="113">
        <v>0</v>
      </c>
      <c r="V33" s="114">
        <v>0</v>
      </c>
      <c r="W33" s="111">
        <v>0</v>
      </c>
      <c r="X33" s="112">
        <v>0</v>
      </c>
      <c r="Y33" s="113">
        <v>0</v>
      </c>
      <c r="Z33" s="114">
        <v>0</v>
      </c>
    </row>
    <row r="34" spans="2:26" x14ac:dyDescent="0.25">
      <c r="B34" s="99" t="s">
        <v>25</v>
      </c>
      <c r="C34" s="94">
        <v>7.221267047632957E-4</v>
      </c>
      <c r="D34" s="95">
        <v>0.20340934168508087</v>
      </c>
      <c r="E34" s="96">
        <v>6.8119880060594834E-4</v>
      </c>
      <c r="F34" s="97">
        <v>0.15982096240062335</v>
      </c>
      <c r="G34" s="94">
        <v>4.2664934803433277E-4</v>
      </c>
      <c r="H34" s="95">
        <v>0.13308684754788036</v>
      </c>
      <c r="I34" s="96">
        <v>2.6550490119302863E-4</v>
      </c>
      <c r="J34" s="97">
        <v>7.7723961882502704E-2</v>
      </c>
      <c r="K34" s="94">
        <v>1.7729551418527391E-7</v>
      </c>
      <c r="L34" s="95">
        <v>4.8909290764861307E-2</v>
      </c>
      <c r="M34" s="96">
        <v>1.1138307000243024E-6</v>
      </c>
      <c r="N34" s="97">
        <v>2.7055053325194536E-4</v>
      </c>
      <c r="O34" s="94">
        <v>0</v>
      </c>
      <c r="P34" s="95">
        <v>0</v>
      </c>
      <c r="Q34" s="96">
        <v>0</v>
      </c>
      <c r="R34" s="97">
        <v>0</v>
      </c>
      <c r="S34" s="94">
        <v>0</v>
      </c>
      <c r="T34" s="95">
        <v>0</v>
      </c>
      <c r="U34" s="96">
        <v>0</v>
      </c>
      <c r="V34" s="97">
        <v>0</v>
      </c>
      <c r="W34" s="94">
        <v>0</v>
      </c>
      <c r="X34" s="95">
        <v>0</v>
      </c>
      <c r="Y34" s="96">
        <v>0</v>
      </c>
      <c r="Z34" s="97">
        <v>0</v>
      </c>
    </row>
    <row r="35" spans="2:26" x14ac:dyDescent="0.25">
      <c r="B35" s="115" t="s">
        <v>20</v>
      </c>
      <c r="C35" s="101">
        <v>4.5999999999999999E-3</v>
      </c>
      <c r="D35" s="102">
        <v>1</v>
      </c>
      <c r="E35" s="103">
        <v>3.5199999999999988E-3</v>
      </c>
      <c r="F35" s="104">
        <v>1</v>
      </c>
      <c r="G35" s="101">
        <v>3.3300000000000014E-3</v>
      </c>
      <c r="H35" s="102">
        <v>0.99999999999999989</v>
      </c>
      <c r="I35" s="103">
        <v>2.8000000000000026E-3</v>
      </c>
      <c r="J35" s="104">
        <v>1</v>
      </c>
      <c r="K35" s="101">
        <v>3.6899999999999997E-3</v>
      </c>
      <c r="L35" s="102">
        <v>1.0000000000000002</v>
      </c>
      <c r="M35" s="103">
        <v>4.7200000000000002E-3</v>
      </c>
      <c r="N35" s="104">
        <v>1</v>
      </c>
      <c r="O35" s="101">
        <v>0</v>
      </c>
      <c r="P35" s="102">
        <v>0</v>
      </c>
      <c r="Q35" s="103">
        <v>0</v>
      </c>
      <c r="R35" s="104">
        <v>0</v>
      </c>
      <c r="S35" s="101">
        <v>0</v>
      </c>
      <c r="T35" s="102">
        <v>0</v>
      </c>
      <c r="U35" s="103">
        <v>0</v>
      </c>
      <c r="V35" s="104">
        <v>0</v>
      </c>
      <c r="W35" s="101">
        <v>0</v>
      </c>
      <c r="X35" s="102">
        <v>0</v>
      </c>
      <c r="Y35" s="103">
        <v>0</v>
      </c>
      <c r="Z35" s="104">
        <v>0</v>
      </c>
    </row>
    <row r="36" spans="2:26" x14ac:dyDescent="0.25">
      <c r="C36" s="116"/>
      <c r="D36" s="116"/>
      <c r="E36" s="116"/>
      <c r="F36" s="116"/>
      <c r="G36" s="116"/>
      <c r="H36" s="116"/>
      <c r="I36" s="116"/>
      <c r="J36" s="116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2:26" ht="45" x14ac:dyDescent="0.25">
      <c r="B37" s="118" t="s">
        <v>26</v>
      </c>
      <c r="C37" s="42" t="s">
        <v>89</v>
      </c>
      <c r="D37" s="43" t="s">
        <v>90</v>
      </c>
      <c r="E37" s="119" t="s">
        <v>91</v>
      </c>
      <c r="F37" s="120" t="s">
        <v>92</v>
      </c>
      <c r="G37" s="42" t="s">
        <v>93</v>
      </c>
      <c r="H37" s="43" t="s">
        <v>94</v>
      </c>
      <c r="I37" s="119" t="s">
        <v>95</v>
      </c>
      <c r="J37" s="119" t="s">
        <v>96</v>
      </c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2:26" x14ac:dyDescent="0.25">
      <c r="B38" s="93" t="s">
        <v>3</v>
      </c>
      <c r="C38" s="94">
        <v>9.5350030174468081E-4</v>
      </c>
      <c r="D38" s="95">
        <v>5.9046410710597762E-2</v>
      </c>
      <c r="E38" s="96">
        <v>1.4498939696321357E-3</v>
      </c>
      <c r="F38" s="97">
        <v>3.3767776340052881E-2</v>
      </c>
      <c r="G38" s="94">
        <v>0</v>
      </c>
      <c r="H38" s="95">
        <v>0</v>
      </c>
      <c r="I38" s="96">
        <v>0</v>
      </c>
      <c r="J38" s="97">
        <v>0</v>
      </c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2:26" ht="30" x14ac:dyDescent="0.25">
      <c r="B39" s="73" t="s">
        <v>43</v>
      </c>
      <c r="C39" s="94">
        <v>1.8807532769609401E-3</v>
      </c>
      <c r="D39" s="95">
        <v>0.17762331488418626</v>
      </c>
      <c r="E39" s="96">
        <v>3.4809366298140924E-3</v>
      </c>
      <c r="F39" s="97">
        <v>0.17180416759756559</v>
      </c>
      <c r="G39" s="94">
        <v>0</v>
      </c>
      <c r="H39" s="95">
        <v>0</v>
      </c>
      <c r="I39" s="96">
        <v>0</v>
      </c>
      <c r="J39" s="97">
        <v>0</v>
      </c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2:26" x14ac:dyDescent="0.25">
      <c r="B40" s="99" t="s">
        <v>4</v>
      </c>
      <c r="C40" s="94">
        <v>0</v>
      </c>
      <c r="D40" s="95">
        <v>0</v>
      </c>
      <c r="E40" s="96">
        <v>0</v>
      </c>
      <c r="F40" s="97">
        <v>0</v>
      </c>
      <c r="G40" s="94">
        <v>0</v>
      </c>
      <c r="H40" s="95">
        <v>0</v>
      </c>
      <c r="I40" s="96">
        <v>0</v>
      </c>
      <c r="J40" s="97">
        <v>0</v>
      </c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2:26" x14ac:dyDescent="0.25">
      <c r="B41" s="99" t="s">
        <v>5</v>
      </c>
      <c r="C41" s="94">
        <v>-8.8946782372897525E-6</v>
      </c>
      <c r="D41" s="95">
        <v>1.9169126507491141E-3</v>
      </c>
      <c r="E41" s="96">
        <v>-8.8296825457104006E-6</v>
      </c>
      <c r="F41" s="97">
        <v>9.5845632537455705E-4</v>
      </c>
      <c r="G41" s="94">
        <v>0</v>
      </c>
      <c r="H41" s="95">
        <v>0</v>
      </c>
      <c r="I41" s="96">
        <v>0</v>
      </c>
      <c r="J41" s="97">
        <v>0</v>
      </c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2:26" x14ac:dyDescent="0.25">
      <c r="B42" s="99" t="s">
        <v>86</v>
      </c>
      <c r="C42" s="94">
        <v>6.8290071806207915E-3</v>
      </c>
      <c r="D42" s="95">
        <v>0.59789122386068783</v>
      </c>
      <c r="E42" s="96">
        <v>1.585666112768248E-2</v>
      </c>
      <c r="F42" s="97">
        <v>0.69055789692668146</v>
      </c>
      <c r="G42" s="94">
        <v>0</v>
      </c>
      <c r="H42" s="95">
        <v>0</v>
      </c>
      <c r="I42" s="96">
        <v>0</v>
      </c>
      <c r="J42" s="97">
        <v>0</v>
      </c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2:26" x14ac:dyDescent="0.25">
      <c r="B43" s="99" t="s">
        <v>87</v>
      </c>
      <c r="C43" s="94">
        <v>0</v>
      </c>
      <c r="D43" s="95">
        <v>0</v>
      </c>
      <c r="E43" s="96">
        <v>0</v>
      </c>
      <c r="F43" s="97">
        <v>0</v>
      </c>
      <c r="G43" s="94">
        <v>0</v>
      </c>
      <c r="H43" s="95">
        <v>0</v>
      </c>
      <c r="I43" s="96">
        <v>0</v>
      </c>
      <c r="J43" s="97">
        <v>0</v>
      </c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2:26" x14ac:dyDescent="0.25">
      <c r="B44" s="99" t="s">
        <v>8</v>
      </c>
      <c r="C44" s="94">
        <v>0</v>
      </c>
      <c r="D44" s="95">
        <v>0</v>
      </c>
      <c r="E44" s="96">
        <v>0</v>
      </c>
      <c r="F44" s="97">
        <v>0</v>
      </c>
      <c r="G44" s="94">
        <v>0</v>
      </c>
      <c r="H44" s="95">
        <v>0</v>
      </c>
      <c r="I44" s="96">
        <v>0</v>
      </c>
      <c r="J44" s="97">
        <v>0</v>
      </c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2:26" x14ac:dyDescent="0.25">
      <c r="B45" s="99" t="s">
        <v>9</v>
      </c>
      <c r="C45" s="94">
        <v>0</v>
      </c>
      <c r="D45" s="95">
        <v>0</v>
      </c>
      <c r="E45" s="96">
        <v>0</v>
      </c>
      <c r="F45" s="97">
        <v>0</v>
      </c>
      <c r="G45" s="94">
        <v>0</v>
      </c>
      <c r="H45" s="95">
        <v>0</v>
      </c>
      <c r="I45" s="96">
        <v>0</v>
      </c>
      <c r="J45" s="97">
        <v>0</v>
      </c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2:26" x14ac:dyDescent="0.25">
      <c r="B46" s="99" t="s">
        <v>10</v>
      </c>
      <c r="C46" s="94">
        <v>0</v>
      </c>
      <c r="D46" s="95">
        <v>0</v>
      </c>
      <c r="E46" s="96">
        <v>0</v>
      </c>
      <c r="F46" s="97">
        <v>0</v>
      </c>
      <c r="G46" s="94">
        <v>0</v>
      </c>
      <c r="H46" s="95">
        <v>0</v>
      </c>
      <c r="I46" s="96">
        <v>0</v>
      </c>
      <c r="J46" s="97">
        <v>0</v>
      </c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2:26" x14ac:dyDescent="0.25">
      <c r="B47" s="99" t="s">
        <v>11</v>
      </c>
      <c r="C47" s="94">
        <v>0</v>
      </c>
      <c r="D47" s="95">
        <v>0</v>
      </c>
      <c r="E47" s="96">
        <v>0</v>
      </c>
      <c r="F47" s="97">
        <v>0</v>
      </c>
      <c r="G47" s="94">
        <v>0</v>
      </c>
      <c r="H47" s="95">
        <v>0</v>
      </c>
      <c r="I47" s="96">
        <v>0</v>
      </c>
      <c r="J47" s="97">
        <v>0</v>
      </c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2:26" x14ac:dyDescent="0.25">
      <c r="B48" s="99" t="s">
        <v>12</v>
      </c>
      <c r="C48" s="94">
        <v>0</v>
      </c>
      <c r="D48" s="95">
        <v>0</v>
      </c>
      <c r="E48" s="96">
        <v>0</v>
      </c>
      <c r="F48" s="97">
        <v>0</v>
      </c>
      <c r="G48" s="94">
        <v>0</v>
      </c>
      <c r="H48" s="95">
        <v>0</v>
      </c>
      <c r="I48" s="96">
        <v>0</v>
      </c>
      <c r="J48" s="97">
        <v>0</v>
      </c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2:26" x14ac:dyDescent="0.25">
      <c r="B49" s="99" t="s">
        <v>13</v>
      </c>
      <c r="C49" s="94">
        <v>0</v>
      </c>
      <c r="D49" s="95">
        <v>0</v>
      </c>
      <c r="E49" s="96">
        <v>0</v>
      </c>
      <c r="F49" s="97">
        <v>0</v>
      </c>
      <c r="G49" s="94">
        <v>0</v>
      </c>
      <c r="H49" s="95">
        <v>0</v>
      </c>
      <c r="I49" s="96">
        <v>0</v>
      </c>
      <c r="J49" s="97">
        <v>0</v>
      </c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2:26" x14ac:dyDescent="0.25">
      <c r="B50" s="99" t="s">
        <v>14</v>
      </c>
      <c r="C50" s="94">
        <v>0</v>
      </c>
      <c r="D50" s="95">
        <v>0</v>
      </c>
      <c r="E50" s="96">
        <v>0</v>
      </c>
      <c r="F50" s="97">
        <v>0</v>
      </c>
      <c r="G50" s="94">
        <v>0</v>
      </c>
      <c r="H50" s="95">
        <v>0</v>
      </c>
      <c r="I50" s="96">
        <v>0</v>
      </c>
      <c r="J50" s="97">
        <v>0</v>
      </c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2:26" x14ac:dyDescent="0.25">
      <c r="B51" s="99" t="s">
        <v>15</v>
      </c>
      <c r="C51" s="94">
        <v>0</v>
      </c>
      <c r="D51" s="95">
        <v>0</v>
      </c>
      <c r="E51" s="96">
        <v>0</v>
      </c>
      <c r="F51" s="97">
        <v>0</v>
      </c>
      <c r="G51" s="94">
        <v>0</v>
      </c>
      <c r="H51" s="95">
        <v>0</v>
      </c>
      <c r="I51" s="96">
        <v>0</v>
      </c>
      <c r="J51" s="97">
        <v>0</v>
      </c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2:26" x14ac:dyDescent="0.25">
      <c r="B52" s="99" t="s">
        <v>16</v>
      </c>
      <c r="C52" s="94">
        <v>5.1922732247833171E-6</v>
      </c>
      <c r="D52" s="95">
        <v>2.5745114323579157E-4</v>
      </c>
      <c r="E52" s="96">
        <v>9.1541669486845071E-6</v>
      </c>
      <c r="F52" s="97">
        <v>2.5934566046812227E-4</v>
      </c>
      <c r="G52" s="94">
        <v>0</v>
      </c>
      <c r="H52" s="95">
        <v>0</v>
      </c>
      <c r="I52" s="96">
        <v>0</v>
      </c>
      <c r="J52" s="97">
        <v>0</v>
      </c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2:26" x14ac:dyDescent="0.25">
      <c r="B53" s="99" t="s">
        <v>88</v>
      </c>
      <c r="C53" s="94">
        <v>1.8404416456860933E-3</v>
      </c>
      <c r="D53" s="95">
        <v>0.16326468675054329</v>
      </c>
      <c r="E53" s="96">
        <v>2.1121837884683198E-3</v>
      </c>
      <c r="F53" s="97">
        <v>0.10265235714985742</v>
      </c>
      <c r="G53" s="94">
        <v>0</v>
      </c>
      <c r="H53" s="95">
        <v>0</v>
      </c>
      <c r="I53" s="96">
        <v>0</v>
      </c>
      <c r="J53" s="97">
        <v>0</v>
      </c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2:26" x14ac:dyDescent="0.25">
      <c r="B54" s="99" t="s">
        <v>18</v>
      </c>
      <c r="C54" s="94">
        <v>0</v>
      </c>
      <c r="D54" s="95">
        <v>0</v>
      </c>
      <c r="E54" s="96">
        <v>0</v>
      </c>
      <c r="F54" s="97">
        <v>0</v>
      </c>
      <c r="G54" s="94">
        <v>0</v>
      </c>
      <c r="H54" s="95">
        <v>0</v>
      </c>
      <c r="I54" s="96">
        <v>0</v>
      </c>
      <c r="J54" s="97">
        <v>0</v>
      </c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2:26" x14ac:dyDescent="0.25">
      <c r="B55" s="74" t="s">
        <v>44</v>
      </c>
      <c r="C55" s="94">
        <v>0</v>
      </c>
      <c r="D55" s="95">
        <v>0</v>
      </c>
      <c r="E55" s="96">
        <v>0</v>
      </c>
      <c r="F55" s="97">
        <v>0</v>
      </c>
      <c r="G55" s="94">
        <v>0</v>
      </c>
      <c r="H55" s="95">
        <v>0</v>
      </c>
      <c r="I55" s="96">
        <v>0</v>
      </c>
      <c r="J55" s="97">
        <v>0</v>
      </c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2:26" x14ac:dyDescent="0.25">
      <c r="B56" s="99" t="s">
        <v>19</v>
      </c>
      <c r="C56" s="94">
        <v>0</v>
      </c>
      <c r="D56" s="95">
        <v>0</v>
      </c>
      <c r="E56" s="96">
        <v>0</v>
      </c>
      <c r="F56" s="97">
        <v>0</v>
      </c>
      <c r="G56" s="94">
        <v>0</v>
      </c>
      <c r="H56" s="95">
        <v>0</v>
      </c>
      <c r="I56" s="96">
        <v>0</v>
      </c>
      <c r="J56" s="97">
        <v>0</v>
      </c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2:26" x14ac:dyDescent="0.25">
      <c r="B57" s="100" t="s">
        <v>27</v>
      </c>
      <c r="C57" s="101">
        <v>1.15E-2</v>
      </c>
      <c r="D57" s="102">
        <v>1</v>
      </c>
      <c r="E57" s="103">
        <v>2.29E-2</v>
      </c>
      <c r="F57" s="104">
        <v>1</v>
      </c>
      <c r="G57" s="101">
        <v>0</v>
      </c>
      <c r="H57" s="102">
        <v>0</v>
      </c>
      <c r="I57" s="103">
        <v>0</v>
      </c>
      <c r="J57" s="104">
        <v>0</v>
      </c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2:26" x14ac:dyDescent="0.25">
      <c r="B58" s="105" t="s">
        <v>21</v>
      </c>
      <c r="C58" s="106">
        <v>3110.058</v>
      </c>
      <c r="D58" s="107"/>
      <c r="E58" s="108">
        <v>6029.9079999999994</v>
      </c>
      <c r="F58" s="107"/>
      <c r="G58" s="106">
        <v>0</v>
      </c>
      <c r="H58" s="107"/>
      <c r="I58" s="108">
        <v>0</v>
      </c>
      <c r="J58" s="10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2:26" x14ac:dyDescent="0.25">
      <c r="B59" s="109"/>
      <c r="C59" s="110"/>
      <c r="D59" s="110"/>
      <c r="E59" s="110"/>
      <c r="F59" s="110"/>
      <c r="G59" s="110"/>
      <c r="H59" s="110"/>
      <c r="I59" s="110"/>
      <c r="J59" s="110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2:26" x14ac:dyDescent="0.25">
      <c r="B60" s="93" t="s">
        <v>22</v>
      </c>
      <c r="C60" s="111">
        <v>1.1493285519359908E-2</v>
      </c>
      <c r="D60" s="112">
        <v>1</v>
      </c>
      <c r="E60" s="113">
        <v>2.2873610197707839E-2</v>
      </c>
      <c r="F60" s="114">
        <v>1</v>
      </c>
      <c r="G60" s="111">
        <v>0</v>
      </c>
      <c r="H60" s="112">
        <v>0</v>
      </c>
      <c r="I60" s="113">
        <v>0</v>
      </c>
      <c r="J60" s="114">
        <v>0</v>
      </c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2:26" x14ac:dyDescent="0.25">
      <c r="B61" s="99" t="s">
        <v>23</v>
      </c>
      <c r="C61" s="94">
        <v>6.7144806400916413E-6</v>
      </c>
      <c r="D61" s="95">
        <v>0</v>
      </c>
      <c r="E61" s="96">
        <v>2.6389802292161452E-5</v>
      </c>
      <c r="F61" s="97">
        <v>0</v>
      </c>
      <c r="G61" s="94">
        <v>0</v>
      </c>
      <c r="H61" s="95">
        <v>0</v>
      </c>
      <c r="I61" s="96">
        <v>0</v>
      </c>
      <c r="J61" s="97">
        <v>0</v>
      </c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2:26" x14ac:dyDescent="0.25">
      <c r="B62" s="100" t="s">
        <v>27</v>
      </c>
      <c r="C62" s="101">
        <v>1.15E-2</v>
      </c>
      <c r="D62" s="102">
        <v>1</v>
      </c>
      <c r="E62" s="103">
        <v>2.29E-2</v>
      </c>
      <c r="F62" s="104">
        <v>1</v>
      </c>
      <c r="G62" s="101">
        <v>0</v>
      </c>
      <c r="H62" s="102">
        <v>0</v>
      </c>
      <c r="I62" s="103">
        <v>0</v>
      </c>
      <c r="J62" s="104">
        <v>0</v>
      </c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2:26" x14ac:dyDescent="0.25">
      <c r="B63" s="109"/>
      <c r="C63" s="110"/>
      <c r="D63" s="110"/>
      <c r="E63" s="110"/>
      <c r="F63" s="110"/>
      <c r="G63" s="110"/>
      <c r="H63" s="110"/>
      <c r="I63" s="110"/>
      <c r="J63" s="110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2:26" x14ac:dyDescent="0.25">
      <c r="B64" s="93" t="s">
        <v>24</v>
      </c>
      <c r="C64" s="111">
        <v>9.6505664807995384E-3</v>
      </c>
      <c r="D64" s="112">
        <v>0.83456094945547177</v>
      </c>
      <c r="E64" s="113">
        <v>2.0738520517231018E-2</v>
      </c>
      <c r="F64" s="114">
        <v>0.89612984086429981</v>
      </c>
      <c r="G64" s="111">
        <v>0</v>
      </c>
      <c r="H64" s="112">
        <v>0</v>
      </c>
      <c r="I64" s="113">
        <v>0</v>
      </c>
      <c r="J64" s="114">
        <v>0</v>
      </c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2:26" x14ac:dyDescent="0.25">
      <c r="B65" s="99" t="s">
        <v>25</v>
      </c>
      <c r="C65" s="94">
        <v>1.8494335192004614E-3</v>
      </c>
      <c r="D65" s="95">
        <v>0.1654390505445282</v>
      </c>
      <c r="E65" s="96">
        <v>2.1614794827689819E-3</v>
      </c>
      <c r="F65" s="97">
        <v>0.10387015913570009</v>
      </c>
      <c r="G65" s="94">
        <v>0</v>
      </c>
      <c r="H65" s="95">
        <v>0</v>
      </c>
      <c r="I65" s="96">
        <v>0</v>
      </c>
      <c r="J65" s="97">
        <v>0</v>
      </c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2:26" x14ac:dyDescent="0.25">
      <c r="B66" s="115" t="s">
        <v>27</v>
      </c>
      <c r="C66" s="101">
        <v>1.15E-2</v>
      </c>
      <c r="D66" s="102">
        <v>1</v>
      </c>
      <c r="E66" s="103">
        <v>2.29E-2</v>
      </c>
      <c r="F66" s="104">
        <v>0.99999999999999989</v>
      </c>
      <c r="G66" s="101">
        <v>0</v>
      </c>
      <c r="H66" s="102">
        <v>0</v>
      </c>
      <c r="I66" s="103">
        <v>0</v>
      </c>
      <c r="J66" s="104">
        <v>0</v>
      </c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70" spans="2:26" x14ac:dyDescent="0.25">
      <c r="B70" s="121"/>
    </row>
    <row r="73" spans="2:26" x14ac:dyDescent="0.25">
      <c r="B73" s="116"/>
    </row>
  </sheetData>
  <mergeCells count="1">
    <mergeCell ref="D2:E2"/>
  </mergeCell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4FDD3-4740-48E8-8D77-E1B9BA51865D}">
  <sheetPr codeName="Sheet2">
    <tabColor rgb="FF92D050"/>
  </sheetPr>
  <dimension ref="A1:AB76"/>
  <sheetViews>
    <sheetView showGridLines="0" rightToLeft="1" topLeftCell="A40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8" t="s">
        <v>35</v>
      </c>
      <c r="B1" s="61"/>
      <c r="D1" s="2"/>
    </row>
    <row r="2" spans="1:26" ht="18.75" x14ac:dyDescent="0.3">
      <c r="A2" s="69" t="s">
        <v>36</v>
      </c>
      <c r="B2" s="71">
        <v>14680</v>
      </c>
    </row>
    <row r="3" spans="1:26" ht="18.75" x14ac:dyDescent="0.3">
      <c r="A3" s="70" t="s">
        <v>37</v>
      </c>
      <c r="B3" s="72" t="s">
        <v>41</v>
      </c>
    </row>
    <row r="4" spans="1:26" ht="18.75" x14ac:dyDescent="0.3">
      <c r="A4" s="69" t="s">
        <v>38</v>
      </c>
      <c r="B4" s="72" t="s">
        <v>28</v>
      </c>
    </row>
    <row r="5" spans="1:26" ht="18.75" x14ac:dyDescent="0.3">
      <c r="A5" s="70" t="s">
        <v>39</v>
      </c>
      <c r="B5" s="71">
        <v>2024</v>
      </c>
      <c r="C5" s="70" t="s">
        <v>40</v>
      </c>
      <c r="D5" s="71" t="s">
        <v>45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46</v>
      </c>
      <c r="C7" s="7"/>
      <c r="D7" s="8" t="s">
        <v>47</v>
      </c>
      <c r="E7" s="9"/>
      <c r="F7" s="6" t="s">
        <v>48</v>
      </c>
      <c r="G7" s="7"/>
      <c r="H7" s="8" t="s">
        <v>49</v>
      </c>
      <c r="I7" s="9"/>
      <c r="J7" s="6" t="s">
        <v>50</v>
      </c>
      <c r="K7" s="7"/>
      <c r="L7" s="8" t="s">
        <v>51</v>
      </c>
      <c r="M7" s="9"/>
      <c r="N7" s="6" t="s">
        <v>52</v>
      </c>
      <c r="O7" s="7"/>
      <c r="P7" s="8" t="s">
        <v>53</v>
      </c>
      <c r="Q7" s="9"/>
      <c r="R7" s="6" t="s">
        <v>54</v>
      </c>
      <c r="S7" s="7"/>
      <c r="T7" s="8" t="s">
        <v>55</v>
      </c>
      <c r="U7" s="8"/>
      <c r="V7" s="6" t="s">
        <v>56</v>
      </c>
      <c r="W7" s="7"/>
      <c r="X7" s="8" t="s">
        <v>57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3.0500769498296313E-3</v>
      </c>
      <c r="C9" s="15">
        <v>9.7358415716715926E-2</v>
      </c>
      <c r="D9" s="16">
        <v>-1.3146953595448395E-3</v>
      </c>
      <c r="E9" s="16">
        <v>9.034520739971684E-2</v>
      </c>
      <c r="F9" s="15">
        <v>3.3523478360331857E-3</v>
      </c>
      <c r="G9" s="15">
        <v>8.0909636811538482E-2</v>
      </c>
      <c r="H9" s="16">
        <v>1.9799147071118961E-3</v>
      </c>
      <c r="I9" s="16">
        <v>0.25519433895578386</v>
      </c>
      <c r="J9" s="15">
        <v>-8.9149181610972961E-5</v>
      </c>
      <c r="K9" s="15">
        <v>0.57769707132398063</v>
      </c>
      <c r="L9" s="16">
        <v>7.5003281071267733E-3</v>
      </c>
      <c r="M9" s="16">
        <v>0.50125412380405876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73" t="s">
        <v>43</v>
      </c>
      <c r="B10" s="15">
        <v>0</v>
      </c>
      <c r="C10" s="15">
        <v>0</v>
      </c>
      <c r="D10" s="16">
        <v>0</v>
      </c>
      <c r="E10" s="16">
        <v>0</v>
      </c>
      <c r="F10" s="15">
        <v>0</v>
      </c>
      <c r="G10" s="15">
        <v>0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0</v>
      </c>
      <c r="C13" s="15">
        <v>0</v>
      </c>
      <c r="D13" s="16">
        <v>0</v>
      </c>
      <c r="E13" s="16">
        <v>0</v>
      </c>
      <c r="F13" s="15">
        <v>0</v>
      </c>
      <c r="G13" s="15">
        <v>0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1.6796001586182592E-3</v>
      </c>
      <c r="C16" s="15">
        <v>0.90264137731287242</v>
      </c>
      <c r="D16" s="16">
        <v>3.084469535954484E-2</v>
      </c>
      <c r="E16" s="16">
        <v>0.90965479260028326</v>
      </c>
      <c r="F16" s="15">
        <v>3.6524002214072815E-2</v>
      </c>
      <c r="G16" s="15">
        <v>0.91912725023534003</v>
      </c>
      <c r="H16" s="16">
        <v>-1.1376379228327823E-2</v>
      </c>
      <c r="I16" s="16">
        <v>0.74411691941879476</v>
      </c>
      <c r="J16" s="15">
        <v>2.1355410963225581E-2</v>
      </c>
      <c r="K16" s="15">
        <v>0.43634998957465398</v>
      </c>
      <c r="L16" s="16">
        <v>2.7682360673830776E-2</v>
      </c>
      <c r="M16" s="16">
        <v>0.50825216512756832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3.2289155210903232E-7</v>
      </c>
      <c r="C20" s="15">
        <v>2.0697041172797825E-7</v>
      </c>
      <c r="D20" s="16">
        <v>0</v>
      </c>
      <c r="E20" s="16">
        <v>0</v>
      </c>
      <c r="F20" s="15">
        <v>8.3364994989400525E-4</v>
      </c>
      <c r="G20" s="15">
        <v>-3.6887046878490328E-5</v>
      </c>
      <c r="H20" s="16">
        <v>-1.8363535478784072E-2</v>
      </c>
      <c r="I20" s="16">
        <v>6.8874162542148466E-4</v>
      </c>
      <c r="J20" s="15">
        <v>2.604373821838539E-2</v>
      </c>
      <c r="K20" s="15">
        <v>-1.4047060898634537E-2</v>
      </c>
      <c r="L20" s="16">
        <v>2.6797311219042452E-2</v>
      </c>
      <c r="M20" s="16">
        <v>-9.5062889316271312E-3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74" t="s">
        <v>44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19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20</v>
      </c>
      <c r="B28" s="20">
        <v>4.7299999999999998E-3</v>
      </c>
      <c r="C28" s="21">
        <v>1</v>
      </c>
      <c r="D28" s="22">
        <v>2.9530000000000001E-2</v>
      </c>
      <c r="E28" s="23">
        <v>1</v>
      </c>
      <c r="F28" s="20">
        <v>4.0710000000000003E-2</v>
      </c>
      <c r="G28" s="21">
        <v>1</v>
      </c>
      <c r="H28" s="22">
        <v>-2.776E-2</v>
      </c>
      <c r="I28" s="23">
        <v>1.0000000000000002</v>
      </c>
      <c r="J28" s="20">
        <v>4.7309999999999998E-2</v>
      </c>
      <c r="K28" s="21">
        <v>1.0000000000000002</v>
      </c>
      <c r="L28" s="22">
        <v>6.198E-2</v>
      </c>
      <c r="M28" s="23">
        <v>1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21</v>
      </c>
      <c r="B29" s="24">
        <v>-170.22</v>
      </c>
      <c r="C29" s="25"/>
      <c r="D29" s="26">
        <v>508.65699999999998</v>
      </c>
      <c r="E29" s="25"/>
      <c r="F29" s="24">
        <v>1863.857</v>
      </c>
      <c r="G29" s="25"/>
      <c r="H29" s="26">
        <v>-1963.9649999999999</v>
      </c>
      <c r="I29" s="25"/>
      <c r="J29" s="24">
        <v>3569.194</v>
      </c>
      <c r="K29" s="25"/>
      <c r="L29" s="26">
        <v>5914.8389999999999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22</v>
      </c>
      <c r="B31" s="29">
        <v>3.0503998413817404E-3</v>
      </c>
      <c r="C31" s="15">
        <v>9.7358622687127652E-2</v>
      </c>
      <c r="D31" s="31">
        <v>-1.3146953595448395E-3</v>
      </c>
      <c r="E31" s="31">
        <v>9.034520739971684E-2</v>
      </c>
      <c r="F31" s="29">
        <v>3.4012913019089313E-3</v>
      </c>
      <c r="G31" s="15">
        <v>8.0872154523559336E-2</v>
      </c>
      <c r="H31" s="31">
        <v>1.9799147071118961E-3</v>
      </c>
      <c r="I31" s="31">
        <v>0.25519433895578386</v>
      </c>
      <c r="J31" s="29">
        <v>-9.2952841247415574E-5</v>
      </c>
      <c r="K31" s="15">
        <v>0.57769707132398063</v>
      </c>
      <c r="L31" s="31">
        <v>7.5020927930256696E-3</v>
      </c>
      <c r="M31" s="31">
        <v>0.50125228773815866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23</v>
      </c>
      <c r="B32" s="29">
        <v>1.6796001586182592E-3</v>
      </c>
      <c r="C32" s="15">
        <v>0.90264137731287242</v>
      </c>
      <c r="D32" s="30">
        <v>3.084469535954484E-2</v>
      </c>
      <c r="E32" s="16">
        <v>0.90965479260028326</v>
      </c>
      <c r="F32" s="29">
        <v>3.7308708698091074E-2</v>
      </c>
      <c r="G32" s="15">
        <v>0.91912784547644066</v>
      </c>
      <c r="H32" s="30">
        <v>-2.9739914707111889E-2</v>
      </c>
      <c r="I32" s="16">
        <v>0.74480566104421619</v>
      </c>
      <c r="J32" s="29">
        <v>4.740295284124741E-2</v>
      </c>
      <c r="K32" s="15">
        <v>0.42230292867601943</v>
      </c>
      <c r="L32" s="30">
        <v>5.4477907206974319E-2</v>
      </c>
      <c r="M32" s="16">
        <v>0.49874771226184128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20</v>
      </c>
      <c r="B33" s="20">
        <v>4.7299999999999998E-3</v>
      </c>
      <c r="C33" s="21">
        <v>1</v>
      </c>
      <c r="D33" s="22">
        <v>2.9530000000000001E-2</v>
      </c>
      <c r="E33" s="23">
        <v>1</v>
      </c>
      <c r="F33" s="20">
        <v>4.0710000000000003E-2</v>
      </c>
      <c r="G33" s="21">
        <v>1</v>
      </c>
      <c r="H33" s="22">
        <v>-2.7759999999999993E-2</v>
      </c>
      <c r="I33" s="23">
        <v>1</v>
      </c>
      <c r="J33" s="20">
        <v>4.7309999999999998E-2</v>
      </c>
      <c r="K33" s="21">
        <v>1</v>
      </c>
      <c r="L33" s="22">
        <v>6.1979999999999986E-2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24</v>
      </c>
      <c r="B35" s="29">
        <v>4.7296771084478903E-3</v>
      </c>
      <c r="C35" s="15">
        <v>0.99999979302958841</v>
      </c>
      <c r="D35" s="16">
        <v>2.9530000000000001E-2</v>
      </c>
      <c r="E35" s="31">
        <v>1</v>
      </c>
      <c r="F35" s="29">
        <v>4.066105653412426E-2</v>
      </c>
      <c r="G35" s="15">
        <v>1.0000374822879794</v>
      </c>
      <c r="H35" s="16">
        <v>-2.7759999999999993E-2</v>
      </c>
      <c r="I35" s="31">
        <v>1</v>
      </c>
      <c r="J35" s="29">
        <v>4.7313803659636437E-2</v>
      </c>
      <c r="K35" s="15">
        <v>1</v>
      </c>
      <c r="L35" s="16">
        <v>6.1978235314101092E-2</v>
      </c>
      <c r="M35" s="31">
        <v>1.0000018360659002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25</v>
      </c>
      <c r="B36" s="29">
        <v>3.2289155210903232E-7</v>
      </c>
      <c r="C36" s="15">
        <v>2.0697041172797825E-7</v>
      </c>
      <c r="D36" s="30">
        <v>0</v>
      </c>
      <c r="E36" s="16">
        <v>0</v>
      </c>
      <c r="F36" s="29">
        <v>4.8943465875745786E-5</v>
      </c>
      <c r="G36" s="15">
        <v>-3.74822879791427E-5</v>
      </c>
      <c r="H36" s="30">
        <v>0</v>
      </c>
      <c r="I36" s="16">
        <v>0</v>
      </c>
      <c r="J36" s="29">
        <v>-3.803659636442619E-6</v>
      </c>
      <c r="K36" s="15">
        <v>0</v>
      </c>
      <c r="L36" s="30">
        <v>1.7646858988960996E-6</v>
      </c>
      <c r="M36" s="16">
        <v>-1.8360659001215559E-6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20</v>
      </c>
      <c r="B37" s="20">
        <v>4.729999999999999E-3</v>
      </c>
      <c r="C37" s="21">
        <v>1.0000000000000002</v>
      </c>
      <c r="D37" s="22">
        <v>2.9530000000000001E-2</v>
      </c>
      <c r="E37" s="23">
        <v>1</v>
      </c>
      <c r="F37" s="20">
        <v>4.0710000000000003E-2</v>
      </c>
      <c r="G37" s="21">
        <v>1.0000000000000002</v>
      </c>
      <c r="H37" s="22">
        <v>-2.7759999999999993E-2</v>
      </c>
      <c r="I37" s="23">
        <v>1</v>
      </c>
      <c r="J37" s="20">
        <v>4.7309999999999998E-2</v>
      </c>
      <c r="K37" s="21">
        <v>1</v>
      </c>
      <c r="L37" s="22">
        <v>6.1979999999999986E-2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7"/>
      <c r="E39" s="78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26</v>
      </c>
      <c r="B40" s="79" t="s">
        <v>58</v>
      </c>
      <c r="C40" s="80"/>
      <c r="D40" s="75" t="s">
        <v>59</v>
      </c>
      <c r="E40" s="81"/>
      <c r="F40" s="79" t="s">
        <v>60</v>
      </c>
      <c r="G40" s="80"/>
      <c r="H40" s="75" t="s">
        <v>60</v>
      </c>
      <c r="I40" s="76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5.0895236643710984E-3</v>
      </c>
      <c r="C42" s="47">
        <v>8.9537753309323745E-2</v>
      </c>
      <c r="D42" s="48">
        <v>1.4542488291747535E-2</v>
      </c>
      <c r="E42" s="48">
        <v>0.26712646566863246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3" t="s">
        <v>43</v>
      </c>
      <c r="B43" s="46">
        <v>0</v>
      </c>
      <c r="C43" s="47">
        <v>0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0</v>
      </c>
      <c r="C46" s="47">
        <v>0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7.0576507073639189E-2</v>
      </c>
      <c r="C49" s="47">
        <v>0.91047447338283194</v>
      </c>
      <c r="D49" s="48">
        <v>0.11452295712362195</v>
      </c>
      <c r="E49" s="48">
        <v>0.73669041571158556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8.3396926198971242E-4</v>
      </c>
      <c r="C53" s="47">
        <v>-1.2226692155587451E-5</v>
      </c>
      <c r="D53" s="48">
        <v>3.5034554584630499E-2</v>
      </c>
      <c r="E53" s="48">
        <v>-3.8168813802178241E-3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74" t="s">
        <v>44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19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27</v>
      </c>
      <c r="B61" s="49">
        <v>7.6499999999999999E-2</v>
      </c>
      <c r="C61" s="50">
        <v>1</v>
      </c>
      <c r="D61" s="67">
        <v>0.1641</v>
      </c>
      <c r="E61" s="52">
        <v>1.0000000000000002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21</v>
      </c>
      <c r="B62" s="53">
        <v>2202.2939999999999</v>
      </c>
      <c r="C62" s="54"/>
      <c r="D62" s="55">
        <v>9722.362000000001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22</v>
      </c>
      <c r="B64" s="56">
        <v>5.1388754334298348E-3</v>
      </c>
      <c r="C64" s="47">
        <v>8.9525328203467938E-2</v>
      </c>
      <c r="D64" s="57">
        <v>1.4590221812202486E-2</v>
      </c>
      <c r="E64" s="48">
        <v>0.26711994710472114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23</v>
      </c>
      <c r="B65" s="46">
        <v>7.1361124566570164E-2</v>
      </c>
      <c r="C65" s="47">
        <v>0.91047467179653208</v>
      </c>
      <c r="D65" s="57">
        <v>0.14950977818779751</v>
      </c>
      <c r="E65" s="48">
        <v>0.73288005289527891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27</v>
      </c>
      <c r="B66" s="49">
        <v>7.6499999999999999E-2</v>
      </c>
      <c r="C66" s="50">
        <v>1</v>
      </c>
      <c r="D66" s="51">
        <v>0.1641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24</v>
      </c>
      <c r="B68" s="56">
        <v>7.6459114697956965E-2</v>
      </c>
      <c r="C68" s="47">
        <v>1.000012425105856</v>
      </c>
      <c r="D68" s="57">
        <v>0.16402810980809668</v>
      </c>
      <c r="E68" s="48">
        <v>1.0000065185639113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25</v>
      </c>
      <c r="B69" s="56">
        <v>4.0885302043033867E-5</v>
      </c>
      <c r="C69" s="47">
        <v>-1.2425105855804908E-5</v>
      </c>
      <c r="D69" s="57">
        <v>7.1890191903317691E-5</v>
      </c>
      <c r="E69" s="48">
        <v>-6.5185639112560468E-6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27</v>
      </c>
      <c r="B70" s="49">
        <v>7.6499999999999999E-2</v>
      </c>
      <c r="C70" s="50">
        <v>1.0000000000000002</v>
      </c>
      <c r="D70" s="51">
        <v>0.1641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25060-461F-46C7-A5B4-FA012E213D7F}">
  <sheetPr codeName="Sheet3">
    <tabColor rgb="FF92D050"/>
  </sheetPr>
  <dimension ref="A1:AB76"/>
  <sheetViews>
    <sheetView showGridLines="0" rightToLeft="1" tabSelected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8" t="s">
        <v>35</v>
      </c>
      <c r="B1" s="61"/>
      <c r="D1" s="2"/>
    </row>
    <row r="2" spans="1:26" ht="18.75" x14ac:dyDescent="0.3">
      <c r="A2" s="69" t="s">
        <v>36</v>
      </c>
      <c r="B2" s="71">
        <v>14796</v>
      </c>
    </row>
    <row r="3" spans="1:26" ht="18.75" x14ac:dyDescent="0.3">
      <c r="A3" s="70" t="s">
        <v>37</v>
      </c>
      <c r="B3" s="72" t="s">
        <v>42</v>
      </c>
    </row>
    <row r="4" spans="1:26" ht="18.75" x14ac:dyDescent="0.3">
      <c r="A4" s="69" t="s">
        <v>38</v>
      </c>
      <c r="B4" s="72" t="s">
        <v>28</v>
      </c>
    </row>
    <row r="5" spans="1:26" ht="18.75" x14ac:dyDescent="0.3">
      <c r="A5" s="70" t="s">
        <v>39</v>
      </c>
      <c r="B5" s="71">
        <v>2024</v>
      </c>
      <c r="C5" s="70" t="s">
        <v>40</v>
      </c>
      <c r="D5" s="71" t="s">
        <v>45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46</v>
      </c>
      <c r="C7" s="7"/>
      <c r="D7" s="8" t="s">
        <v>47</v>
      </c>
      <c r="E7" s="9"/>
      <c r="F7" s="6" t="s">
        <v>48</v>
      </c>
      <c r="G7" s="7"/>
      <c r="H7" s="8" t="s">
        <v>49</v>
      </c>
      <c r="I7" s="9"/>
      <c r="J7" s="6" t="s">
        <v>50</v>
      </c>
      <c r="K7" s="7"/>
      <c r="L7" s="8" t="s">
        <v>51</v>
      </c>
      <c r="M7" s="9"/>
      <c r="N7" s="6" t="s">
        <v>52</v>
      </c>
      <c r="O7" s="7"/>
      <c r="P7" s="8" t="s">
        <v>53</v>
      </c>
      <c r="Q7" s="9"/>
      <c r="R7" s="6" t="s">
        <v>54</v>
      </c>
      <c r="S7" s="7"/>
      <c r="T7" s="8" t="s">
        <v>55</v>
      </c>
      <c r="U7" s="8"/>
      <c r="V7" s="6" t="s">
        <v>56</v>
      </c>
      <c r="W7" s="7"/>
      <c r="X7" s="8" t="s">
        <v>57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3.0500769498296313E-3</v>
      </c>
      <c r="C9" s="15">
        <v>9.7358415716715926E-2</v>
      </c>
      <c r="D9" s="16">
        <v>-1.3146953595448395E-3</v>
      </c>
      <c r="E9" s="16">
        <v>9.034520739971684E-2</v>
      </c>
      <c r="F9" s="15">
        <v>3.3523478360331857E-3</v>
      </c>
      <c r="G9" s="15">
        <v>8.0909636811538482E-2</v>
      </c>
      <c r="H9" s="16">
        <v>1.9799147071118961E-3</v>
      </c>
      <c r="I9" s="16">
        <v>0.25519433895578386</v>
      </c>
      <c r="J9" s="15">
        <v>-8.9149181610972961E-5</v>
      </c>
      <c r="K9" s="15">
        <v>0.57769707132398063</v>
      </c>
      <c r="L9" s="16">
        <v>7.5003281071267733E-3</v>
      </c>
      <c r="M9" s="16">
        <v>0.50125412380405876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73" t="s">
        <v>43</v>
      </c>
      <c r="B10" s="15">
        <v>0</v>
      </c>
      <c r="C10" s="15">
        <v>0</v>
      </c>
      <c r="D10" s="16">
        <v>0</v>
      </c>
      <c r="E10" s="16">
        <v>0</v>
      </c>
      <c r="F10" s="15">
        <v>0</v>
      </c>
      <c r="G10" s="15">
        <v>0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0</v>
      </c>
      <c r="C13" s="15">
        <v>0</v>
      </c>
      <c r="D13" s="16">
        <v>0</v>
      </c>
      <c r="E13" s="16">
        <v>0</v>
      </c>
      <c r="F13" s="15">
        <v>0</v>
      </c>
      <c r="G13" s="15">
        <v>0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1.6796001586182592E-3</v>
      </c>
      <c r="C16" s="15">
        <v>0.90264137731287242</v>
      </c>
      <c r="D16" s="16">
        <v>3.084469535954484E-2</v>
      </c>
      <c r="E16" s="16">
        <v>0.90965479260028326</v>
      </c>
      <c r="F16" s="15">
        <v>3.6524002214072815E-2</v>
      </c>
      <c r="G16" s="15">
        <v>0.91912725023534003</v>
      </c>
      <c r="H16" s="16">
        <v>-1.1376379228327823E-2</v>
      </c>
      <c r="I16" s="16">
        <v>0.74411691941879476</v>
      </c>
      <c r="J16" s="15">
        <v>2.1355410963225581E-2</v>
      </c>
      <c r="K16" s="15">
        <v>0.43634998957465398</v>
      </c>
      <c r="L16" s="16">
        <v>2.7682360673830776E-2</v>
      </c>
      <c r="M16" s="16">
        <v>0.50825216512756832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3.2289155210903232E-7</v>
      </c>
      <c r="C20" s="15">
        <v>2.0697041172797825E-7</v>
      </c>
      <c r="D20" s="16">
        <v>0</v>
      </c>
      <c r="E20" s="16">
        <v>0</v>
      </c>
      <c r="F20" s="15">
        <v>8.3364994989400525E-4</v>
      </c>
      <c r="G20" s="15">
        <v>-3.6887046878490328E-5</v>
      </c>
      <c r="H20" s="16">
        <v>-1.8363535478784072E-2</v>
      </c>
      <c r="I20" s="16">
        <v>6.8874162542148466E-4</v>
      </c>
      <c r="J20" s="15">
        <v>2.604373821838539E-2</v>
      </c>
      <c r="K20" s="15">
        <v>-1.4047060898634537E-2</v>
      </c>
      <c r="L20" s="16">
        <v>2.6797311219042452E-2</v>
      </c>
      <c r="M20" s="16">
        <v>-9.5062889316271312E-3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74" t="s">
        <v>44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19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20</v>
      </c>
      <c r="B28" s="20">
        <v>4.7299999999999998E-3</v>
      </c>
      <c r="C28" s="21">
        <v>1</v>
      </c>
      <c r="D28" s="22">
        <v>2.9530000000000001E-2</v>
      </c>
      <c r="E28" s="23">
        <v>1</v>
      </c>
      <c r="F28" s="20">
        <v>4.0710000000000003E-2</v>
      </c>
      <c r="G28" s="21">
        <v>1</v>
      </c>
      <c r="H28" s="22">
        <v>-2.776E-2</v>
      </c>
      <c r="I28" s="23">
        <v>1.0000000000000002</v>
      </c>
      <c r="J28" s="20">
        <v>4.7309999999999998E-2</v>
      </c>
      <c r="K28" s="21">
        <v>1.0000000000000002</v>
      </c>
      <c r="L28" s="22">
        <v>6.198E-2</v>
      </c>
      <c r="M28" s="23">
        <v>1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21</v>
      </c>
      <c r="B29" s="24">
        <v>-170.22</v>
      </c>
      <c r="C29" s="25"/>
      <c r="D29" s="26">
        <v>508.65699999999998</v>
      </c>
      <c r="E29" s="25"/>
      <c r="F29" s="24">
        <v>1863.857</v>
      </c>
      <c r="G29" s="25"/>
      <c r="H29" s="26">
        <v>-1963.9649999999999</v>
      </c>
      <c r="I29" s="25"/>
      <c r="J29" s="24">
        <v>3569.194</v>
      </c>
      <c r="K29" s="25"/>
      <c r="L29" s="26">
        <v>5914.8389999999999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22</v>
      </c>
      <c r="B31" s="29">
        <v>3.0503998413817404E-3</v>
      </c>
      <c r="C31" s="15">
        <v>9.7358622687127652E-2</v>
      </c>
      <c r="D31" s="31">
        <v>-1.3146953595448395E-3</v>
      </c>
      <c r="E31" s="31">
        <v>9.034520739971684E-2</v>
      </c>
      <c r="F31" s="29">
        <v>3.4012913019089313E-3</v>
      </c>
      <c r="G31" s="15">
        <v>8.0872154523559336E-2</v>
      </c>
      <c r="H31" s="31">
        <v>1.9799147071118961E-3</v>
      </c>
      <c r="I31" s="31">
        <v>0.25519433895578386</v>
      </c>
      <c r="J31" s="29">
        <v>-9.2952841247415574E-5</v>
      </c>
      <c r="K31" s="15">
        <v>0.57769707132398063</v>
      </c>
      <c r="L31" s="31">
        <v>7.5020927930256696E-3</v>
      </c>
      <c r="M31" s="31">
        <v>0.50125228773815866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23</v>
      </c>
      <c r="B32" s="29">
        <v>1.6796001586182592E-3</v>
      </c>
      <c r="C32" s="15">
        <v>0.90264137731287242</v>
      </c>
      <c r="D32" s="30">
        <v>3.084469535954484E-2</v>
      </c>
      <c r="E32" s="16">
        <v>0.90965479260028326</v>
      </c>
      <c r="F32" s="29">
        <v>3.7308708698091074E-2</v>
      </c>
      <c r="G32" s="15">
        <v>0.91912784547644066</v>
      </c>
      <c r="H32" s="30">
        <v>-2.9739914707111889E-2</v>
      </c>
      <c r="I32" s="16">
        <v>0.74480566104421619</v>
      </c>
      <c r="J32" s="29">
        <v>4.740295284124741E-2</v>
      </c>
      <c r="K32" s="15">
        <v>0.42230292867601943</v>
      </c>
      <c r="L32" s="30">
        <v>5.4477907206974319E-2</v>
      </c>
      <c r="M32" s="16">
        <v>0.49874771226184128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20</v>
      </c>
      <c r="B33" s="20">
        <v>4.7299999999999998E-3</v>
      </c>
      <c r="C33" s="21">
        <v>1</v>
      </c>
      <c r="D33" s="22">
        <v>2.9530000000000001E-2</v>
      </c>
      <c r="E33" s="23">
        <v>1</v>
      </c>
      <c r="F33" s="20">
        <v>4.0710000000000003E-2</v>
      </c>
      <c r="G33" s="21">
        <v>1</v>
      </c>
      <c r="H33" s="22">
        <v>-2.7759999999999993E-2</v>
      </c>
      <c r="I33" s="23">
        <v>1</v>
      </c>
      <c r="J33" s="20">
        <v>4.7309999999999998E-2</v>
      </c>
      <c r="K33" s="21">
        <v>1</v>
      </c>
      <c r="L33" s="22">
        <v>6.1979999999999986E-2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24</v>
      </c>
      <c r="B35" s="29">
        <v>4.7296771084478903E-3</v>
      </c>
      <c r="C35" s="15">
        <v>0.99999979302958841</v>
      </c>
      <c r="D35" s="16">
        <v>2.9530000000000001E-2</v>
      </c>
      <c r="E35" s="31">
        <v>1</v>
      </c>
      <c r="F35" s="29">
        <v>4.066105653412426E-2</v>
      </c>
      <c r="G35" s="15">
        <v>1.0000374822879794</v>
      </c>
      <c r="H35" s="16">
        <v>-2.7759999999999993E-2</v>
      </c>
      <c r="I35" s="31">
        <v>1</v>
      </c>
      <c r="J35" s="29">
        <v>4.7313803659636437E-2</v>
      </c>
      <c r="K35" s="15">
        <v>1</v>
      </c>
      <c r="L35" s="16">
        <v>6.1978235314101092E-2</v>
      </c>
      <c r="M35" s="31">
        <v>1.0000018360659002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25</v>
      </c>
      <c r="B36" s="29">
        <v>3.2289155210903232E-7</v>
      </c>
      <c r="C36" s="15">
        <v>2.0697041172797825E-7</v>
      </c>
      <c r="D36" s="30">
        <v>0</v>
      </c>
      <c r="E36" s="16">
        <v>0</v>
      </c>
      <c r="F36" s="29">
        <v>4.8943465875745786E-5</v>
      </c>
      <c r="G36" s="15">
        <v>-3.74822879791427E-5</v>
      </c>
      <c r="H36" s="30">
        <v>0</v>
      </c>
      <c r="I36" s="16">
        <v>0</v>
      </c>
      <c r="J36" s="29">
        <v>-3.803659636442619E-6</v>
      </c>
      <c r="K36" s="15">
        <v>0</v>
      </c>
      <c r="L36" s="30">
        <v>1.7646858988960996E-6</v>
      </c>
      <c r="M36" s="16">
        <v>-1.8360659001215559E-6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20</v>
      </c>
      <c r="B37" s="20">
        <v>4.729999999999999E-3</v>
      </c>
      <c r="C37" s="21">
        <v>1.0000000000000002</v>
      </c>
      <c r="D37" s="22">
        <v>2.9530000000000001E-2</v>
      </c>
      <c r="E37" s="23">
        <v>1</v>
      </c>
      <c r="F37" s="20">
        <v>4.0710000000000003E-2</v>
      </c>
      <c r="G37" s="21">
        <v>1.0000000000000002</v>
      </c>
      <c r="H37" s="22">
        <v>-2.7759999999999993E-2</v>
      </c>
      <c r="I37" s="23">
        <v>1</v>
      </c>
      <c r="J37" s="20">
        <v>4.7309999999999998E-2</v>
      </c>
      <c r="K37" s="21">
        <v>1</v>
      </c>
      <c r="L37" s="22">
        <v>6.1979999999999986E-2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7"/>
      <c r="E39" s="78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26</v>
      </c>
      <c r="B40" s="79" t="s">
        <v>58</v>
      </c>
      <c r="C40" s="80"/>
      <c r="D40" s="75" t="s">
        <v>59</v>
      </c>
      <c r="E40" s="81"/>
      <c r="F40" s="79" t="s">
        <v>60</v>
      </c>
      <c r="G40" s="80"/>
      <c r="H40" s="75" t="s">
        <v>60</v>
      </c>
      <c r="I40" s="76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5.0895236643710984E-3</v>
      </c>
      <c r="C42" s="47">
        <v>8.9537753309323745E-2</v>
      </c>
      <c r="D42" s="48">
        <v>1.4542488291747535E-2</v>
      </c>
      <c r="E42" s="48">
        <v>0.26712646566863246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3" t="s">
        <v>43</v>
      </c>
      <c r="B43" s="46">
        <v>0</v>
      </c>
      <c r="C43" s="47">
        <v>0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0</v>
      </c>
      <c r="C46" s="47">
        <v>0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7.0576507073639189E-2</v>
      </c>
      <c r="C49" s="47">
        <v>0.91047447338283194</v>
      </c>
      <c r="D49" s="48">
        <v>0.11452295712362195</v>
      </c>
      <c r="E49" s="48">
        <v>0.73669041571158556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8.3396926198971242E-4</v>
      </c>
      <c r="C53" s="47">
        <v>-1.2226692155587451E-5</v>
      </c>
      <c r="D53" s="48">
        <v>3.5034554584630499E-2</v>
      </c>
      <c r="E53" s="48">
        <v>-3.8168813802178241E-3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74" t="s">
        <v>44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19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27</v>
      </c>
      <c r="B61" s="49">
        <v>7.6499999999999999E-2</v>
      </c>
      <c r="C61" s="50">
        <v>1</v>
      </c>
      <c r="D61" s="67">
        <v>0.1641</v>
      </c>
      <c r="E61" s="52">
        <v>1.0000000000000002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21</v>
      </c>
      <c r="B62" s="53">
        <v>2202.2939999999999</v>
      </c>
      <c r="C62" s="54"/>
      <c r="D62" s="55">
        <v>9722.362000000001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22</v>
      </c>
      <c r="B64" s="56">
        <v>5.1388754334298348E-3</v>
      </c>
      <c r="C64" s="47">
        <v>8.9525328203467938E-2</v>
      </c>
      <c r="D64" s="57">
        <v>1.4590221812202486E-2</v>
      </c>
      <c r="E64" s="48">
        <v>0.26711994710472114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23</v>
      </c>
      <c r="B65" s="46">
        <v>7.1361124566570164E-2</v>
      </c>
      <c r="C65" s="47">
        <v>0.91047467179653208</v>
      </c>
      <c r="D65" s="57">
        <v>0.14950977818779751</v>
      </c>
      <c r="E65" s="48">
        <v>0.73288005289527891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27</v>
      </c>
      <c r="B66" s="49">
        <v>7.6499999999999999E-2</v>
      </c>
      <c r="C66" s="50">
        <v>1</v>
      </c>
      <c r="D66" s="51">
        <v>0.1641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24</v>
      </c>
      <c r="B68" s="56">
        <v>7.6459114697956965E-2</v>
      </c>
      <c r="C68" s="47">
        <v>1.000012425105856</v>
      </c>
      <c r="D68" s="57">
        <v>0.16402810980809668</v>
      </c>
      <c r="E68" s="48">
        <v>1.0000065185639113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25</v>
      </c>
      <c r="B69" s="56">
        <v>4.0885302043033867E-5</v>
      </c>
      <c r="C69" s="47">
        <v>-1.2425105855804908E-5</v>
      </c>
      <c r="D69" s="57">
        <v>7.1890191903317691E-5</v>
      </c>
      <c r="E69" s="48">
        <v>-6.5185639112560468E-6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27</v>
      </c>
      <c r="B70" s="49">
        <v>7.6499999999999999E-2</v>
      </c>
      <c r="C70" s="50">
        <v>1.0000000000000002</v>
      </c>
      <c r="D70" s="51">
        <v>0.1641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10</vt:i4>
      </vt:variant>
    </vt:vector>
  </HeadingPairs>
  <TitlesOfParts>
    <vt:vector size="10" baseType="lpstr">
      <vt:lpstr>כלל השתלמות כללי</vt:lpstr>
      <vt:lpstr>כלל השתלמות אגח צמוד מדד</vt:lpstr>
      <vt:lpstr>כלל השתלמות מניות</vt:lpstr>
      <vt:lpstr>כלל השתלמות הלכה</vt:lpstr>
      <vt:lpstr>כלל השתלמות אגח עד 15%</vt:lpstr>
      <vt:lpstr>כלל השתלמות מחקה אס אנד פי</vt:lpstr>
      <vt:lpstr>כלל השתלמות אגח</vt:lpstr>
      <vt:lpstr>כלל השתלמות שקלי טווח קצר</vt:lpstr>
      <vt:lpstr>כלל השתלמות פאסיבי</vt:lpstr>
      <vt:lpstr>כלל השתלמות פאסיבי מדדי מניות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טל זיגלר</dc:creator>
  <cp:lastModifiedBy>אסף מגן</cp:lastModifiedBy>
  <dcterms:created xsi:type="dcterms:W3CDTF">2021-05-20T11:25:09Z</dcterms:created>
  <dcterms:modified xsi:type="dcterms:W3CDTF">2024-07-16T12:04:25Z</dcterms:modified>
</cp:coreProperties>
</file>