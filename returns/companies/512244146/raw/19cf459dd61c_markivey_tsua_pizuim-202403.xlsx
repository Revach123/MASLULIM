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4\"/>
    </mc:Choice>
  </mc:AlternateContent>
  <xr:revisionPtr revIDLastSave="0" documentId="13_ncr:1_{733086EB-6DE5-40BB-88B6-5A33761FCF69}" xr6:coauthVersionLast="47" xr6:coauthVersionMax="47" xr10:uidLastSave="{00000000-0000-0000-0000-000000000000}"/>
  <bookViews>
    <workbookView xWindow="-120" yWindow="-120" windowWidth="29040" windowHeight="15720" tabRatio="907" activeTab="5" xr2:uid="{00000000-000D-0000-FFFF-FFFF00000000}"/>
  </bookViews>
  <sheets>
    <sheet name="כלל ברזל קופה מרכזית לפיצוים" sheetId="135" r:id="rId1"/>
    <sheet name="כלל תקציבית" sheetId="136" r:id="rId2"/>
    <sheet name="כלל קופה כללית לפיצוים" sheetId="137" r:id="rId3"/>
    <sheet name="כלל פיצוים למעסיק" sheetId="138" r:id="rId4"/>
    <sheet name="כלל גמל מרכזית מסלולית" sheetId="139" r:id="rId5"/>
    <sheet name="כלל הדס הבורסה לניירות ערך" sheetId="140" r:id="rId6"/>
  </sheets>
  <externalReferences>
    <externalReference r:id="rId7"/>
  </externalReferenc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38" l="1"/>
  <c r="E5" i="138"/>
  <c r="C5" i="138"/>
  <c r="C4" i="138"/>
  <c r="C3" i="138"/>
  <c r="C2" i="138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<sst xmlns="http://schemas.openxmlformats.org/spreadsheetml/2006/main" count="659" uniqueCount="93">
  <si>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</si>
  <si>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</si>
  <si>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</si>
  <si>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</si>
  <si>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</si>
  <si>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</si>
  <si>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</si>
  <si>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</si>
  <si>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</si>
  <si>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</si>
  <si>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</si>
  <si>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</si>
  <si>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</si>
  <si>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</si>
  <si>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</si>
  <si>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</si>
  <si>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</si>
  <si>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</si>
  <si>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</si>
  <si>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</si>
  <si>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</si>
  <si>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</si>
  <si>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</si>
  <si>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</si>
  <si>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</si>
  <si>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</si>
  <si>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</si>
  <si>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</si>
  <si>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</si>
  <si>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</si>
  <si>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כלל ברזל</t>
  </si>
  <si>
    <t>כלל תקציבית</t>
  </si>
  <si>
    <t>דיסקונט לפיצויים</t>
  </si>
  <si>
    <t>כלל גמל-מסלולית</t>
  </si>
  <si>
    <t>הדס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</si>
  <si>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</si>
  <si>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</si>
  <si>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</si>
  <si>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</si>
  <si>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</si>
  <si>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</si>
  <si>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31.03.24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</si>
  <si>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</si>
  <si>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</si>
  <si>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</si>
  <si>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</si>
  <si>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</si>
  <si>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</si>
  <si>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</si>
  <si>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</si>
  <si>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</si>
  <si>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</si>
  <si>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</si>
  <si>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</si>
  <si>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</si>
  <si>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/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</si>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</sst>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4" x14ac:knownFonts="1">
    <font>
      <sz val="11"/>
      <color indexed="8"/>
      <name val="Arial"/>
      <family val="2"/>
      <scheme val="minor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164" fontId="6" fillId="0" borderId="0" applyFill="0" applyBorder="0" applyAlignment="0" applyProtection="0"/>
    <xf numFmtId="9" fontId="6" fillId="0" borderId="0" applyFill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6" fillId="2" borderId="15" applyNumberFormat="0" applyAlignment="0" applyProtection="0"/>
    <xf numFmtId="0" fontId="8" fillId="28" borderId="16" applyNumberFormat="0" applyAlignment="0" applyProtection="0"/>
    <xf numFmtId="0" fontId="9" fillId="29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20" applyNumberFormat="0" applyFill="0" applyAlignment="0" applyProtection="0"/>
    <xf numFmtId="0" fontId="18" fillId="28" borderId="21" applyNumberFormat="0" applyAlignment="0" applyProtection="0"/>
    <xf numFmtId="0" fontId="19" fillId="3" borderId="16" applyNumberFormat="0" applyAlignment="0" applyProtection="0"/>
    <xf numFmtId="0" fontId="20" fillId="31" borderId="0" applyNumberFormat="0" applyBorder="0" applyAlignment="0" applyProtection="0"/>
    <xf numFmtId="0" fontId="21" fillId="32" borderId="22" applyNumberFormat="0" applyAlignment="0" applyProtection="0"/>
    <xf numFmtId="0" fontId="22" fillId="0" borderId="23" applyNumberFormat="0" applyFill="0" applyAlignment="0" applyProtection="0"/>
  </cellStyleXfs>
  <cellXfs count="122">
    <xf numFmtId="0" fontId="0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right" readingOrder="2"/>
    </xf>
    <xf numFmtId="14" fontId="0" fillId="0" borderId="0" xfId="0" applyNumberFormat="1" applyFont="1" applyAlignment="1"/>
    <xf numFmtId="0" fontId="2" fillId="0" borderId="1" xfId="0" applyFont="1" applyBorder="1" applyAlignment="1"/>
    <xf numFmtId="166" fontId="0" fillId="0" borderId="0" xfId="0" applyNumberFormat="1" applyFont="1" applyAlignment="1"/>
    <xf numFmtId="0" fontId="3" fillId="0" borderId="1" xfId="0" applyFont="1" applyBorder="1" applyAlignment="1"/>
    <xf numFmtId="17" fontId="4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17" fontId="4" fillId="8" borderId="2" xfId="0" applyNumberFormat="1" applyFont="1" applyFill="1" applyBorder="1" applyAlignment="1">
      <alignment horizontal="centerContinuous"/>
    </xf>
    <xf numFmtId="17" fontId="2" fillId="8" borderId="3" xfId="0" applyNumberFormat="1" applyFont="1" applyFill="1" applyBorder="1" applyAlignment="1">
      <alignment horizontal="centerContinuous"/>
    </xf>
    <xf numFmtId="0" fontId="2" fillId="0" borderId="4" xfId="0" applyFont="1" applyBorder="1" applyAlignment="1"/>
    <xf numFmtId="0" fontId="2" fillId="2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33" borderId="7" xfId="0" applyFont="1" applyFill="1" applyBorder="1" applyAlignment="1"/>
    <xf numFmtId="10" fontId="2" fillId="2" borderId="5" xfId="20" applyNumberFormat="1" applyFont="1" applyFill="1" applyBorder="1" applyAlignment="1"/>
    <xf numFmtId="10" fontId="2" fillId="8" borderId="6" xfId="20" applyNumberFormat="1" applyFont="1" applyFill="1" applyBorder="1" applyAlignment="1"/>
    <xf numFmtId="10" fontId="0" fillId="0" borderId="0" xfId="0" applyNumberFormat="1" applyFont="1" applyAlignment="1"/>
    <xf numFmtId="0" fontId="2" fillId="33" borderId="8" xfId="0" applyFont="1" applyFill="1" applyBorder="1" applyAlignment="1"/>
    <xf numFmtId="0" fontId="4" fillId="33" borderId="9" xfId="0" applyFont="1" applyFill="1" applyBorder="1" applyAlignment="1"/>
    <xf numFmtId="10" fontId="4" fillId="2" borderId="10" xfId="20" applyNumberFormat="1" applyFont="1" applyFill="1" applyBorder="1" applyAlignment="1"/>
    <xf numFmtId="10" fontId="4" fillId="2" borderId="11" xfId="20" applyNumberFormat="1" applyFont="1" applyFill="1" applyBorder="1" applyAlignment="1"/>
    <xf numFmtId="10" fontId="4" fillId="8" borderId="10" xfId="20" applyNumberFormat="1" applyFont="1" applyFill="1" applyBorder="1" applyAlignment="1"/>
    <xf numFmtId="10" fontId="4" fillId="8" borderId="11" xfId="20" applyNumberFormat="1" applyFont="1" applyFill="1" applyBorder="1" applyAlignment="1"/>
    <xf numFmtId="3" fontId="4" fillId="2" borderId="12" xfId="20" applyNumberFormat="1" applyFont="1" applyFill="1" applyBorder="1" applyAlignment="1"/>
    <xf numFmtId="164" fontId="23" fillId="34" borderId="13" xfId="19" applyFont="1" applyFill="1" applyBorder="1" applyAlignment="1"/>
    <xf numFmtId="3" fontId="4" fillId="8" borderId="12" xfId="20" applyNumberFormat="1" applyFont="1" applyFill="1" applyBorder="1" applyAlignment="1"/>
    <xf numFmtId="168" fontId="2" fillId="0" borderId="0" xfId="19" applyNumberFormat="1" applyFont="1" applyAlignment="1"/>
    <xf numFmtId="168" fontId="2" fillId="0" borderId="0" xfId="19" applyNumberFormat="1" applyFont="1" applyFill="1" applyAlignment="1"/>
    <xf numFmtId="10" fontId="2" fillId="2" borderId="2" xfId="20" applyNumberFormat="1" applyFont="1" applyFill="1" applyBorder="1" applyAlignment="1"/>
    <xf numFmtId="10" fontId="2" fillId="8" borderId="2" xfId="20" applyNumberFormat="1" applyFont="1" applyFill="1" applyBorder="1" applyAlignment="1"/>
    <xf numFmtId="10" fontId="2" fillId="8" borderId="3" xfId="20" applyNumberFormat="1" applyFont="1" applyFill="1" applyBorder="1" applyAlignment="1"/>
    <xf numFmtId="0" fontId="2" fillId="0" borderId="0" xfId="0" applyFont="1" applyAlignment="1"/>
    <xf numFmtId="0" fontId="2" fillId="0" borderId="0" xfId="0" applyFont="1" applyFill="1" applyAlignment="1"/>
    <xf numFmtId="165" fontId="5" fillId="0" borderId="0" xfId="0" applyNumberFormat="1" applyFont="1" applyAlignment="1"/>
    <xf numFmtId="169" fontId="0" fillId="0" borderId="0" xfId="0" applyNumberFormat="1" applyFont="1" applyAlignment="1"/>
    <xf numFmtId="0" fontId="5" fillId="35" borderId="0" xfId="0" applyFont="1" applyFill="1" applyAlignment="1"/>
    <xf numFmtId="0" fontId="5" fillId="14" borderId="0" xfId="0" applyFont="1" applyFill="1" applyAlignment="1"/>
    <xf numFmtId="10" fontId="5" fillId="0" borderId="0" xfId="20" applyNumberFormat="1" applyFont="1" applyAlignment="1"/>
    <xf numFmtId="168" fontId="6" fillId="0" borderId="0" xfId="19" applyNumberFormat="1" applyFont="1" applyAlignment="1"/>
    <xf numFmtId="164" fontId="6" fillId="0" borderId="0" xfId="19" applyFont="1" applyAlignment="1"/>
    <xf numFmtId="164" fontId="5" fillId="0" borderId="0" xfId="0" applyNumberFormat="1" applyFont="1" applyAlignment="1"/>
    <xf numFmtId="0" fontId="24" fillId="36" borderId="5" xfId="0" applyFont="1" applyFill="1" applyBorder="1" applyAlignment="1">
      <alignment horizontal="center" vertical="center" wrapText="1"/>
    </xf>
    <xf numFmtId="0" fontId="24" fillId="36" borderId="6" xfId="0" applyFont="1" applyFill="1" applyBorder="1" applyAlignment="1">
      <alignment horizontal="center" vertical="center" wrapText="1"/>
    </xf>
    <xf numFmtId="0" fontId="24" fillId="37" borderId="5" xfId="0" applyFont="1" applyFill="1" applyBorder="1" applyAlignment="1">
      <alignment horizontal="center" vertical="center" wrapText="1"/>
    </xf>
    <xf numFmtId="0" fontId="24" fillId="37" borderId="6" xfId="0" applyFont="1" applyFill="1" applyBorder="1" applyAlignment="1">
      <alignment horizontal="center" vertical="center" wrapText="1"/>
    </xf>
    <xf numFmtId="10" fontId="24" fillId="36" borderId="5" xfId="20" applyNumberFormat="1" applyFont="1" applyFill="1" applyBorder="1"/>
    <xf numFmtId="10" fontId="24" fillId="36" borderId="6" xfId="20" applyNumberFormat="1" applyFont="1" applyFill="1" applyBorder="1"/>
    <xf numFmtId="10" fontId="24" fillId="37" borderId="6" xfId="20" applyNumberFormat="1" applyFont="1" applyFill="1" applyBorder="1"/>
    <xf numFmtId="10" fontId="25" fillId="36" borderId="10" xfId="20" applyNumberFormat="1" applyFont="1" applyFill="1" applyBorder="1"/>
    <xf numFmtId="10" fontId="25" fillId="36" borderId="11" xfId="20" applyNumberFormat="1" applyFont="1" applyFill="1" applyBorder="1"/>
    <xf numFmtId="10" fontId="25" fillId="37" borderId="10" xfId="20" applyNumberFormat="1" applyFont="1" applyFill="1" applyBorder="1"/>
    <xf numFmtId="10" fontId="25" fillId="37" borderId="11" xfId="20" applyNumberFormat="1" applyFont="1" applyFill="1" applyBorder="1"/>
    <xf numFmtId="3" fontId="25" fillId="36" borderId="12" xfId="20" applyNumberFormat="1" applyFont="1" applyFill="1" applyBorder="1"/>
    <xf numFmtId="164" fontId="26" fillId="38" borderId="13" xfId="19" applyFont="1" applyFill="1" applyBorder="1"/>
    <xf numFmtId="3" fontId="25" fillId="37" borderId="12" xfId="20" applyNumberFormat="1" applyFont="1" applyFill="1" applyBorder="1"/>
    <xf numFmtId="10" fontId="24" fillId="36" borderId="2" xfId="20" applyNumberFormat="1" applyFont="1" applyFill="1" applyBorder="1"/>
    <xf numFmtId="10" fontId="24" fillId="37" borderId="2" xfId="20" applyNumberFormat="1" applyFont="1" applyFill="1" applyBorder="1"/>
    <xf numFmtId="0" fontId="27" fillId="0" borderId="0" xfId="0" applyFont="1"/>
    <xf numFmtId="0" fontId="24" fillId="0" borderId="0" xfId="0" applyFont="1" applyFill="1"/>
    <xf numFmtId="0" fontId="0" fillId="0" borderId="0" xfId="0" applyFont="1" applyFill="1" applyAlignment="1"/>
    <xf numFmtId="167" fontId="6" fillId="0" borderId="0" xfId="20" applyNumberFormat="1" applyAlignment="1"/>
    <xf numFmtId="10" fontId="5" fillId="0" borderId="0" xfId="0" applyNumberFormat="1" applyFont="1" applyAlignment="1"/>
    <xf numFmtId="10" fontId="0" fillId="0" borderId="0" xfId="0" applyNumberFormat="1" applyFont="1" applyFill="1" applyAlignment="1"/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10" fontId="28" fillId="37" borderId="6" xfId="20" applyNumberFormat="1" applyFont="1" applyFill="1" applyBorder="1"/>
    <xf numFmtId="0" fontId="29" fillId="0" borderId="0" xfId="0" applyFont="1"/>
    <xf numFmtId="0" fontId="29" fillId="0" borderId="0" xfId="0" applyFont="1" applyAlignment="1">
      <alignment horizontal="left" readingOrder="2"/>
    </xf>
    <xf numFmtId="0" fontId="29" fillId="0" borderId="0" xfId="0" applyFont="1" applyBorder="1" applyAlignment="1">
      <alignment horizontal="left"/>
    </xf>
    <xf numFmtId="0" fontId="30" fillId="39" borderId="0" xfId="0" applyFont="1" applyFill="1" applyAlignment="1">
      <alignment horizontal="center"/>
    </xf>
    <xf numFmtId="0" fontId="31" fillId="39" borderId="0" xfId="0" applyFont="1" applyFill="1"/>
    <xf numFmtId="0" fontId="31" fillId="0" borderId="0" xfId="0" applyFont="1"/>
    <xf numFmtId="0" fontId="29" fillId="0" borderId="0" xfId="0" applyFont="1" applyAlignment="1">
      <alignment horizontal="left"/>
    </xf>
    <xf numFmtId="0" fontId="32" fillId="0" borderId="0" xfId="0" applyFont="1"/>
    <xf numFmtId="0" fontId="31" fillId="0" borderId="0" xfId="0" applyFont="1" applyAlignment="1">
      <alignment vertical="top"/>
    </xf>
    <xf numFmtId="0" fontId="24" fillId="0" borderId="30" xfId="0" applyFont="1" applyBorder="1" applyAlignment="1">
      <alignment vertical="top"/>
    </xf>
    <xf numFmtId="0" fontId="24" fillId="36" borderId="2" xfId="0" applyFont="1" applyFill="1" applyBorder="1" applyAlignment="1">
      <alignment horizontal="center" vertical="top" wrapText="1"/>
    </xf>
    <xf numFmtId="0" fontId="24" fillId="36" borderId="3" xfId="0" applyFont="1" applyFill="1" applyBorder="1" applyAlignment="1">
      <alignment horizontal="center" vertical="top" wrapText="1"/>
    </xf>
    <xf numFmtId="0" fontId="24" fillId="8" borderId="2" xfId="0" applyFont="1" applyFill="1" applyBorder="1" applyAlignment="1">
      <alignment horizontal="center" vertical="top" wrapText="1"/>
    </xf>
    <xf numFmtId="0" fontId="24" fillId="8" borderId="3" xfId="0" applyFont="1" applyFill="1" applyBorder="1" applyAlignment="1">
      <alignment horizontal="center" vertical="top" wrapText="1"/>
    </xf>
    <xf numFmtId="0" fontId="33" fillId="0" borderId="0" xfId="0" applyFont="1" applyAlignment="1">
      <alignment vertical="top"/>
    </xf>
    <xf numFmtId="0" fontId="24" fillId="33" borderId="7" xfId="0" applyFont="1" applyFill="1" applyBorder="1"/>
    <xf numFmtId="10" fontId="24" fillId="36" borderId="5" xfId="20" applyNumberFormat="1" applyFont="1" applyFill="1" applyBorder="1" applyProtection="1">
      <protection locked="0"/>
    </xf>
    <xf numFmtId="10" fontId="24" fillId="36" borderId="6" xfId="20" applyNumberFormat="1" applyFont="1" applyFill="1" applyBorder="1" applyProtection="1">
      <protection locked="0"/>
    </xf>
    <xf numFmtId="10" fontId="24" fillId="8" borderId="5" xfId="20" applyNumberFormat="1" applyFont="1" applyFill="1" applyBorder="1" applyProtection="1">
      <protection locked="0"/>
    </xf>
    <xf numFmtId="10" fontId="24" fillId="8" borderId="6" xfId="20" applyNumberFormat="1" applyFont="1" applyFill="1" applyBorder="1" applyProtection="1">
      <protection locked="0"/>
    </xf>
    <xf numFmtId="0" fontId="33" fillId="0" borderId="0" xfId="0" applyFont="1"/>
    <xf numFmtId="0" fontId="24" fillId="33" borderId="8" xfId="0" applyFont="1" applyFill="1" applyBorder="1" applyAlignment="1">
      <alignment wrapText="1"/>
    </xf>
    <xf numFmtId="0" fontId="24" fillId="33" borderId="8" xfId="0" applyFont="1" applyFill="1" applyBorder="1"/>
    <xf numFmtId="0" fontId="25" fillId="33" borderId="9" xfId="0" applyFont="1" applyFill="1" applyBorder="1"/>
    <xf numFmtId="10" fontId="25" fillId="36" borderId="10" xfId="20" applyNumberFormat="1" applyFont="1" applyFill="1" applyBorder="1" applyProtection="1">
      <protection locked="0"/>
    </xf>
    <xf numFmtId="10" fontId="25" fillId="36" borderId="11" xfId="20" applyNumberFormat="1" applyFont="1" applyFill="1" applyBorder="1" applyProtection="1">
      <protection locked="0"/>
    </xf>
    <xf numFmtId="10" fontId="25" fillId="8" borderId="10" xfId="20" applyNumberFormat="1" applyFont="1" applyFill="1" applyBorder="1" applyProtection="1">
      <protection locked="0"/>
    </xf>
    <xf numFmtId="10" fontId="25" fillId="8" borderId="11" xfId="20" applyNumberFormat="1" applyFont="1" applyFill="1" applyBorder="1" applyProtection="1">
      <protection locked="0"/>
    </xf>
    <xf numFmtId="0" fontId="25" fillId="40" borderId="31" xfId="0" applyFont="1" applyFill="1" applyBorder="1"/>
    <xf numFmtId="3" fontId="25" fillId="36" borderId="12" xfId="20" applyNumberFormat="1" applyFont="1" applyFill="1" applyBorder="1" applyProtection="1">
      <protection locked="0"/>
    </xf>
    <xf numFmtId="10" fontId="25" fillId="34" borderId="13" xfId="20" applyNumberFormat="1" applyFont="1" applyFill="1" applyBorder="1" applyProtection="1">
      <protection locked="0"/>
    </xf>
    <xf numFmtId="3" fontId="25" fillId="8" borderId="12" xfId="20" applyNumberFormat="1" applyFont="1" applyFill="1" applyBorder="1" applyProtection="1">
      <protection locked="0"/>
    </xf>
    <xf numFmtId="0" fontId="24" fillId="0" borderId="0" xfId="0" applyFont="1"/>
    <xf numFmtId="0" fontId="24" fillId="0" borderId="0" xfId="0" applyFont="1" applyProtection="1">
      <protection locked="0"/>
    </xf>
    <xf numFmtId="10" fontId="24" fillId="36" borderId="2" xfId="20" applyNumberFormat="1" applyFont="1" applyFill="1" applyBorder="1" applyProtection="1">
      <protection locked="0"/>
    </xf>
    <xf numFmtId="10" fontId="24" fillId="36" borderId="3" xfId="20" applyNumberFormat="1" applyFont="1" applyFill="1" applyBorder="1" applyProtection="1">
      <protection locked="0"/>
    </xf>
    <xf numFmtId="10" fontId="24" fillId="8" borderId="2" xfId="20" applyNumberFormat="1" applyFont="1" applyFill="1" applyBorder="1" applyProtection="1">
      <protection locked="0"/>
    </xf>
    <xf numFmtId="10" fontId="24" fillId="8" borderId="3" xfId="20" applyNumberFormat="1" applyFont="1" applyFill="1" applyBorder="1" applyProtection="1">
      <protection locked="0"/>
    </xf>
    <xf numFmtId="0" fontId="25" fillId="33" borderId="32" xfId="0" applyFont="1" applyFill="1" applyBorder="1"/>
    <xf numFmtId="0" fontId="0" fillId="0" borderId="0" xfId="0"/>
    <xf numFmtId="0" fontId="31" fillId="0" borderId="0" xfId="0" applyFont="1" applyProtection="1">
      <protection locked="0"/>
    </xf>
    <xf numFmtId="0" fontId="25" fillId="0" borderId="4" xfId="0" applyFont="1" applyBorder="1" applyAlignment="1">
      <alignment horizontal="right" vertical="center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17" fontId="25" fillId="37" borderId="28" xfId="0" applyNumberFormat="1" applyFont="1" applyFill="1" applyBorder="1" applyAlignment="1">
      <alignment horizontal="center"/>
    </xf>
    <xf numFmtId="17" fontId="25" fillId="37" borderId="14" xfId="0" applyNumberFormat="1" applyFont="1" applyFill="1" applyBorder="1" applyAlignment="1">
      <alignment horizontal="center"/>
    </xf>
    <xf numFmtId="0" fontId="5" fillId="14" borderId="27" xfId="0" applyFont="1" applyFill="1" applyBorder="1" applyAlignment="1">
      <alignment horizontal="center"/>
    </xf>
    <xf numFmtId="0" fontId="5" fillId="14" borderId="29" xfId="0" applyFont="1" applyFill="1" applyBorder="1" applyAlignment="1">
      <alignment horizontal="center"/>
    </xf>
    <xf numFmtId="17" fontId="25" fillId="36" borderId="28" xfId="0" applyNumberFormat="1" applyFont="1" applyFill="1" applyBorder="1" applyAlignment="1">
      <alignment horizontal="center"/>
    </xf>
    <xf numFmtId="17" fontId="25" fillId="36" borderId="26" xfId="0" applyNumberFormat="1" applyFont="1" applyFill="1" applyBorder="1" applyAlignment="1">
      <alignment horizontal="center"/>
    </xf>
    <xf numFmtId="17" fontId="25" fillId="37" borderId="26" xfId="0" applyNumberFormat="1" applyFont="1" applyFill="1" applyBorder="1" applyAlignment="1">
      <alignment horizontal="center"/>
    </xf>
    <xf numFmtId="0" fontId="31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35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afmage\AppData\Local\Microsoft\Windows\INetCache\Content.Outlook\GY49UVPR\512244146_g241_Yield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2024</v>
          </cell>
        </row>
        <row r="21">
          <cell r="B21">
            <v>241</v>
          </cell>
        </row>
        <row r="22">
          <cell r="B22" t="str">
            <v>31.03.24</v>
          </cell>
        </row>
        <row r="23">
          <cell r="B23" t="str">
            <v>כלל פיצויים למעסיק</v>
          </cell>
        </row>
        <row r="24">
          <cell r="B24" t="str">
            <v>כלל פנסיה וגמל בע"מ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467CA-8149-4FBB-9852-D8A8F289C3F0}" name="טבלה4" displayName="טבלה4" ref="B37:J66" totalsRowShown="0" tableBorderDxfId="34">
  <autoFilter ref="B37:J66" xr:uid="{DB2467CA-8149-4FBB-9852-D8A8F289C3F0}"/>
  <tableColumns count="9">
    <tableColumn id="1" xr3:uid="{5257D041-AEDA-4EAE-9289-38F7E780F233}" name="נתונים מצטברים"/>
    <tableColumn id="2" xr3:uid="{82C43775-C5E0-4200-A9C7-BD03EA354F39}" name="התרומה לתשואה ינואר-מרץ " dataDxfId="33"/>
    <tableColumn id="3" xr3:uid="{A43A5BC0-1844-4736-9733-E9C4E402586B}" name="שיעור מסך הנכסים ינואר-מרץ " dataDxfId="32"/>
    <tableColumn id="4" xr3:uid="{5F5B1951-02E2-49DB-ADDF-C89906B0AEC0}" name="התרומה לתשואה ינואר-יוני " dataDxfId="31"/>
    <tableColumn id="5" xr3:uid="{EE408654-09FC-4F82-B2C1-41E09810FA9D}" name="שיעור מסך הנכסים ינואר-יוני " dataDxfId="30"/>
    <tableColumn id="6" xr3:uid="{B83FD4B7-609A-4020-9096-FE2C388EF41F}" name="התרומה לתשואה ינואר-ספטמבר " dataDxfId="29"/>
    <tableColumn id="7" xr3:uid="{4522A285-98F0-412E-87B4-98076AC6B149}" name="שיעור מסך הנכסים ינואר-ספטמבר " dataDxfId="28"/>
    <tableColumn id="8" xr3:uid="{1D58C187-CDAD-476B-8C94-6B9BF97E2075}" name="התרומה לתשואה ינואר-דצמבר " dataDxfId="27"/>
    <tableColumn id="9" xr3:uid="{E18467AB-EB21-46CF-BDA7-3F91D236B2A6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0D7B3-BB64-4972-9D81-CFD5D2C5DD6C}" name="טבלה7" displayName="טבלה7" ref="B6:Z35" totalsRowShown="0" headerRowDxfId="25" tableBorderDxfId="24">
  <autoFilter ref="B6:Z35" xr:uid="{3C50D7B3-BB64-4972-9D81-CFD5D2C5DD6C}"/>
  <tableColumns count="25">
    <tableColumn id="1" xr3:uid="{05FE5F18-F1DE-4CF2-B2BF-469B1E589919}" name="אפיקי השקעה:"/>
    <tableColumn id="2" xr3:uid="{892C8330-7415-4A2C-B950-9EE3D89818FC}" name="התרומה לתשואה ינואר" dataDxfId="23"/>
    <tableColumn id="3" xr3:uid="{E4148E81-D417-487D-94EC-5FEF6A0D7EAD}" name="שיעור מסך הנכסים ינואר " dataDxfId="22"/>
    <tableColumn id="4" xr3:uid="{6E77E084-A2BF-4645-836D-E62B9D94F654}" name="התרומה לתשואה פברואר" dataDxfId="21"/>
    <tableColumn id="5" xr3:uid="{8586AA41-25BD-4520-BC68-11DEEFC61F46}" name="שיעור מסך הנכסים פברואר" dataDxfId="20"/>
    <tableColumn id="6" xr3:uid="{F41E51F1-D8BE-420F-8B53-BBB4CCC1A496}" name="התרומה לתשואה מרץ" dataDxfId="19"/>
    <tableColumn id="7" xr3:uid="{2F06C3B3-A07A-41F3-98FF-12CCB5EEDAB0}" name="שיעור מסך הנכסים מרץ" dataDxfId="18"/>
    <tableColumn id="8" xr3:uid="{8B35FC83-DCB8-42D2-89CD-39852E7084F3}" name="התרומה לתשואה אפריל" dataDxfId="17"/>
    <tableColumn id="9" xr3:uid="{26F76908-6043-4B30-8AD5-B4191020D058}" name="שיעור מסך הנכסים אפריל" dataDxfId="16"/>
    <tableColumn id="10" xr3:uid="{C60E6C39-BE59-4679-A5A3-8A82C6933BF6}" name="התרומה לתשואה מאי " dataDxfId="15"/>
    <tableColumn id="11" xr3:uid="{CCC2B423-1CD3-4B54-8555-58DA2CC10E2A}" name="שיעור מסך הנכסים מאי" dataDxfId="14"/>
    <tableColumn id="12" xr3:uid="{BCBA1700-2D6A-44A9-8685-4F67118E00A0}" name="התרומה לתשואה יוני" dataDxfId="13"/>
    <tableColumn id="13" xr3:uid="{6FFBB30D-86A0-4A67-B1AD-68245392DAE2}" name="שיעור מסך הנכסים יוני" dataDxfId="12"/>
    <tableColumn id="14" xr3:uid="{BEF44022-FE5B-4C3E-9FEB-40DEE5CF526E}" name="התרומה לתשואה יולי" dataDxfId="11"/>
    <tableColumn id="15" xr3:uid="{812D296E-BF8F-4AED-B314-1453D2A8D542}" name="שיעור מסך הנכסים יולי " dataDxfId="10"/>
    <tableColumn id="16" xr3:uid="{F2211CD4-E9E9-4CF6-BD7E-EDA2E0D82B6E}" name="התרומה לתשואה אוגוסט" dataDxfId="9"/>
    <tableColumn id="17" xr3:uid="{3EB44FBF-8DF3-43CC-AE62-6C9EC3A1637B}" name="שיעור מסך הנכסים אוגוסט" dataDxfId="8"/>
    <tableColumn id="18" xr3:uid="{4ACB5B13-5B03-4789-8618-9D80968F6B9C}" name="התרומה לתשואה ספטמבר " dataDxfId="7"/>
    <tableColumn id="19" xr3:uid="{EAF7425A-794F-4B99-8FEB-5C3FE24D17A8}" name="שיעור מסך הנכסים ספטמבר " dataDxfId="6"/>
    <tableColumn id="20" xr3:uid="{009A004B-BA87-493E-8360-BF39C3E76695}" name="התרומה לתשואה אוקטובר" dataDxfId="5"/>
    <tableColumn id="21" xr3:uid="{A9B159E9-5919-47E5-85C7-6B7976D0671C}" name="שיעור מסך הנכסים אוקטובר" dataDxfId="4"/>
    <tableColumn id="22" xr3:uid="{0B8EE9B6-0DB2-4B94-B3C2-24480463E49B}" name="התרומה לתשואה נובמבר" dataDxfId="3"/>
    <tableColumn id="23" xr3:uid="{C544094B-D910-4C88-BFAE-E778C75F80AD}" name="שיעור מסך הנכסים נובמבר " dataDxfId="2"/>
    <tableColumn id="24" xr3:uid="{C53508BD-2CF6-48DB-AF6B-3036863E77E3}" name="התרומה לתשואה דצמבר " dataDxfId="1"/>
    <tableColumn id="25" xr3:uid="{FBF21FE1-F1FD-4C7E-A263-7B129B6FC4B4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E4A9-54EC-44C4-8AD8-9C62C6F25A55}">
  <sheetPr codeName="גיליון31">
    <tabColor rgb="FFFFC00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152</v>
      </c>
    </row>
    <row r="3" spans="1:26" ht="18.75" x14ac:dyDescent="0.3">
      <c r="A3" s="71" t="s">
        <v>37</v>
      </c>
      <c r="B3" s="73" t="s">
        <v>30</v>
      </c>
    </row>
    <row r="4" spans="1:26" ht="18.75" x14ac:dyDescent="0.3">
      <c r="A4" s="70" t="s">
        <v>38</v>
      </c>
      <c r="B4" s="73" t="s">
        <v>29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41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42</v>
      </c>
      <c r="C7" s="8"/>
      <c r="D7" s="9" t="s">
        <v>43</v>
      </c>
      <c r="E7" s="10"/>
      <c r="F7" s="7" t="s">
        <v>44</v>
      </c>
      <c r="G7" s="8"/>
      <c r="H7" s="9" t="s">
        <v>45</v>
      </c>
      <c r="I7" s="10"/>
      <c r="J7" s="7" t="s">
        <v>46</v>
      </c>
      <c r="K7" s="8"/>
      <c r="L7" s="9" t="s">
        <v>47</v>
      </c>
      <c r="M7" s="10"/>
      <c r="N7" s="7" t="s">
        <v>48</v>
      </c>
      <c r="O7" s="8"/>
      <c r="P7" s="9" t="s">
        <v>49</v>
      </c>
      <c r="Q7" s="10"/>
      <c r="R7" s="7" t="s">
        <v>50</v>
      </c>
      <c r="S7" s="8"/>
      <c r="T7" s="9" t="s">
        <v>51</v>
      </c>
      <c r="U7" s="9"/>
      <c r="V7" s="7" t="s">
        <v>52</v>
      </c>
      <c r="W7" s="8"/>
      <c r="X7" s="9" t="s">
        <v>53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1.1291213097933424E-4</v>
      </c>
      <c r="C9" s="16">
        <v>6.0318673287933354E-2</v>
      </c>
      <c r="D9" s="17">
        <v>-2.3864389462817989E-4</v>
      </c>
      <c r="E9" s="17">
        <v>4.4966907160339638E-2</v>
      </c>
      <c r="F9" s="16">
        <v>3.825126089071389E-4</v>
      </c>
      <c r="G9" s="16">
        <v>7.8415802666704046E-2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90" t="s">
        <v>81</v>
      </c>
      <c r="B10" s="16">
        <v>-1.6044800531077007E-3</v>
      </c>
      <c r="C10" s="16">
        <v>0.24638072862648197</v>
      </c>
      <c r="D10" s="17">
        <v>7.2818601930144068E-4</v>
      </c>
      <c r="E10" s="17">
        <v>0.26246058865999267</v>
      </c>
      <c r="F10" s="16">
        <v>-1.226156447285548E-3</v>
      </c>
      <c r="G10" s="16">
        <v>0.25980479664923867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1.1028765878435644E-3</v>
      </c>
      <c r="C13" s="16">
        <v>0.51032599469598527</v>
      </c>
      <c r="D13" s="17">
        <v>2.7919551494551519E-3</v>
      </c>
      <c r="E13" s="17">
        <v>0.50176398979330039</v>
      </c>
      <c r="F13" s="16">
        <v>5.747127719678221E-3</v>
      </c>
      <c r="G13" s="16">
        <v>0.48694433008274202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-5.7633967759593208E-5</v>
      </c>
      <c r="C14" s="16">
        <v>4.5796823139209637E-2</v>
      </c>
      <c r="D14" s="17">
        <v>2.9587265509563559E-4</v>
      </c>
      <c r="E14" s="17">
        <v>4.7043601268226751E-2</v>
      </c>
      <c r="F14" s="16">
        <v>3.2894093492949326E-4</v>
      </c>
      <c r="G14" s="16">
        <v>4.7366892134956928E-2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1.3407308550448251E-6</v>
      </c>
      <c r="C15" s="16">
        <v>7.5390783692989621E-4</v>
      </c>
      <c r="D15" s="17">
        <v>2.4376551590978417E-4</v>
      </c>
      <c r="E15" s="17">
        <v>8.0255905907963972E-4</v>
      </c>
      <c r="F15" s="16">
        <v>1.453876937761526E-4</v>
      </c>
      <c r="G15" s="16">
        <v>1.0518982729465487E-3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1.3188601445117315E-4</v>
      </c>
      <c r="C16" s="16">
        <v>1.8164440131066131E-2</v>
      </c>
      <c r="D16" s="17">
        <v>8.9151200385482984E-6</v>
      </c>
      <c r="E16" s="17">
        <v>1.4610026297674049E-2</v>
      </c>
      <c r="F16" s="16">
        <v>2.5083646918600645E-4</v>
      </c>
      <c r="G16" s="16">
        <v>1.3502877024660407E-2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1.2121358668505054E-4</v>
      </c>
      <c r="C17" s="16">
        <v>4.2423445400588448E-2</v>
      </c>
      <c r="D17" s="17">
        <v>-4.5441032528370983E-4</v>
      </c>
      <c r="E17" s="17">
        <v>4.7343642105857606E-2</v>
      </c>
      <c r="F17" s="16">
        <v>1.1788730954369318E-3</v>
      </c>
      <c r="G17" s="16">
        <v>3.1205725050373698E-2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5.8938242179187041E-5</v>
      </c>
      <c r="C18" s="16">
        <v>2.9578887203314638E-2</v>
      </c>
      <c r="D18" s="17">
        <v>-3.4584068672469819E-4</v>
      </c>
      <c r="E18" s="17">
        <v>3.3057736585630354E-2</v>
      </c>
      <c r="F18" s="16">
        <v>1.0643004794812143E-3</v>
      </c>
      <c r="G18" s="16">
        <v>3.3496177424975689E-2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4.4335238468522403E-5</v>
      </c>
      <c r="C19" s="16">
        <v>9.4730149542985236E-5</v>
      </c>
      <c r="D19" s="17">
        <v>9.8151736638279173E-5</v>
      </c>
      <c r="E19" s="17">
        <v>1.3991354651170522E-4</v>
      </c>
      <c r="F19" s="16">
        <v>3.9701468966039984E-5</v>
      </c>
      <c r="G19" s="16">
        <v>2.3712999509841378E-4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-2.5864486992506486E-4</v>
      </c>
      <c r="C20" s="16">
        <v>4.5591897402657243E-4</v>
      </c>
      <c r="D20" s="17">
        <v>2.8373273233788811E-4</v>
      </c>
      <c r="E20" s="17">
        <v>-7.028331084237356E-5</v>
      </c>
      <c r="F20" s="16">
        <v>-4.8642840220795879E-4</v>
      </c>
      <c r="G20" s="16">
        <v>-6.3783564338881868E-5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-2.2555267078101724E-5</v>
      </c>
      <c r="C21" s="16">
        <v>2.5304468625841939E-5</v>
      </c>
      <c r="D21" s="17">
        <v>-8.0566431600708407E-6</v>
      </c>
      <c r="E21" s="17">
        <v>2.12573890704728E-5</v>
      </c>
      <c r="F21" s="16">
        <v>-3.1590598917293205E-4</v>
      </c>
      <c r="G21" s="16">
        <v>6.4263486106476298E-5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1.629094543814502E-7</v>
      </c>
      <c r="C22" s="16">
        <v>2.4534228980100224E-5</v>
      </c>
      <c r="D22" s="17">
        <v>1.5086640901507237E-7</v>
      </c>
      <c r="E22" s="17">
        <v>2.4457347510497368E-5</v>
      </c>
      <c r="F22" s="16">
        <v>1.5574389578222512E-7</v>
      </c>
      <c r="G22" s="16">
        <v>2.3121854528961712E-5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1.6964871695420239E-4</v>
      </c>
      <c r="C23" s="16">
        <v>4.5656611857314025E-2</v>
      </c>
      <c r="D23" s="17">
        <v>3.162217546109159E-4</v>
      </c>
      <c r="E23" s="17">
        <v>4.7835604097648296E-2</v>
      </c>
      <c r="F23" s="16">
        <v>3.10654624409458E-4</v>
      </c>
      <c r="G23" s="16">
        <v>4.7950768922007177E-2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15" t="s">
        <v>19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20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21</v>
      </c>
      <c r="B28" s="21">
        <v>-2.0000000000000001E-4</v>
      </c>
      <c r="C28" s="22">
        <v>0.99999999999999867</v>
      </c>
      <c r="D28" s="23">
        <v>3.7200000000000002E-3</v>
      </c>
      <c r="E28" s="24">
        <v>0.99999999999999956</v>
      </c>
      <c r="F28" s="21">
        <v>7.4200000000000004E-3</v>
      </c>
      <c r="G28" s="22">
        <v>0.99999999999999989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22</v>
      </c>
      <c r="B29" s="25">
        <v>-46.99</v>
      </c>
      <c r="C29" s="26"/>
      <c r="D29" s="27">
        <v>828.62900000000002</v>
      </c>
      <c r="E29" s="26"/>
      <c r="F29" s="25">
        <v>1627.8009999999999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23</v>
      </c>
      <c r="B31" s="30">
        <v>-3.1210665418606994E-4</v>
      </c>
      <c r="C31" s="16">
        <v>0.85986589261250079</v>
      </c>
      <c r="D31" s="32">
        <v>5.5143719328993798E-3</v>
      </c>
      <c r="E31" s="32">
        <v>0.86255721943366415</v>
      </c>
      <c r="F31" s="30">
        <v>2.1690835009154203E-3</v>
      </c>
      <c r="G31" s="16">
        <v>0.8809415292158308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24</v>
      </c>
      <c r="B32" s="30">
        <v>1.1210665418607109E-4</v>
      </c>
      <c r="C32" s="16">
        <v>0.1401341073874991</v>
      </c>
      <c r="D32" s="31">
        <v>-1.7943719328993809E-3</v>
      </c>
      <c r="E32" s="17">
        <v>0.13744278056633596</v>
      </c>
      <c r="F32" s="30">
        <v>5.2509164990845797E-3</v>
      </c>
      <c r="G32" s="16">
        <v>0.11905847078416912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21</v>
      </c>
      <c r="B33" s="21">
        <v>-1.9999999999999884E-4</v>
      </c>
      <c r="C33" s="22">
        <v>0.99999999999999989</v>
      </c>
      <c r="D33" s="23">
        <v>3.7199999999999989E-3</v>
      </c>
      <c r="E33" s="24">
        <v>1</v>
      </c>
      <c r="F33" s="21">
        <v>7.4199999999999995E-3</v>
      </c>
      <c r="G33" s="22">
        <v>0.99999999999999989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25</v>
      </c>
      <c r="B35" s="30">
        <v>-3.7302459994411968E-4</v>
      </c>
      <c r="C35" s="16">
        <v>0.87873045293707241</v>
      </c>
      <c r="D35" s="17">
        <v>3.082163788273275E-3</v>
      </c>
      <c r="E35" s="32">
        <v>0.87198799447122644</v>
      </c>
      <c r="F35" s="30">
        <v>6.7115681274313556E-3</v>
      </c>
      <c r="G35" s="16">
        <v>0.870863392072182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26</v>
      </c>
      <c r="B36" s="30">
        <v>1.730245999441198E-4</v>
      </c>
      <c r="C36" s="16">
        <v>0.12126954706292742</v>
      </c>
      <c r="D36" s="31">
        <v>6.3783621172672298E-4</v>
      </c>
      <c r="E36" s="17">
        <v>0.12801200552877354</v>
      </c>
      <c r="F36" s="30">
        <v>7.0843187256864454E-4</v>
      </c>
      <c r="G36" s="16">
        <v>0.12913660792781798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21</v>
      </c>
      <c r="B37" s="21">
        <v>-1.9999999999999987E-4</v>
      </c>
      <c r="C37" s="22">
        <v>0.99999999999999978</v>
      </c>
      <c r="D37" s="23">
        <v>3.719999999999998E-3</v>
      </c>
      <c r="E37" s="24">
        <v>1</v>
      </c>
      <c r="F37" s="21">
        <v>7.4200000000000004E-3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116"/>
      <c r="E39" s="1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27</v>
      </c>
      <c r="B40" s="118" t="s">
        <v>54</v>
      </c>
      <c r="C40" s="119"/>
      <c r="D40" s="114" t="s">
        <v>55</v>
      </c>
      <c r="E40" s="120"/>
      <c r="F40" s="118" t="s">
        <v>55</v>
      </c>
      <c r="G40" s="119"/>
      <c r="H40" s="114" t="s">
        <v>55</v>
      </c>
      <c r="I40" s="1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2.5670579517567127E-4</v>
      </c>
      <c r="C42" s="48">
        <v>6.123379437165901E-2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90" t="s">
        <v>81</v>
      </c>
      <c r="B43" s="47">
        <v>-2.0929392739665125E-3</v>
      </c>
      <c r="C43" s="48">
        <v>0.25621537131190442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9.6861697484905314E-3</v>
      </c>
      <c r="C46" s="48">
        <v>0.4996781048573426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5.6899271682633694E-4</v>
      </c>
      <c r="C47" s="48">
        <v>4.6735772180797774E-2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3.9056249242510645E-4</v>
      </c>
      <c r="C48" s="48">
        <v>8.6945505631869492E-4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3.9225229876062008E-4</v>
      </c>
      <c r="C49" s="48">
        <v>1.5425781151133529E-2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8.4673987975165499E-4</v>
      </c>
      <c r="C50" s="48">
        <v>4.0324270852273247E-2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7.7827338736566429E-4</v>
      </c>
      <c r="C51" s="48">
        <v>3.2044267071306892E-2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1.822043472295782E-4</v>
      </c>
      <c r="C52" s="48">
        <v>1.5725789705103475E-4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-4.6142207226024961E-4</v>
      </c>
      <c r="C53" s="48">
        <v>1.0728403294843899E-4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-3.4650666258283881E-4</v>
      </c>
      <c r="C54" s="48">
        <v>3.6941781267597007E-5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4.7042083619722994E-7</v>
      </c>
      <c r="C55" s="48">
        <v>2.4037810339853098E-5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7.9849692194824008E-4</v>
      </c>
      <c r="C56" s="48">
        <v>4.7147661625656499E-2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9" t="s">
        <v>19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20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28</v>
      </c>
      <c r="B61" s="50">
        <v>1.0999999999999999E-2</v>
      </c>
      <c r="C61" s="51">
        <v>0.99999999999999967</v>
      </c>
      <c r="D61" s="68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22</v>
      </c>
      <c r="B62" s="54">
        <v>2409.44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23</v>
      </c>
      <c r="B64" s="57">
        <v>7.3809081220890249E-3</v>
      </c>
      <c r="C64" s="48">
        <v>0.86778821375399851</v>
      </c>
      <c r="D64" s="58">
        <v>0</v>
      </c>
      <c r="E64" s="49">
        <v>0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24</v>
      </c>
      <c r="B65" s="47">
        <v>3.6190918779109744E-3</v>
      </c>
      <c r="C65" s="48">
        <v>0.13221178624600138</v>
      </c>
      <c r="D65" s="58">
        <v>0</v>
      </c>
      <c r="E65" s="49">
        <v>0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28</v>
      </c>
      <c r="B66" s="50">
        <v>1.0999999999999999E-2</v>
      </c>
      <c r="C66" s="51">
        <v>0.99999999999999989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25</v>
      </c>
      <c r="B68" s="57">
        <v>9.4377324486318859E-3</v>
      </c>
      <c r="C68" s="48">
        <v>0.87386061316016017</v>
      </c>
      <c r="D68" s="58">
        <v>0</v>
      </c>
      <c r="E68" s="49">
        <v>0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26</v>
      </c>
      <c r="B69" s="57">
        <v>1.5622675513681135E-3</v>
      </c>
      <c r="C69" s="48">
        <v>0.12613938683983963</v>
      </c>
      <c r="D69" s="58">
        <v>0</v>
      </c>
      <c r="E69" s="49">
        <v>0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28</v>
      </c>
      <c r="B70" s="50">
        <v>1.0999999999999999E-2</v>
      </c>
      <c r="C70" s="51">
        <v>0.99999999999999978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1DE-2C71-4FD9-B03B-6CFA9DE36FCA}">
  <sheetPr codeName="גיליון32">
    <tabColor rgb="FFFFC00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1284</v>
      </c>
    </row>
    <row r="3" spans="1:26" ht="18.75" x14ac:dyDescent="0.3">
      <c r="A3" s="71" t="s">
        <v>37</v>
      </c>
      <c r="B3" s="73" t="s">
        <v>31</v>
      </c>
    </row>
    <row r="4" spans="1:26" ht="18.75" x14ac:dyDescent="0.3">
      <c r="A4" s="70" t="s">
        <v>38</v>
      </c>
      <c r="B4" s="73" t="s">
        <v>29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41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42</v>
      </c>
      <c r="C7" s="8"/>
      <c r="D7" s="9" t="s">
        <v>43</v>
      </c>
      <c r="E7" s="10"/>
      <c r="F7" s="7" t="s">
        <v>44</v>
      </c>
      <c r="G7" s="8"/>
      <c r="H7" s="9" t="s">
        <v>45</v>
      </c>
      <c r="I7" s="10"/>
      <c r="J7" s="7" t="s">
        <v>46</v>
      </c>
      <c r="K7" s="8"/>
      <c r="L7" s="9" t="s">
        <v>47</v>
      </c>
      <c r="M7" s="10"/>
      <c r="N7" s="7" t="s">
        <v>48</v>
      </c>
      <c r="O7" s="8"/>
      <c r="P7" s="9" t="s">
        <v>49</v>
      </c>
      <c r="Q7" s="10"/>
      <c r="R7" s="7" t="s">
        <v>50</v>
      </c>
      <c r="S7" s="8"/>
      <c r="T7" s="9" t="s">
        <v>51</v>
      </c>
      <c r="U7" s="9"/>
      <c r="V7" s="7" t="s">
        <v>52</v>
      </c>
      <c r="W7" s="8"/>
      <c r="X7" s="9" t="s">
        <v>53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4.9719419839259614E-4</v>
      </c>
      <c r="C9" s="16">
        <v>8.9484222319190287E-2</v>
      </c>
      <c r="D9" s="17">
        <v>9.0705529450819944E-5</v>
      </c>
      <c r="E9" s="17">
        <v>5.0865619388258579E-2</v>
      </c>
      <c r="F9" s="16">
        <v>3.908801894425642E-4</v>
      </c>
      <c r="G9" s="16">
        <v>8.941485522297922E-2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90" t="s">
        <v>81</v>
      </c>
      <c r="B10" s="16">
        <v>-2.2976408093367158E-3</v>
      </c>
      <c r="C10" s="16">
        <v>0.50753171561115162</v>
      </c>
      <c r="D10" s="17">
        <v>1.0751333055788698E-3</v>
      </c>
      <c r="E10" s="17">
        <v>0.54156922414224007</v>
      </c>
      <c r="F10" s="16">
        <v>-1.5234492022357399E-3</v>
      </c>
      <c r="G10" s="16">
        <v>0.51266561003128386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4.2012871590560833E-6</v>
      </c>
      <c r="C14" s="16">
        <v>8.6962026570356103E-4</v>
      </c>
      <c r="D14" s="17">
        <v>2.1266964437477571E-6</v>
      </c>
      <c r="E14" s="17">
        <v>8.8182112294261364E-4</v>
      </c>
      <c r="F14" s="16">
        <v>4.2318436449645217E-6</v>
      </c>
      <c r="G14" s="16">
        <v>8.5335467325358782E-4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1.5225969966288688E-3</v>
      </c>
      <c r="C16" s="16">
        <v>0.40237207279483822</v>
      </c>
      <c r="D16" s="17">
        <v>4.710060622485788E-3</v>
      </c>
      <c r="E16" s="17">
        <v>0.40751887158831984</v>
      </c>
      <c r="F16" s="16">
        <v>4.3904862940370975E-3</v>
      </c>
      <c r="G16" s="16">
        <v>0.39796211072683141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0</v>
      </c>
      <c r="C17" s="16">
        <v>0</v>
      </c>
      <c r="D17" s="17">
        <v>0</v>
      </c>
      <c r="E17" s="17">
        <v>0</v>
      </c>
      <c r="F17" s="16">
        <v>0</v>
      </c>
      <c r="G17" s="16">
        <v>0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-2.6635167284380526E-4</v>
      </c>
      <c r="C20" s="16">
        <v>-2.5763099088350845E-4</v>
      </c>
      <c r="D20" s="17">
        <v>-4.8026153959225635E-5</v>
      </c>
      <c r="E20" s="17">
        <v>-8.355362417609897E-4</v>
      </c>
      <c r="F20" s="16">
        <v>2.5785087511111368E-4</v>
      </c>
      <c r="G20" s="16">
        <v>-8.9593065434810562E-4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15" t="s">
        <v>19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20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21</v>
      </c>
      <c r="B28" s="21">
        <v>-5.4000000000000001E-4</v>
      </c>
      <c r="C28" s="22">
        <v>1.0000000000000002</v>
      </c>
      <c r="D28" s="23">
        <v>5.8300000000000001E-3</v>
      </c>
      <c r="E28" s="24">
        <v>1.0000000000000002</v>
      </c>
      <c r="F28" s="21">
        <v>3.5200000000000001E-3</v>
      </c>
      <c r="G28" s="22">
        <v>1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22</v>
      </c>
      <c r="B29" s="25">
        <v>-9.7889999999999997</v>
      </c>
      <c r="C29" s="26"/>
      <c r="D29" s="27">
        <v>105.898</v>
      </c>
      <c r="E29" s="26"/>
      <c r="F29" s="25">
        <v>64.263999999999996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23</v>
      </c>
      <c r="B31" s="30">
        <v>-2.0837659232089245E-4</v>
      </c>
      <c r="C31" s="16">
        <v>0.99879871878459736</v>
      </c>
      <c r="D31" s="32">
        <v>5.8120051850281962E-3</v>
      </c>
      <c r="E31" s="32">
        <v>1.0000814408769425</v>
      </c>
      <c r="F31" s="30">
        <v>3.2684990675754025E-3</v>
      </c>
      <c r="G31" s="16">
        <v>0.99991738306962041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24</v>
      </c>
      <c r="B32" s="30">
        <v>-3.3162340767910702E-4</v>
      </c>
      <c r="C32" s="16">
        <v>1.2012812154027638E-3</v>
      </c>
      <c r="D32" s="31">
        <v>1.7994814971803602E-5</v>
      </c>
      <c r="E32" s="17">
        <v>-8.1440876942429785E-5</v>
      </c>
      <c r="F32" s="30">
        <v>2.5150093242459797E-4</v>
      </c>
      <c r="G32" s="16">
        <v>8.2616930379519746E-5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21</v>
      </c>
      <c r="B33" s="21">
        <v>-5.3999999999999946E-4</v>
      </c>
      <c r="C33" s="22">
        <v>1.0000000000000002</v>
      </c>
      <c r="D33" s="23">
        <v>5.8300000000000001E-3</v>
      </c>
      <c r="E33" s="24">
        <v>1</v>
      </c>
      <c r="F33" s="21">
        <v>3.5200000000000006E-3</v>
      </c>
      <c r="G33" s="22">
        <v>0.99999999999999989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25</v>
      </c>
      <c r="B35" s="30">
        <v>-6.0213181237382749E-4</v>
      </c>
      <c r="C35" s="16">
        <v>0.99983414879130883</v>
      </c>
      <c r="D35" s="17">
        <v>5.8938942724872812E-3</v>
      </c>
      <c r="E35" s="32">
        <v>0.99995126815357294</v>
      </c>
      <c r="F35" s="30">
        <v>3.5094182136685193E-3</v>
      </c>
      <c r="G35" s="16">
        <v>0.99992811630074285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26</v>
      </c>
      <c r="B36" s="30">
        <v>6.2131812373827718E-5</v>
      </c>
      <c r="C36" s="16">
        <v>1.6585120869115773E-4</v>
      </c>
      <c r="D36" s="31">
        <v>-6.3894272487281472E-5</v>
      </c>
      <c r="E36" s="17">
        <v>4.8731846427231654E-5</v>
      </c>
      <c r="F36" s="30">
        <v>1.0581786331480272E-5</v>
      </c>
      <c r="G36" s="16">
        <v>7.1883699257179709E-5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21</v>
      </c>
      <c r="B37" s="21">
        <v>-5.3999999999999979E-4</v>
      </c>
      <c r="C37" s="22">
        <v>1</v>
      </c>
      <c r="D37" s="23">
        <v>5.8300000000000001E-3</v>
      </c>
      <c r="E37" s="24">
        <v>1.0000000000000002</v>
      </c>
      <c r="F37" s="21">
        <v>3.5199999999999997E-3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116"/>
      <c r="E39" s="1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27</v>
      </c>
      <c r="B40" s="118" t="s">
        <v>54</v>
      </c>
      <c r="C40" s="119"/>
      <c r="D40" s="114" t="s">
        <v>55</v>
      </c>
      <c r="E40" s="120"/>
      <c r="F40" s="118" t="s">
        <v>55</v>
      </c>
      <c r="G40" s="119"/>
      <c r="H40" s="114" t="s">
        <v>55</v>
      </c>
      <c r="I40" s="1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9.79054831533821E-4</v>
      </c>
      <c r="C42" s="48">
        <v>7.6588232310142682E-2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90" t="s">
        <v>81</v>
      </c>
      <c r="B43" s="47">
        <v>-2.7714623689339165E-3</v>
      </c>
      <c r="C43" s="48">
        <v>0.52058884992822518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1.0518330795292747E-5</v>
      </c>
      <c r="C47" s="48">
        <v>8.682653539665875E-4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1.0638452710581609E-2</v>
      </c>
      <c r="C49" s="48">
        <v>0.40261768503666318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0</v>
      </c>
      <c r="C50" s="48">
        <v>0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-5.6563503976805669E-5</v>
      </c>
      <c r="C53" s="48">
        <v>-6.6303262899753464E-4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9" t="s">
        <v>19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20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28</v>
      </c>
      <c r="B61" s="50">
        <v>8.8000000000000005E-3</v>
      </c>
      <c r="C61" s="51">
        <v>1</v>
      </c>
      <c r="D61" s="68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22</v>
      </c>
      <c r="B62" s="54">
        <v>160.37299999999999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23</v>
      </c>
      <c r="B64" s="57">
        <v>8.8892280708450233E-3</v>
      </c>
      <c r="C64" s="48">
        <v>0.99959918091038669</v>
      </c>
      <c r="D64" s="58">
        <v>0</v>
      </c>
      <c r="E64" s="49">
        <v>0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24</v>
      </c>
      <c r="B65" s="47">
        <v>-8.9228070845022781E-5</v>
      </c>
      <c r="C65" s="48">
        <v>4.0081908961328458E-4</v>
      </c>
      <c r="D65" s="58">
        <v>0</v>
      </c>
      <c r="E65" s="49">
        <v>0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28</v>
      </c>
      <c r="B66" s="50">
        <v>8.8000000000000005E-3</v>
      </c>
      <c r="C66" s="51">
        <v>1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25</v>
      </c>
      <c r="B68" s="57">
        <v>8.8161903255230545E-3</v>
      </c>
      <c r="C68" s="48">
        <v>0.99990451108187495</v>
      </c>
      <c r="D68" s="58">
        <v>0</v>
      </c>
      <c r="E68" s="49">
        <v>0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26</v>
      </c>
      <c r="B69" s="57">
        <v>-1.6190325523053953E-5</v>
      </c>
      <c r="C69" s="48">
        <v>9.5488918125189703E-5</v>
      </c>
      <c r="D69" s="58">
        <v>0</v>
      </c>
      <c r="E69" s="49">
        <v>0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28</v>
      </c>
      <c r="B70" s="50">
        <v>8.8000000000000005E-3</v>
      </c>
      <c r="C70" s="51">
        <v>1.0000000000000002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6D2-3CFF-4B0B-9BA8-FC973F5E6AE7}">
  <sheetPr codeName="גיליון33">
    <tabColor rgb="FFFFC000"/>
  </sheetPr>
  <dimension ref="A1:AB76"/>
  <sheetViews>
    <sheetView showGridLines="0" rightToLeft="1" topLeftCell="A16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239</v>
      </c>
    </row>
    <row r="3" spans="1:26" ht="18.75" x14ac:dyDescent="0.3">
      <c r="A3" s="71" t="s">
        <v>37</v>
      </c>
      <c r="B3" s="73" t="s">
        <v>32</v>
      </c>
    </row>
    <row r="4" spans="1:26" ht="18.75" x14ac:dyDescent="0.3">
      <c r="A4" s="70" t="s">
        <v>38</v>
      </c>
      <c r="B4" s="73" t="s">
        <v>29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41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42</v>
      </c>
      <c r="C7" s="8"/>
      <c r="D7" s="9" t="s">
        <v>43</v>
      </c>
      <c r="E7" s="10"/>
      <c r="F7" s="7" t="s">
        <v>44</v>
      </c>
      <c r="G7" s="8"/>
      <c r="H7" s="9" t="s">
        <v>45</v>
      </c>
      <c r="I7" s="10"/>
      <c r="J7" s="7" t="s">
        <v>46</v>
      </c>
      <c r="K7" s="8"/>
      <c r="L7" s="9" t="s">
        <v>47</v>
      </c>
      <c r="M7" s="10"/>
      <c r="N7" s="7" t="s">
        <v>48</v>
      </c>
      <c r="O7" s="8"/>
      <c r="P7" s="9" t="s">
        <v>49</v>
      </c>
      <c r="Q7" s="10"/>
      <c r="R7" s="7" t="s">
        <v>50</v>
      </c>
      <c r="S7" s="8"/>
      <c r="T7" s="9" t="s">
        <v>51</v>
      </c>
      <c r="U7" s="9"/>
      <c r="V7" s="7" t="s">
        <v>52</v>
      </c>
      <c r="W7" s="8"/>
      <c r="X7" s="9" t="s">
        <v>53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9.8730693143211142E-4</v>
      </c>
      <c r="C9" s="16">
        <v>0.14513198459001264</v>
      </c>
      <c r="D9" s="17">
        <v>2.2452936871684634E-4</v>
      </c>
      <c r="E9" s="17">
        <v>0.1451331465608402</v>
      </c>
      <c r="F9" s="16">
        <v>6.387669736168701E-4</v>
      </c>
      <c r="G9" s="16">
        <v>8.4125761844425578E-2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90" t="s">
        <v>81</v>
      </c>
      <c r="B10" s="16">
        <v>-8.4983462109379732E-4</v>
      </c>
      <c r="C10" s="16">
        <v>0.14855712399263213</v>
      </c>
      <c r="D10" s="17">
        <v>3.9278659193188947E-4</v>
      </c>
      <c r="E10" s="17">
        <v>0.15296504702926414</v>
      </c>
      <c r="F10" s="16">
        <v>-6.4840384890022993E-4</v>
      </c>
      <c r="G10" s="16">
        <v>0.1618358692881802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5.2725805449278904E-4</v>
      </c>
      <c r="C13" s="16">
        <v>0.24946719143117205</v>
      </c>
      <c r="D13" s="17">
        <v>8.3085642472531063E-4</v>
      </c>
      <c r="E13" s="17">
        <v>0.24483637782692805</v>
      </c>
      <c r="F13" s="16">
        <v>3.5719784829244513E-3</v>
      </c>
      <c r="G13" s="16">
        <v>0.25279606379088604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9.9835324707225577E-6</v>
      </c>
      <c r="C14" s="16">
        <v>8.182426652619583E-3</v>
      </c>
      <c r="D14" s="17">
        <v>4.9201158132204954E-5</v>
      </c>
      <c r="E14" s="17">
        <v>7.7825852128035672E-3</v>
      </c>
      <c r="F14" s="16">
        <v>7.0773646612055981E-5</v>
      </c>
      <c r="G14" s="16">
        <v>8.2470349782276971E-3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-1.1047887686923394E-3</v>
      </c>
      <c r="C15" s="16">
        <v>0.19860496439019906</v>
      </c>
      <c r="D15" s="17">
        <v>1.0901964120586805E-2</v>
      </c>
      <c r="E15" s="17">
        <v>0.18383649560005186</v>
      </c>
      <c r="F15" s="16">
        <v>7.7842514492982929E-3</v>
      </c>
      <c r="G15" s="16">
        <v>0.2052323753841655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-9.9272331662124359E-4</v>
      </c>
      <c r="C16" s="16">
        <v>0.1119332217082572</v>
      </c>
      <c r="D16" s="17">
        <v>2.8689865322162867E-3</v>
      </c>
      <c r="E16" s="17">
        <v>0.11358280567234284</v>
      </c>
      <c r="F16" s="16">
        <v>6.0254804727642337E-3</v>
      </c>
      <c r="G16" s="16">
        <v>0.11773541213105763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-7.0852950821720734E-5</v>
      </c>
      <c r="C17" s="16">
        <v>7.2536889459966544E-2</v>
      </c>
      <c r="D17" s="17">
        <v>-4.7813209287578398E-4</v>
      </c>
      <c r="E17" s="17">
        <v>7.112702701353868E-2</v>
      </c>
      <c r="F17" s="16">
        <v>2.7025415118967929E-3</v>
      </c>
      <c r="G17" s="16">
        <v>8.0839329503181942E-2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7.5175076407007081E-4</v>
      </c>
      <c r="C18" s="16">
        <v>1.4835639642885036E-2</v>
      </c>
      <c r="D18" s="17">
        <v>4.2716036547369536E-4</v>
      </c>
      <c r="E18" s="17">
        <v>1.5378303060789062E-2</v>
      </c>
      <c r="F18" s="16">
        <v>1.250993026197893E-3</v>
      </c>
      <c r="G18" s="16">
        <v>1.6638516525979932E-2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2.7235112142557972E-5</v>
      </c>
      <c r="C19" s="16">
        <v>1.9079472192668628E-4</v>
      </c>
      <c r="D19" s="17">
        <v>1.4537785530907311E-4</v>
      </c>
      <c r="E19" s="17">
        <v>2.0531565624557909E-4</v>
      </c>
      <c r="F19" s="16">
        <v>9.9143822179599463E-5</v>
      </c>
      <c r="G19" s="16">
        <v>3.7174922915092967E-4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1.2244118890570666E-3</v>
      </c>
      <c r="C20" s="16">
        <v>-4.5469217988149463E-3</v>
      </c>
      <c r="D20" s="17">
        <v>5.8246653660896297E-3</v>
      </c>
      <c r="E20" s="17">
        <v>8.1053435822826449E-3</v>
      </c>
      <c r="F20" s="16">
        <v>1.0890503060290674E-3</v>
      </c>
      <c r="G20" s="16">
        <v>1.2363618453444117E-2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-4.130593276655534E-4</v>
      </c>
      <c r="C21" s="16">
        <v>5.4861444851254059E-4</v>
      </c>
      <c r="D21" s="17">
        <v>-5.4317708424202931E-4</v>
      </c>
      <c r="E21" s="17">
        <v>6.0218040017243947E-4</v>
      </c>
      <c r="F21" s="16">
        <v>-2.4319711574008129E-4</v>
      </c>
      <c r="G21" s="16">
        <v>6.1825488302969932E-4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-2.4110574701025289E-4</v>
      </c>
      <c r="C22" s="16">
        <v>2.7005693029464109E-3</v>
      </c>
      <c r="D22" s="17">
        <v>-1.4967075658954383E-4</v>
      </c>
      <c r="E22" s="17">
        <v>3.628361047147356E-3</v>
      </c>
      <c r="F22" s="16">
        <v>2.5417198052080407E-4</v>
      </c>
      <c r="G22" s="16">
        <v>3.5603334877411931E-3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5.9181469717637866E-4</v>
      </c>
      <c r="C23" s="16">
        <v>5.1377766790294856E-2</v>
      </c>
      <c r="D23" s="17">
        <v>3.0381538820525281E-4</v>
      </c>
      <c r="E23" s="17">
        <v>5.1050067789971586E-2</v>
      </c>
      <c r="F23" s="16">
        <v>6.1677402632215133E-4</v>
      </c>
      <c r="G23" s="16">
        <v>5.3830351068472101E-2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-7.3962489367899261E-6</v>
      </c>
      <c r="C24" s="16">
        <v>4.7973466739037907E-4</v>
      </c>
      <c r="D24" s="17">
        <v>-8.3632376796366289E-6</v>
      </c>
      <c r="E24" s="17">
        <v>1.7669435476216524E-3</v>
      </c>
      <c r="F24" s="16">
        <v>4.7675266278100698E-5</v>
      </c>
      <c r="G24" s="16">
        <v>1.8053294320572414E-3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15" t="s">
        <v>19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20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21</v>
      </c>
      <c r="B28" s="21">
        <v>4.4000000000000002E-4</v>
      </c>
      <c r="C28" s="22">
        <v>1</v>
      </c>
      <c r="D28" s="23">
        <v>2.0789999999999999E-2</v>
      </c>
      <c r="E28" s="24">
        <v>0.99999999999999967</v>
      </c>
      <c r="F28" s="21">
        <v>2.3259999999999999E-2</v>
      </c>
      <c r="G28" s="22">
        <v>0.99999999999999989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22</v>
      </c>
      <c r="B29" s="25">
        <v>236.10400000000001</v>
      </c>
      <c r="C29" s="26"/>
      <c r="D29" s="27">
        <v>10763.236999999999</v>
      </c>
      <c r="E29" s="26"/>
      <c r="F29" s="25">
        <v>12214.111999999999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23</v>
      </c>
      <c r="B31" s="30">
        <v>-2.2007081174958854E-3</v>
      </c>
      <c r="C31" s="16">
        <v>0.71329643622231076</v>
      </c>
      <c r="D31" s="32">
        <v>1.0470796056965073E-2</v>
      </c>
      <c r="E31" s="32">
        <v>0.70573863672640835</v>
      </c>
      <c r="F31" s="30">
        <v>6.2392817819663174E-3</v>
      </c>
      <c r="G31" s="16">
        <v>0.69207527846540595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24</v>
      </c>
      <c r="B32" s="30">
        <v>2.6407081174958822E-3</v>
      </c>
      <c r="C32" s="16">
        <v>0.28670356377768941</v>
      </c>
      <c r="D32" s="31">
        <v>1.0319203943034929E-2</v>
      </c>
      <c r="E32" s="17">
        <v>0.29426136327359165</v>
      </c>
      <c r="F32" s="30">
        <v>1.7020718218033689E-2</v>
      </c>
      <c r="G32" s="16">
        <v>0.30792472153459399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21</v>
      </c>
      <c r="B33" s="21">
        <v>4.3999999999999682E-4</v>
      </c>
      <c r="C33" s="22">
        <v>1.0000000000000002</v>
      </c>
      <c r="D33" s="23">
        <v>2.0790000000000003E-2</v>
      </c>
      <c r="E33" s="24">
        <v>1</v>
      </c>
      <c r="F33" s="21">
        <v>2.3260000000000006E-2</v>
      </c>
      <c r="G33" s="22">
        <v>1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25</v>
      </c>
      <c r="B35" s="30">
        <v>-4.4932461152433906E-4</v>
      </c>
      <c r="C35" s="16">
        <v>0.91768725517389949</v>
      </c>
      <c r="D35" s="17">
        <v>1.7778859096219596E-2</v>
      </c>
      <c r="E35" s="32">
        <v>0.90531981563056851</v>
      </c>
      <c r="F35" s="30">
        <v>2.2463353820499968E-2</v>
      </c>
      <c r="G35" s="16">
        <v>0.89353467334762604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26</v>
      </c>
      <c r="B36" s="30">
        <v>8.8932461152433631E-4</v>
      </c>
      <c r="C36" s="16">
        <v>8.2312744826100556E-2</v>
      </c>
      <c r="D36" s="31">
        <v>3.011140903780401E-3</v>
      </c>
      <c r="E36" s="17">
        <v>9.4680184369431403E-2</v>
      </c>
      <c r="F36" s="30">
        <v>7.9664617950003769E-4</v>
      </c>
      <c r="G36" s="16">
        <v>0.10646532665237392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21</v>
      </c>
      <c r="B37" s="21">
        <v>4.3999999999999725E-4</v>
      </c>
      <c r="C37" s="22">
        <v>1</v>
      </c>
      <c r="D37" s="23">
        <v>2.0789999999999996E-2</v>
      </c>
      <c r="E37" s="24">
        <v>0.99999999999999989</v>
      </c>
      <c r="F37" s="21">
        <v>2.3260000000000006E-2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116"/>
      <c r="E39" s="1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27</v>
      </c>
      <c r="B40" s="118" t="s">
        <v>54</v>
      </c>
      <c r="C40" s="119"/>
      <c r="D40" s="114" t="s">
        <v>55</v>
      </c>
      <c r="E40" s="120"/>
      <c r="F40" s="118" t="s">
        <v>55</v>
      </c>
      <c r="G40" s="119"/>
      <c r="H40" s="114" t="s">
        <v>55</v>
      </c>
      <c r="I40" s="1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1.8515991757752717E-3</v>
      </c>
      <c r="C42" s="48">
        <v>0.12479696433175946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90" t="s">
        <v>81</v>
      </c>
      <c r="B43" s="47">
        <v>-1.0322741989171038E-3</v>
      </c>
      <c r="C43" s="48">
        <v>0.1544526801033588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5.0534325049401852E-3</v>
      </c>
      <c r="C46" s="48">
        <v>0.24903321101632869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1.3378874757219414E-4</v>
      </c>
      <c r="C47" s="48">
        <v>8.0706822812169499E-3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1.7738410329531478E-2</v>
      </c>
      <c r="C48" s="48">
        <v>0.19589127845813881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7.9644207503164824E-3</v>
      </c>
      <c r="C49" s="48">
        <v>0.1144171465038859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2.1875803996798189E-3</v>
      </c>
      <c r="C50" s="48">
        <v>7.4834415325562398E-2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2.4391036130212529E-3</v>
      </c>
      <c r="C51" s="48">
        <v>1.5617486409884676E-2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2.7189919193245797E-4</v>
      </c>
      <c r="C52" s="48">
        <v>2.55953202441065E-4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8.1554597489559306E-3</v>
      </c>
      <c r="C53" s="48">
        <v>5.3073467456372717E-3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-1.198697137470297E-3</v>
      </c>
      <c r="C54" s="48">
        <v>5.8968324390489305E-4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-1.3510515546046403E-4</v>
      </c>
      <c r="C55" s="48">
        <v>3.29642127927832E-3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1.537826684740642E-3</v>
      </c>
      <c r="C56" s="48">
        <v>5.208606188291285E-2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3.2555345382156986E-5</v>
      </c>
      <c r="C57" s="48">
        <v>1.3506692156897576E-3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9" t="s">
        <v>19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20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28</v>
      </c>
      <c r="B61" s="50">
        <v>4.4999999999999998E-2</v>
      </c>
      <c r="C61" s="51">
        <v>0.99999999999999978</v>
      </c>
      <c r="D61" s="68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22</v>
      </c>
      <c r="B62" s="54">
        <v>23213.452999999998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23</v>
      </c>
      <c r="B64" s="57">
        <v>1.4537782191767157E-2</v>
      </c>
      <c r="C64" s="48">
        <v>0.70370345047137495</v>
      </c>
      <c r="D64" s="58">
        <v>0</v>
      </c>
      <c r="E64" s="49">
        <v>0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24</v>
      </c>
      <c r="B65" s="47">
        <v>3.0462217808232842E-2</v>
      </c>
      <c r="C65" s="48">
        <v>0.296296549528625</v>
      </c>
      <c r="D65" s="58">
        <v>0</v>
      </c>
      <c r="E65" s="49">
        <v>0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28</v>
      </c>
      <c r="B66" s="50">
        <v>4.4999999999999998E-2</v>
      </c>
      <c r="C66" s="51">
        <v>1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25</v>
      </c>
      <c r="B68" s="57">
        <v>4.017399984288339E-2</v>
      </c>
      <c r="C68" s="48">
        <v>0.90551391471736464</v>
      </c>
      <c r="D68" s="58">
        <v>0</v>
      </c>
      <c r="E68" s="49">
        <v>0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26</v>
      </c>
      <c r="B69" s="57">
        <v>4.8260001571166083E-3</v>
      </c>
      <c r="C69" s="48">
        <v>9.4486085282635288E-2</v>
      </c>
      <c r="D69" s="58">
        <v>0</v>
      </c>
      <c r="E69" s="49">
        <v>0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28</v>
      </c>
      <c r="B70" s="50">
        <v>4.4999999999999998E-2</v>
      </c>
      <c r="C70" s="51">
        <v>0.99999999999999989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6DD-B62C-49D6-A80F-CC8A59C205EE}">
  <sheetPr codeName="גיליון34">
    <tabColor rgb="FFFFC000"/>
  </sheetPr>
  <dimension ref="B1:AE73"/>
  <sheetViews>
    <sheetView showGridLines="0" rightToLeft="1" topLeftCell="A10" zoomScale="90" zoomScaleNormal="90" workbookViewId="0">
      <selection activeCell="B8" sqref="B8"/>
    </sheetView>
  </sheetViews>
  <sheetFormatPr defaultColWidth="9.125" defaultRowHeight="15" x14ac:dyDescent="0.25"/>
  <cols>
    <col min="1" max="1" width="2.875" style="74" customWidth="1"/>
    <col min="2" max="2" width="29.125" style="74" customWidth="1"/>
    <col min="3" max="3" width="20" style="74" customWidth="1"/>
    <col min="4" max="26" width="11.625" style="74" customWidth="1"/>
    <col min="27" max="16384" width="9.125" style="74"/>
  </cols>
  <sheetData>
    <row r="1" spans="2:31" ht="18.75" x14ac:dyDescent="0.3">
      <c r="B1" s="69" t="s">
        <v>35</v>
      </c>
    </row>
    <row r="2" spans="2:31" ht="18.75" x14ac:dyDescent="0.3">
      <c r="B2" s="70" t="s">
        <v>36</v>
      </c>
      <c r="C2" s="72">
        <f>[1]הנחיות!B21</f>
        <v>241</v>
      </c>
      <c r="D2" s="121"/>
      <c r="E2" s="121"/>
    </row>
    <row r="3" spans="2:31" ht="18.75" x14ac:dyDescent="0.3">
      <c r="B3" s="75" t="s">
        <v>37</v>
      </c>
      <c r="C3" s="73" t="str">
        <f>[1]הנחיות!B23</f>
        <v>כלל פיצויים למעסיק</v>
      </c>
      <c r="D3" s="73"/>
    </row>
    <row r="4" spans="2:31" ht="18.75" x14ac:dyDescent="0.3">
      <c r="B4" s="70" t="s">
        <v>38</v>
      </c>
      <c r="C4" s="73" t="str">
        <f>[1]הנחיות!B24</f>
        <v>כלל פנסיה וגמל בע"מ</v>
      </c>
      <c r="D4" s="73"/>
    </row>
    <row r="5" spans="2:31" ht="18.75" x14ac:dyDescent="0.3">
      <c r="B5" s="75" t="s">
        <v>39</v>
      </c>
      <c r="C5" s="72">
        <f>[1]הנחיות!B19</f>
        <v>2024</v>
      </c>
      <c r="D5" s="75" t="s">
        <v>40</v>
      </c>
      <c r="E5" s="72" t="str">
        <f>[1]הנחיות!B22</f>
        <v>31.03.24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>
        <f>W5+1</f>
        <v>1</v>
      </c>
      <c r="Z5" s="76"/>
    </row>
    <row r="6" spans="2:31" s="77" customFormat="1" ht="47.45" customHeight="1" x14ac:dyDescent="0.2">
      <c r="B6" s="78" t="s">
        <v>56</v>
      </c>
      <c r="C6" s="79" t="s">
        <v>57</v>
      </c>
      <c r="D6" s="80" t="s">
        <v>58</v>
      </c>
      <c r="E6" s="81" t="s">
        <v>59</v>
      </c>
      <c r="F6" s="82" t="s">
        <v>60</v>
      </c>
      <c r="G6" s="79" t="s">
        <v>61</v>
      </c>
      <c r="H6" s="80" t="s">
        <v>62</v>
      </c>
      <c r="I6" s="81" t="s">
        <v>63</v>
      </c>
      <c r="J6" s="82" t="s">
        <v>64</v>
      </c>
      <c r="K6" s="79" t="s">
        <v>65</v>
      </c>
      <c r="L6" s="80" t="s">
        <v>66</v>
      </c>
      <c r="M6" s="81" t="s">
        <v>67</v>
      </c>
      <c r="N6" s="82" t="s">
        <v>68</v>
      </c>
      <c r="O6" s="79" t="s">
        <v>69</v>
      </c>
      <c r="P6" s="80" t="s">
        <v>70</v>
      </c>
      <c r="Q6" s="81" t="s">
        <v>71</v>
      </c>
      <c r="R6" s="82" t="s">
        <v>72</v>
      </c>
      <c r="S6" s="79" t="s">
        <v>73</v>
      </c>
      <c r="T6" s="80" t="s">
        <v>74</v>
      </c>
      <c r="U6" s="81" t="s">
        <v>75</v>
      </c>
      <c r="V6" s="82" t="s">
        <v>76</v>
      </c>
      <c r="W6" s="79" t="s">
        <v>77</v>
      </c>
      <c r="X6" s="80" t="s">
        <v>78</v>
      </c>
      <c r="Y6" s="81" t="s">
        <v>79</v>
      </c>
      <c r="Z6" s="82" t="s">
        <v>80</v>
      </c>
      <c r="AE6" s="83"/>
    </row>
    <row r="7" spans="2:31" x14ac:dyDescent="0.25">
      <c r="B7" s="84" t="s">
        <v>3</v>
      </c>
      <c r="C7" s="85">
        <v>1.0000612032724555E-3</v>
      </c>
      <c r="D7" s="86">
        <v>0.1335796783614453</v>
      </c>
      <c r="E7" s="87">
        <v>1.3798963653154431E-4</v>
      </c>
      <c r="F7" s="88">
        <v>0.12415459393496726</v>
      </c>
      <c r="G7" s="85">
        <v>6.3041999743855548E-4</v>
      </c>
      <c r="H7" s="86">
        <v>0.11596978686405245</v>
      </c>
      <c r="I7" s="87">
        <v>0</v>
      </c>
      <c r="J7" s="88">
        <v>0</v>
      </c>
      <c r="K7" s="85">
        <v>0</v>
      </c>
      <c r="L7" s="86">
        <v>0</v>
      </c>
      <c r="M7" s="87">
        <v>0</v>
      </c>
      <c r="N7" s="88">
        <v>0</v>
      </c>
      <c r="O7" s="85">
        <v>0</v>
      </c>
      <c r="P7" s="86">
        <v>0</v>
      </c>
      <c r="Q7" s="87">
        <v>0</v>
      </c>
      <c r="R7" s="88">
        <v>0</v>
      </c>
      <c r="S7" s="85">
        <v>0</v>
      </c>
      <c r="T7" s="86">
        <v>0</v>
      </c>
      <c r="U7" s="87">
        <v>0</v>
      </c>
      <c r="V7" s="88">
        <v>0</v>
      </c>
      <c r="W7" s="85">
        <v>0</v>
      </c>
      <c r="X7" s="86">
        <v>0</v>
      </c>
      <c r="Y7" s="87">
        <v>0</v>
      </c>
      <c r="Z7" s="88">
        <v>0</v>
      </c>
      <c r="AE7" s="89"/>
    </row>
    <row r="8" spans="2:31" ht="30" x14ac:dyDescent="0.25">
      <c r="B8" s="90" t="s">
        <v>81</v>
      </c>
      <c r="C8" s="85">
        <v>-8.7852620903217061E-4</v>
      </c>
      <c r="D8" s="86">
        <v>0.14907421704503715</v>
      </c>
      <c r="E8" s="87">
        <v>3.9965592304787507E-4</v>
      </c>
      <c r="F8" s="88">
        <v>0.15615307536341078</v>
      </c>
      <c r="G8" s="85">
        <v>-6.7109999409726043E-4</v>
      </c>
      <c r="H8" s="86">
        <v>0.15733298274874008</v>
      </c>
      <c r="I8" s="87">
        <v>0</v>
      </c>
      <c r="J8" s="88">
        <v>0</v>
      </c>
      <c r="K8" s="85">
        <v>0</v>
      </c>
      <c r="L8" s="86">
        <v>0</v>
      </c>
      <c r="M8" s="87">
        <v>0</v>
      </c>
      <c r="N8" s="88">
        <v>0</v>
      </c>
      <c r="O8" s="85">
        <v>0</v>
      </c>
      <c r="P8" s="86">
        <v>0</v>
      </c>
      <c r="Q8" s="87">
        <v>0</v>
      </c>
      <c r="R8" s="88">
        <v>0</v>
      </c>
      <c r="S8" s="85">
        <v>0</v>
      </c>
      <c r="T8" s="86">
        <v>0</v>
      </c>
      <c r="U8" s="87">
        <v>0</v>
      </c>
      <c r="V8" s="88">
        <v>0</v>
      </c>
      <c r="W8" s="85">
        <v>0</v>
      </c>
      <c r="X8" s="86">
        <v>0</v>
      </c>
      <c r="Y8" s="87">
        <v>0</v>
      </c>
      <c r="Z8" s="88">
        <v>0</v>
      </c>
      <c r="AE8" s="89"/>
    </row>
    <row r="9" spans="2:31" x14ac:dyDescent="0.25">
      <c r="B9" s="91" t="s">
        <v>4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8">
        <v>0</v>
      </c>
      <c r="AE9" s="89"/>
    </row>
    <row r="10" spans="2:31" x14ac:dyDescent="0.25">
      <c r="B10" s="91" t="s">
        <v>5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8">
        <v>0</v>
      </c>
      <c r="AE10" s="89"/>
    </row>
    <row r="11" spans="2:31" x14ac:dyDescent="0.25">
      <c r="B11" s="91" t="s">
        <v>82</v>
      </c>
      <c r="C11" s="85">
        <v>5.465183030947101E-4</v>
      </c>
      <c r="D11" s="86">
        <v>0.2577605601681342</v>
      </c>
      <c r="E11" s="87">
        <v>9.582241410698956E-4</v>
      </c>
      <c r="F11" s="88">
        <v>0.25771119989907604</v>
      </c>
      <c r="G11" s="85">
        <v>3.5586397033000256E-3</v>
      </c>
      <c r="H11" s="86">
        <v>0.25337536084254214</v>
      </c>
      <c r="I11" s="87">
        <v>0</v>
      </c>
      <c r="J11" s="88">
        <v>0</v>
      </c>
      <c r="K11" s="85">
        <v>0</v>
      </c>
      <c r="L11" s="86">
        <v>0</v>
      </c>
      <c r="M11" s="87">
        <v>0</v>
      </c>
      <c r="N11" s="88">
        <v>0</v>
      </c>
      <c r="O11" s="85">
        <v>0</v>
      </c>
      <c r="P11" s="86">
        <v>0</v>
      </c>
      <c r="Q11" s="87">
        <v>0</v>
      </c>
      <c r="R11" s="88">
        <v>0</v>
      </c>
      <c r="S11" s="85">
        <v>0</v>
      </c>
      <c r="T11" s="86">
        <v>0</v>
      </c>
      <c r="U11" s="87">
        <v>0</v>
      </c>
      <c r="V11" s="88">
        <v>0</v>
      </c>
      <c r="W11" s="85">
        <v>0</v>
      </c>
      <c r="X11" s="86">
        <v>0</v>
      </c>
      <c r="Y11" s="87">
        <v>0</v>
      </c>
      <c r="Z11" s="88">
        <v>0</v>
      </c>
      <c r="AE11" s="89"/>
    </row>
    <row r="12" spans="2:31" x14ac:dyDescent="0.25">
      <c r="B12" s="91" t="s">
        <v>83</v>
      </c>
      <c r="C12" s="85">
        <v>-1.015035429297039E-5</v>
      </c>
      <c r="D12" s="86">
        <v>5.1265848376822352E-3</v>
      </c>
      <c r="E12" s="87">
        <v>3.5270417385835258E-5</v>
      </c>
      <c r="F12" s="88">
        <v>5.0168578050318238E-3</v>
      </c>
      <c r="G12" s="85">
        <v>3.7894771702948268E-5</v>
      </c>
      <c r="H12" s="86">
        <v>5.0510674679792788E-3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8">
        <v>0</v>
      </c>
      <c r="AE12" s="89"/>
    </row>
    <row r="13" spans="2:31" x14ac:dyDescent="0.25">
      <c r="B13" s="91" t="s">
        <v>8</v>
      </c>
      <c r="C13" s="85">
        <v>-1.0964236928811195E-3</v>
      </c>
      <c r="D13" s="86">
        <v>0.1965010452140547</v>
      </c>
      <c r="E13" s="87">
        <v>1.089167538746132E-2</v>
      </c>
      <c r="F13" s="88">
        <v>0.1851816690753951</v>
      </c>
      <c r="G13" s="85">
        <v>7.2633567082111437E-3</v>
      </c>
      <c r="H13" s="86">
        <v>0.19696912431489111</v>
      </c>
      <c r="I13" s="87">
        <v>0</v>
      </c>
      <c r="J13" s="88">
        <v>0</v>
      </c>
      <c r="K13" s="85">
        <v>0</v>
      </c>
      <c r="L13" s="86">
        <v>0</v>
      </c>
      <c r="M13" s="87">
        <v>0</v>
      </c>
      <c r="N13" s="88">
        <v>0</v>
      </c>
      <c r="O13" s="85">
        <v>0</v>
      </c>
      <c r="P13" s="86">
        <v>0</v>
      </c>
      <c r="Q13" s="87">
        <v>0</v>
      </c>
      <c r="R13" s="88">
        <v>0</v>
      </c>
      <c r="S13" s="85">
        <v>0</v>
      </c>
      <c r="T13" s="86">
        <v>0</v>
      </c>
      <c r="U13" s="87">
        <v>0</v>
      </c>
      <c r="V13" s="88">
        <v>0</v>
      </c>
      <c r="W13" s="85">
        <v>0</v>
      </c>
      <c r="X13" s="86">
        <v>0</v>
      </c>
      <c r="Y13" s="87">
        <v>0</v>
      </c>
      <c r="Z13" s="88">
        <v>0</v>
      </c>
      <c r="AE13" s="89"/>
    </row>
    <row r="14" spans="2:31" x14ac:dyDescent="0.25">
      <c r="B14" s="91" t="s">
        <v>9</v>
      </c>
      <c r="C14" s="85">
        <v>-1.0116156361702458E-3</v>
      </c>
      <c r="D14" s="86">
        <v>0.1122493769064072</v>
      </c>
      <c r="E14" s="87">
        <v>2.8922078612246514E-3</v>
      </c>
      <c r="F14" s="88">
        <v>0.11601834238772117</v>
      </c>
      <c r="G14" s="85">
        <v>6.049346212236989E-3</v>
      </c>
      <c r="H14" s="86">
        <v>0.11440577657964145</v>
      </c>
      <c r="I14" s="87">
        <v>0</v>
      </c>
      <c r="J14" s="88">
        <v>0</v>
      </c>
      <c r="K14" s="85">
        <v>0</v>
      </c>
      <c r="L14" s="86">
        <v>0</v>
      </c>
      <c r="M14" s="87">
        <v>0</v>
      </c>
      <c r="N14" s="88">
        <v>0</v>
      </c>
      <c r="O14" s="85">
        <v>0</v>
      </c>
      <c r="P14" s="86">
        <v>0</v>
      </c>
      <c r="Q14" s="87">
        <v>0</v>
      </c>
      <c r="R14" s="88">
        <v>0</v>
      </c>
      <c r="S14" s="85">
        <v>0</v>
      </c>
      <c r="T14" s="86">
        <v>0</v>
      </c>
      <c r="U14" s="87">
        <v>0</v>
      </c>
      <c r="V14" s="88">
        <v>0</v>
      </c>
      <c r="W14" s="85">
        <v>0</v>
      </c>
      <c r="X14" s="86">
        <v>0</v>
      </c>
      <c r="Y14" s="87">
        <v>0</v>
      </c>
      <c r="Z14" s="88">
        <v>0</v>
      </c>
      <c r="AE14" s="89"/>
    </row>
    <row r="15" spans="2:31" x14ac:dyDescent="0.25">
      <c r="B15" s="91" t="s">
        <v>10</v>
      </c>
      <c r="C15" s="85">
        <v>-1.1396631935755125E-4</v>
      </c>
      <c r="D15" s="86">
        <v>7.4370003986745328E-2</v>
      </c>
      <c r="E15" s="87">
        <v>-5.1152038400250884E-4</v>
      </c>
      <c r="F15" s="88">
        <v>7.5405513114743278E-2</v>
      </c>
      <c r="G15" s="85">
        <v>2.5553256043085756E-3</v>
      </c>
      <c r="H15" s="86">
        <v>7.5891477970692803E-2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8">
        <v>0</v>
      </c>
      <c r="AE15" s="89"/>
    </row>
    <row r="16" spans="2:31" x14ac:dyDescent="0.25">
      <c r="B16" s="91" t="s">
        <v>11</v>
      </c>
      <c r="C16" s="85">
        <v>1.0938973966072366E-3</v>
      </c>
      <c r="D16" s="86">
        <v>1.5919868018803518E-2</v>
      </c>
      <c r="E16" s="87">
        <v>5.6817808276021515E-4</v>
      </c>
      <c r="F16" s="88">
        <v>1.7161432676264087E-2</v>
      </c>
      <c r="G16" s="85">
        <v>8.5862612223641113E-4</v>
      </c>
      <c r="H16" s="86">
        <v>1.7786213736003247E-2</v>
      </c>
      <c r="I16" s="87">
        <v>0</v>
      </c>
      <c r="J16" s="88">
        <v>0</v>
      </c>
      <c r="K16" s="85">
        <v>0</v>
      </c>
      <c r="L16" s="86">
        <v>0</v>
      </c>
      <c r="M16" s="87">
        <v>0</v>
      </c>
      <c r="N16" s="88">
        <v>0</v>
      </c>
      <c r="O16" s="85">
        <v>0</v>
      </c>
      <c r="P16" s="86">
        <v>0</v>
      </c>
      <c r="Q16" s="87">
        <v>0</v>
      </c>
      <c r="R16" s="88">
        <v>0</v>
      </c>
      <c r="S16" s="85">
        <v>0</v>
      </c>
      <c r="T16" s="86">
        <v>0</v>
      </c>
      <c r="U16" s="87">
        <v>0</v>
      </c>
      <c r="V16" s="88">
        <v>0</v>
      </c>
      <c r="W16" s="85">
        <v>0</v>
      </c>
      <c r="X16" s="86">
        <v>0</v>
      </c>
      <c r="Y16" s="87">
        <v>0</v>
      </c>
      <c r="Z16" s="88">
        <v>0</v>
      </c>
      <c r="AE16" s="89"/>
    </row>
    <row r="17" spans="2:31" x14ac:dyDescent="0.25">
      <c r="B17" s="91" t="s">
        <v>12</v>
      </c>
      <c r="C17" s="85">
        <v>2.8090648437576509E-5</v>
      </c>
      <c r="D17" s="86">
        <v>1.8877036307620023E-4</v>
      </c>
      <c r="E17" s="87">
        <v>1.4329964912199072E-4</v>
      </c>
      <c r="F17" s="88">
        <v>2.0778923432640566E-4</v>
      </c>
      <c r="G17" s="85">
        <v>9.727911583248213E-5</v>
      </c>
      <c r="H17" s="86">
        <v>3.5678867030126694E-4</v>
      </c>
      <c r="I17" s="87">
        <v>0</v>
      </c>
      <c r="J17" s="88">
        <v>0</v>
      </c>
      <c r="K17" s="85">
        <v>0</v>
      </c>
      <c r="L17" s="86">
        <v>0</v>
      </c>
      <c r="M17" s="87">
        <v>0</v>
      </c>
      <c r="N17" s="88">
        <v>0</v>
      </c>
      <c r="O17" s="85">
        <v>0</v>
      </c>
      <c r="P17" s="86">
        <v>0</v>
      </c>
      <c r="Q17" s="87">
        <v>0</v>
      </c>
      <c r="R17" s="88">
        <v>0</v>
      </c>
      <c r="S17" s="85">
        <v>0</v>
      </c>
      <c r="T17" s="86">
        <v>0</v>
      </c>
      <c r="U17" s="87">
        <v>0</v>
      </c>
      <c r="V17" s="88">
        <v>0</v>
      </c>
      <c r="W17" s="85">
        <v>0</v>
      </c>
      <c r="X17" s="86">
        <v>0</v>
      </c>
      <c r="Y17" s="87">
        <v>0</v>
      </c>
      <c r="Z17" s="88">
        <v>0</v>
      </c>
      <c r="AE17" s="89"/>
    </row>
    <row r="18" spans="2:31" x14ac:dyDescent="0.25">
      <c r="B18" s="91" t="s">
        <v>13</v>
      </c>
      <c r="C18" s="85">
        <v>1.2857622092421312E-3</v>
      </c>
      <c r="D18" s="86">
        <v>-6.1052773785285415E-4</v>
      </c>
      <c r="E18" s="87">
        <v>5.9087362380051594E-3</v>
      </c>
      <c r="F18" s="88">
        <v>4.4615223044207775E-3</v>
      </c>
      <c r="G18" s="85">
        <v>1.3613757497197372E-3</v>
      </c>
      <c r="H18" s="86">
        <v>4.6117019036395713E-3</v>
      </c>
      <c r="I18" s="87">
        <v>0</v>
      </c>
      <c r="J18" s="88">
        <v>0</v>
      </c>
      <c r="K18" s="85">
        <v>0</v>
      </c>
      <c r="L18" s="86">
        <v>0</v>
      </c>
      <c r="M18" s="87">
        <v>0</v>
      </c>
      <c r="N18" s="88">
        <v>0</v>
      </c>
      <c r="O18" s="85">
        <v>0</v>
      </c>
      <c r="P18" s="86">
        <v>0</v>
      </c>
      <c r="Q18" s="87">
        <v>0</v>
      </c>
      <c r="R18" s="88">
        <v>0</v>
      </c>
      <c r="S18" s="85">
        <v>0</v>
      </c>
      <c r="T18" s="86">
        <v>0</v>
      </c>
      <c r="U18" s="87">
        <v>0</v>
      </c>
      <c r="V18" s="88">
        <v>0</v>
      </c>
      <c r="W18" s="85">
        <v>0</v>
      </c>
      <c r="X18" s="86">
        <v>0</v>
      </c>
      <c r="Y18" s="87">
        <v>0</v>
      </c>
      <c r="Z18" s="88">
        <v>0</v>
      </c>
      <c r="AE18" s="89"/>
    </row>
    <row r="19" spans="2:31" x14ac:dyDescent="0.25">
      <c r="B19" s="91" t="s">
        <v>14</v>
      </c>
      <c r="C19" s="85">
        <v>-4.1919845700604934E-4</v>
      </c>
      <c r="D19" s="86">
        <v>5.5143896524680275E-4</v>
      </c>
      <c r="E19" s="87">
        <v>-5.4689506997487381E-4</v>
      </c>
      <c r="F19" s="88">
        <v>6.1543778391530337E-4</v>
      </c>
      <c r="G19" s="85">
        <v>-2.4380003299998807E-4</v>
      </c>
      <c r="H19" s="86">
        <v>6.0000106449895291E-4</v>
      </c>
      <c r="I19" s="87">
        <v>0</v>
      </c>
      <c r="J19" s="88">
        <v>0</v>
      </c>
      <c r="K19" s="85">
        <v>0</v>
      </c>
      <c r="L19" s="86">
        <v>0</v>
      </c>
      <c r="M19" s="87">
        <v>0</v>
      </c>
      <c r="N19" s="88">
        <v>0</v>
      </c>
      <c r="O19" s="85">
        <v>0</v>
      </c>
      <c r="P19" s="86">
        <v>0</v>
      </c>
      <c r="Q19" s="87">
        <v>0</v>
      </c>
      <c r="R19" s="88">
        <v>0</v>
      </c>
      <c r="S19" s="85">
        <v>0</v>
      </c>
      <c r="T19" s="86">
        <v>0</v>
      </c>
      <c r="U19" s="87">
        <v>0</v>
      </c>
      <c r="V19" s="88">
        <v>0</v>
      </c>
      <c r="W19" s="85">
        <v>0</v>
      </c>
      <c r="X19" s="86">
        <v>0</v>
      </c>
      <c r="Y19" s="87">
        <v>0</v>
      </c>
      <c r="Z19" s="88">
        <v>0</v>
      </c>
    </row>
    <row r="20" spans="2:31" x14ac:dyDescent="0.25">
      <c r="B20" s="91" t="s">
        <v>15</v>
      </c>
      <c r="C20" s="85">
        <v>-2.4650383235526909E-4</v>
      </c>
      <c r="D20" s="86">
        <v>2.595619278247491E-3</v>
      </c>
      <c r="E20" s="87">
        <v>-1.5148554630738508E-4</v>
      </c>
      <c r="F20" s="88">
        <v>3.5973178927997092E-3</v>
      </c>
      <c r="G20" s="85">
        <v>2.5482820096405932E-4</v>
      </c>
      <c r="H20" s="86">
        <v>3.3540521706722465E-3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8">
        <v>0</v>
      </c>
    </row>
    <row r="21" spans="2:31" x14ac:dyDescent="0.25">
      <c r="B21" s="91" t="s">
        <v>16</v>
      </c>
      <c r="C21" s="85">
        <v>4.9712212279522225E-4</v>
      </c>
      <c r="D21" s="86">
        <v>5.242306924141471E-2</v>
      </c>
      <c r="E21" s="87">
        <v>2.6481505104900905E-4</v>
      </c>
      <c r="F21" s="88">
        <v>5.274479128741083E-2</v>
      </c>
      <c r="G21" s="85">
        <v>5.1067831260891302E-4</v>
      </c>
      <c r="H21" s="86">
        <v>5.2780100037716132E-2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8">
        <v>0</v>
      </c>
    </row>
    <row r="22" spans="2:31" x14ac:dyDescent="0.25">
      <c r="B22" s="91" t="s">
        <v>84</v>
      </c>
      <c r="C22" s="85">
        <v>-5.0673823539560433E-6</v>
      </c>
      <c r="D22" s="86">
        <v>2.7029535155774384E-4</v>
      </c>
      <c r="E22" s="87">
        <v>-1.0151387372726017E-5</v>
      </c>
      <c r="F22" s="88">
        <v>1.5704572405169292E-3</v>
      </c>
      <c r="G22" s="85">
        <v>4.7129528537411851E-5</v>
      </c>
      <c r="H22" s="86">
        <v>1.51556562863009E-3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8">
        <v>0</v>
      </c>
    </row>
    <row r="23" spans="2:31" x14ac:dyDescent="0.25">
      <c r="B23" s="91" t="s">
        <v>18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8">
        <v>0</v>
      </c>
    </row>
    <row r="24" spans="2:31" x14ac:dyDescent="0.25">
      <c r="B24" s="91" t="s">
        <v>19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8">
        <v>0</v>
      </c>
    </row>
    <row r="25" spans="2:31" x14ac:dyDescent="0.25">
      <c r="B25" s="91" t="s">
        <v>20</v>
      </c>
      <c r="C25" s="85">
        <v>0</v>
      </c>
      <c r="D25" s="86">
        <v>0</v>
      </c>
      <c r="E25" s="87">
        <v>0</v>
      </c>
      <c r="F25" s="88">
        <v>0</v>
      </c>
      <c r="G25" s="85">
        <v>0</v>
      </c>
      <c r="H25" s="86">
        <v>0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8">
        <v>0</v>
      </c>
    </row>
    <row r="26" spans="2:31" x14ac:dyDescent="0.25">
      <c r="B26" s="92" t="s">
        <v>21</v>
      </c>
      <c r="C26" s="93">
        <v>6.7000000000000002E-4</v>
      </c>
      <c r="D26" s="94">
        <v>0.99999999999999978</v>
      </c>
      <c r="E26" s="95">
        <v>2.0979999999999999E-2</v>
      </c>
      <c r="F26" s="96">
        <v>0.99999999999999956</v>
      </c>
      <c r="G26" s="93">
        <v>2.231E-2</v>
      </c>
      <c r="H26" s="94">
        <v>1.0000000000000009</v>
      </c>
      <c r="I26" s="95">
        <v>0</v>
      </c>
      <c r="J26" s="96">
        <v>0</v>
      </c>
      <c r="K26" s="93">
        <v>0</v>
      </c>
      <c r="L26" s="94">
        <v>0</v>
      </c>
      <c r="M26" s="95">
        <v>0</v>
      </c>
      <c r="N26" s="96">
        <v>0</v>
      </c>
      <c r="O26" s="93">
        <v>0</v>
      </c>
      <c r="P26" s="94">
        <v>0</v>
      </c>
      <c r="Q26" s="95">
        <v>0</v>
      </c>
      <c r="R26" s="96">
        <v>0</v>
      </c>
      <c r="S26" s="93">
        <v>0</v>
      </c>
      <c r="T26" s="94">
        <v>0</v>
      </c>
      <c r="U26" s="95">
        <v>0</v>
      </c>
      <c r="V26" s="96">
        <v>0</v>
      </c>
      <c r="W26" s="93">
        <v>0</v>
      </c>
      <c r="X26" s="94">
        <v>0</v>
      </c>
      <c r="Y26" s="95">
        <v>0</v>
      </c>
      <c r="Z26" s="96">
        <v>0</v>
      </c>
    </row>
    <row r="27" spans="2:31" x14ac:dyDescent="0.25">
      <c r="B27" s="97" t="s">
        <v>22</v>
      </c>
      <c r="C27" s="98">
        <v>568.68100000000004</v>
      </c>
      <c r="D27" s="99"/>
      <c r="E27" s="100">
        <v>17274.073</v>
      </c>
      <c r="F27" s="99"/>
      <c r="G27" s="98">
        <v>18665.763999999999</v>
      </c>
      <c r="H27" s="99"/>
      <c r="I27" s="100">
        <v>0</v>
      </c>
      <c r="J27" s="99"/>
      <c r="K27" s="98">
        <v>0</v>
      </c>
      <c r="L27" s="99"/>
      <c r="M27" s="100">
        <v>0</v>
      </c>
      <c r="N27" s="99"/>
      <c r="O27" s="98">
        <v>0</v>
      </c>
      <c r="P27" s="99"/>
      <c r="Q27" s="100">
        <v>0</v>
      </c>
      <c r="R27" s="99"/>
      <c r="S27" s="98">
        <v>0</v>
      </c>
      <c r="T27" s="99"/>
      <c r="U27" s="100">
        <v>0</v>
      </c>
      <c r="V27" s="99"/>
      <c r="W27" s="98">
        <v>0</v>
      </c>
      <c r="X27" s="99"/>
      <c r="Y27" s="100">
        <v>0</v>
      </c>
      <c r="Z27" s="99"/>
    </row>
    <row r="28" spans="2:31" x14ac:dyDescent="0.25">
      <c r="B28" s="101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2:31" x14ac:dyDescent="0.25">
      <c r="B29" s="84" t="s">
        <v>23</v>
      </c>
      <c r="C29" s="103">
        <v>-2.1836868069812282E-3</v>
      </c>
      <c r="D29" s="104">
        <v>0.71196663021694828</v>
      </c>
      <c r="E29" s="105">
        <v>1.151858636333945E-2</v>
      </c>
      <c r="F29" s="106">
        <v>0.70580637355069609</v>
      </c>
      <c r="G29" s="103">
        <v>4.3884179515424476E-3</v>
      </c>
      <c r="H29" s="104">
        <v>0.70722175070154303</v>
      </c>
      <c r="I29" s="105">
        <v>0</v>
      </c>
      <c r="J29" s="106">
        <v>0</v>
      </c>
      <c r="K29" s="103">
        <v>0</v>
      </c>
      <c r="L29" s="104">
        <v>0</v>
      </c>
      <c r="M29" s="105">
        <v>0</v>
      </c>
      <c r="N29" s="106">
        <v>0</v>
      </c>
      <c r="O29" s="103">
        <v>0</v>
      </c>
      <c r="P29" s="104">
        <v>0</v>
      </c>
      <c r="Q29" s="105">
        <v>0</v>
      </c>
      <c r="R29" s="106">
        <v>0</v>
      </c>
      <c r="S29" s="103">
        <v>0</v>
      </c>
      <c r="T29" s="104">
        <v>0</v>
      </c>
      <c r="U29" s="105">
        <v>0</v>
      </c>
      <c r="V29" s="106">
        <v>0</v>
      </c>
      <c r="W29" s="103">
        <v>0</v>
      </c>
      <c r="X29" s="104">
        <v>0</v>
      </c>
      <c r="Y29" s="105">
        <v>0</v>
      </c>
      <c r="Z29" s="106">
        <v>0</v>
      </c>
    </row>
    <row r="30" spans="2:31" x14ac:dyDescent="0.25">
      <c r="B30" s="91" t="s">
        <v>24</v>
      </c>
      <c r="C30" s="85">
        <v>2.8536868069812334E-3</v>
      </c>
      <c r="D30" s="86">
        <v>0.28803336978305177</v>
      </c>
      <c r="E30" s="87">
        <v>9.4614136366605508E-3</v>
      </c>
      <c r="F30" s="88">
        <v>0.2941936264493038</v>
      </c>
      <c r="G30" s="85">
        <v>1.7921582048457535E-2</v>
      </c>
      <c r="H30" s="86">
        <v>0.29277824929845703</v>
      </c>
      <c r="I30" s="87">
        <v>0</v>
      </c>
      <c r="J30" s="88">
        <v>0</v>
      </c>
      <c r="K30" s="85">
        <v>0</v>
      </c>
      <c r="L30" s="86">
        <v>0</v>
      </c>
      <c r="M30" s="87">
        <v>0</v>
      </c>
      <c r="N30" s="88">
        <v>0</v>
      </c>
      <c r="O30" s="85">
        <v>0</v>
      </c>
      <c r="P30" s="86">
        <v>0</v>
      </c>
      <c r="Q30" s="87">
        <v>0</v>
      </c>
      <c r="R30" s="88">
        <v>0</v>
      </c>
      <c r="S30" s="85">
        <v>0</v>
      </c>
      <c r="T30" s="86">
        <v>0</v>
      </c>
      <c r="U30" s="87">
        <v>0</v>
      </c>
      <c r="V30" s="88">
        <v>0</v>
      </c>
      <c r="W30" s="85">
        <v>0</v>
      </c>
      <c r="X30" s="86">
        <v>0</v>
      </c>
      <c r="Y30" s="87">
        <v>0</v>
      </c>
      <c r="Z30" s="88">
        <v>0</v>
      </c>
    </row>
    <row r="31" spans="2:31" x14ac:dyDescent="0.25">
      <c r="B31" s="92" t="s">
        <v>21</v>
      </c>
      <c r="C31" s="93">
        <v>6.7000000000000523E-4</v>
      </c>
      <c r="D31" s="94">
        <v>1</v>
      </c>
      <c r="E31" s="95">
        <v>2.0979999999999999E-2</v>
      </c>
      <c r="F31" s="96">
        <v>0.99999999999999989</v>
      </c>
      <c r="G31" s="93">
        <v>2.2309999999999983E-2</v>
      </c>
      <c r="H31" s="94">
        <v>1</v>
      </c>
      <c r="I31" s="95">
        <v>0</v>
      </c>
      <c r="J31" s="96">
        <v>0</v>
      </c>
      <c r="K31" s="93">
        <v>0</v>
      </c>
      <c r="L31" s="94">
        <v>0</v>
      </c>
      <c r="M31" s="95">
        <v>0</v>
      </c>
      <c r="N31" s="96">
        <v>0</v>
      </c>
      <c r="O31" s="93">
        <v>0</v>
      </c>
      <c r="P31" s="94">
        <v>0</v>
      </c>
      <c r="Q31" s="95">
        <v>0</v>
      </c>
      <c r="R31" s="96">
        <v>0</v>
      </c>
      <c r="S31" s="93">
        <v>0</v>
      </c>
      <c r="T31" s="94">
        <v>0</v>
      </c>
      <c r="U31" s="95">
        <v>0</v>
      </c>
      <c r="V31" s="96">
        <v>0</v>
      </c>
      <c r="W31" s="93">
        <v>0</v>
      </c>
      <c r="X31" s="94">
        <v>0</v>
      </c>
      <c r="Y31" s="95">
        <v>0</v>
      </c>
      <c r="Z31" s="96">
        <v>0</v>
      </c>
    </row>
    <row r="32" spans="2:31" x14ac:dyDescent="0.25">
      <c r="B32" s="101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2:26" x14ac:dyDescent="0.25">
      <c r="B33" s="84" t="s">
        <v>25</v>
      </c>
      <c r="C33" s="103">
        <v>-4.8192444771188027E-4</v>
      </c>
      <c r="D33" s="104">
        <v>0.91528550177451717</v>
      </c>
      <c r="E33" s="105">
        <v>1.7828931581722485E-2</v>
      </c>
      <c r="F33" s="106">
        <v>0.90865733977479246</v>
      </c>
      <c r="G33" s="103">
        <v>2.1790347583441307E-2</v>
      </c>
      <c r="H33" s="104">
        <v>0.90551550106974021</v>
      </c>
      <c r="I33" s="105">
        <v>0</v>
      </c>
      <c r="J33" s="106">
        <v>0</v>
      </c>
      <c r="K33" s="103">
        <v>0</v>
      </c>
      <c r="L33" s="104">
        <v>0</v>
      </c>
      <c r="M33" s="105">
        <v>0</v>
      </c>
      <c r="N33" s="106">
        <v>0</v>
      </c>
      <c r="O33" s="103">
        <v>0</v>
      </c>
      <c r="P33" s="104">
        <v>0</v>
      </c>
      <c r="Q33" s="105">
        <v>0</v>
      </c>
      <c r="R33" s="106">
        <v>0</v>
      </c>
      <c r="S33" s="103">
        <v>0</v>
      </c>
      <c r="T33" s="104">
        <v>0</v>
      </c>
      <c r="U33" s="105">
        <v>0</v>
      </c>
      <c r="V33" s="106">
        <v>0</v>
      </c>
      <c r="W33" s="103">
        <v>0</v>
      </c>
      <c r="X33" s="104">
        <v>0</v>
      </c>
      <c r="Y33" s="105">
        <v>0</v>
      </c>
      <c r="Z33" s="106">
        <v>0</v>
      </c>
    </row>
    <row r="34" spans="2:26" x14ac:dyDescent="0.25">
      <c r="B34" s="91" t="s">
        <v>26</v>
      </c>
      <c r="C34" s="85">
        <v>1.1519244477118857E-3</v>
      </c>
      <c r="D34" s="86">
        <v>8.4714498225482895E-2</v>
      </c>
      <c r="E34" s="87">
        <v>3.1510684182775128E-3</v>
      </c>
      <c r="F34" s="88">
        <v>9.1342660225207414E-2</v>
      </c>
      <c r="G34" s="85">
        <v>5.1965241655867016E-4</v>
      </c>
      <c r="H34" s="86">
        <v>9.4484498930259841E-2</v>
      </c>
      <c r="I34" s="87">
        <v>0</v>
      </c>
      <c r="J34" s="88">
        <v>0</v>
      </c>
      <c r="K34" s="85">
        <v>0</v>
      </c>
      <c r="L34" s="86">
        <v>0</v>
      </c>
      <c r="M34" s="87">
        <v>0</v>
      </c>
      <c r="N34" s="88">
        <v>0</v>
      </c>
      <c r="O34" s="85">
        <v>0</v>
      </c>
      <c r="P34" s="86">
        <v>0</v>
      </c>
      <c r="Q34" s="87">
        <v>0</v>
      </c>
      <c r="R34" s="88">
        <v>0</v>
      </c>
      <c r="S34" s="85">
        <v>0</v>
      </c>
      <c r="T34" s="86">
        <v>0</v>
      </c>
      <c r="U34" s="87">
        <v>0</v>
      </c>
      <c r="V34" s="88">
        <v>0</v>
      </c>
      <c r="W34" s="85">
        <v>0</v>
      </c>
      <c r="X34" s="86">
        <v>0</v>
      </c>
      <c r="Y34" s="87">
        <v>0</v>
      </c>
      <c r="Z34" s="88">
        <v>0</v>
      </c>
    </row>
    <row r="35" spans="2:26" x14ac:dyDescent="0.25">
      <c r="B35" s="107" t="s">
        <v>21</v>
      </c>
      <c r="C35" s="93">
        <v>6.7000000000000544E-4</v>
      </c>
      <c r="D35" s="94">
        <v>1</v>
      </c>
      <c r="E35" s="95">
        <v>2.0979999999999999E-2</v>
      </c>
      <c r="F35" s="96">
        <v>0.99999999999999989</v>
      </c>
      <c r="G35" s="93">
        <v>2.2309999999999976E-2</v>
      </c>
      <c r="H35" s="94">
        <v>1</v>
      </c>
      <c r="I35" s="95">
        <v>0</v>
      </c>
      <c r="J35" s="96">
        <v>0</v>
      </c>
      <c r="K35" s="93">
        <v>0</v>
      </c>
      <c r="L35" s="94">
        <v>0</v>
      </c>
      <c r="M35" s="95">
        <v>0</v>
      </c>
      <c r="N35" s="96">
        <v>0</v>
      </c>
      <c r="O35" s="93">
        <v>0</v>
      </c>
      <c r="P35" s="94">
        <v>0</v>
      </c>
      <c r="Q35" s="95">
        <v>0</v>
      </c>
      <c r="R35" s="96">
        <v>0</v>
      </c>
      <c r="S35" s="93">
        <v>0</v>
      </c>
      <c r="T35" s="94">
        <v>0</v>
      </c>
      <c r="U35" s="95">
        <v>0</v>
      </c>
      <c r="V35" s="96">
        <v>0</v>
      </c>
      <c r="W35" s="93">
        <v>0</v>
      </c>
      <c r="X35" s="94">
        <v>0</v>
      </c>
      <c r="Y35" s="95">
        <v>0</v>
      </c>
      <c r="Z35" s="96">
        <v>0</v>
      </c>
    </row>
    <row r="36" spans="2:26" x14ac:dyDescent="0.25">
      <c r="C36" s="108"/>
      <c r="D36" s="108"/>
      <c r="E36" s="108"/>
      <c r="F36" s="108"/>
      <c r="G36" s="108"/>
      <c r="H36" s="108"/>
      <c r="I36" s="108"/>
      <c r="J36" s="108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2:26" ht="45" x14ac:dyDescent="0.25">
      <c r="B37" s="110" t="s">
        <v>27</v>
      </c>
      <c r="C37" s="43" t="s">
        <v>85</v>
      </c>
      <c r="D37" s="44" t="s">
        <v>86</v>
      </c>
      <c r="E37" s="111" t="s">
        <v>87</v>
      </c>
      <c r="F37" s="112" t="s">
        <v>88</v>
      </c>
      <c r="G37" s="43" t="s">
        <v>89</v>
      </c>
      <c r="H37" s="44" t="s">
        <v>90</v>
      </c>
      <c r="I37" s="111" t="s">
        <v>91</v>
      </c>
      <c r="J37" s="111" t="s">
        <v>92</v>
      </c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2:26" x14ac:dyDescent="0.25">
      <c r="B38" s="84" t="s">
        <v>3</v>
      </c>
      <c r="C38" s="85">
        <v>1.7693263723286279E-3</v>
      </c>
      <c r="D38" s="86">
        <v>0.12456801972015501</v>
      </c>
      <c r="E38" s="87">
        <v>0</v>
      </c>
      <c r="F38" s="88">
        <v>0</v>
      </c>
      <c r="G38" s="85">
        <v>0</v>
      </c>
      <c r="H38" s="86">
        <v>0</v>
      </c>
      <c r="I38" s="87">
        <v>0</v>
      </c>
      <c r="J38" s="88">
        <v>0</v>
      </c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2:26" ht="30" x14ac:dyDescent="0.25">
      <c r="B39" s="90" t="s">
        <v>81</v>
      </c>
      <c r="C39" s="85">
        <v>-1.0712906941180108E-3</v>
      </c>
      <c r="D39" s="86">
        <v>0.15418675838572934</v>
      </c>
      <c r="E39" s="87">
        <v>0</v>
      </c>
      <c r="F39" s="88">
        <v>0</v>
      </c>
      <c r="G39" s="85">
        <v>0</v>
      </c>
      <c r="H39" s="86">
        <v>0</v>
      </c>
      <c r="I39" s="87">
        <v>0</v>
      </c>
      <c r="J39" s="88">
        <v>0</v>
      </c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2:26" x14ac:dyDescent="0.25">
      <c r="B40" s="91" t="s">
        <v>4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8">
        <v>0</v>
      </c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2:26" x14ac:dyDescent="0.25">
      <c r="B41" s="91" t="s">
        <v>5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8">
        <v>0</v>
      </c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2:26" x14ac:dyDescent="0.25">
      <c r="B42" s="91" t="s">
        <v>82</v>
      </c>
      <c r="C42" s="85">
        <v>5.2000892816169752E-3</v>
      </c>
      <c r="D42" s="86">
        <v>0.25628237363658418</v>
      </c>
      <c r="E42" s="87">
        <v>0</v>
      </c>
      <c r="F42" s="88">
        <v>0</v>
      </c>
      <c r="G42" s="85">
        <v>0</v>
      </c>
      <c r="H42" s="86">
        <v>0</v>
      </c>
      <c r="I42" s="87">
        <v>0</v>
      </c>
      <c r="J42" s="88">
        <v>0</v>
      </c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2:26" x14ac:dyDescent="0.25">
      <c r="B43" s="91" t="s">
        <v>83</v>
      </c>
      <c r="C43" s="85">
        <v>6.5600921024776691E-5</v>
      </c>
      <c r="D43" s="86">
        <v>5.0648367035644459E-3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8">
        <v>0</v>
      </c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2:26" x14ac:dyDescent="0.25">
      <c r="B44" s="91" t="s">
        <v>8</v>
      </c>
      <c r="C44" s="85">
        <v>1.7216189367763941E-2</v>
      </c>
      <c r="D44" s="86">
        <v>0.19288394620144697</v>
      </c>
      <c r="E44" s="87">
        <v>0</v>
      </c>
      <c r="F44" s="88">
        <v>0</v>
      </c>
      <c r="G44" s="85">
        <v>0</v>
      </c>
      <c r="H44" s="86">
        <v>0</v>
      </c>
      <c r="I44" s="87">
        <v>0</v>
      </c>
      <c r="J44" s="88">
        <v>0</v>
      </c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2:26" x14ac:dyDescent="0.25">
      <c r="B45" s="91" t="s">
        <v>9</v>
      </c>
      <c r="C45" s="85">
        <v>7.996680486656662E-3</v>
      </c>
      <c r="D45" s="86">
        <v>0.11422449862458994</v>
      </c>
      <c r="E45" s="87">
        <v>0</v>
      </c>
      <c r="F45" s="88">
        <v>0</v>
      </c>
      <c r="G45" s="85">
        <v>0</v>
      </c>
      <c r="H45" s="86">
        <v>0</v>
      </c>
      <c r="I45" s="87">
        <v>0</v>
      </c>
      <c r="J45" s="88">
        <v>0</v>
      </c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2:26" x14ac:dyDescent="0.25">
      <c r="B46" s="91" t="s">
        <v>10</v>
      </c>
      <c r="C46" s="85">
        <v>1.9666984378735345E-3</v>
      </c>
      <c r="D46" s="86">
        <v>7.5222331690727132E-2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8">
        <v>0</v>
      </c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2:26" x14ac:dyDescent="0.25">
      <c r="B47" s="91" t="s">
        <v>11</v>
      </c>
      <c r="C47" s="85">
        <v>2.5314063630242035E-3</v>
      </c>
      <c r="D47" s="86">
        <v>1.6955838143690286E-2</v>
      </c>
      <c r="E47" s="87">
        <v>0</v>
      </c>
      <c r="F47" s="88">
        <v>0</v>
      </c>
      <c r="G47" s="85">
        <v>0</v>
      </c>
      <c r="H47" s="86">
        <v>0</v>
      </c>
      <c r="I47" s="87">
        <v>0</v>
      </c>
      <c r="J47" s="88">
        <v>0</v>
      </c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2:26" x14ac:dyDescent="0.25">
      <c r="B48" s="91" t="s">
        <v>12</v>
      </c>
      <c r="C48" s="85">
        <v>2.6881830132831992E-4</v>
      </c>
      <c r="D48" s="86">
        <v>2.5111608923462426E-4</v>
      </c>
      <c r="E48" s="87">
        <v>0</v>
      </c>
      <c r="F48" s="88">
        <v>0</v>
      </c>
      <c r="G48" s="85">
        <v>0</v>
      </c>
      <c r="H48" s="86">
        <v>0</v>
      </c>
      <c r="I48" s="87">
        <v>0</v>
      </c>
      <c r="J48" s="88">
        <v>0</v>
      </c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2:26" x14ac:dyDescent="0.25">
      <c r="B49" s="91" t="s">
        <v>13</v>
      </c>
      <c r="C49" s="85">
        <v>8.574716194490975E-3</v>
      </c>
      <c r="D49" s="86">
        <v>2.8208988234024982E-3</v>
      </c>
      <c r="E49" s="87">
        <v>0</v>
      </c>
      <c r="F49" s="88">
        <v>0</v>
      </c>
      <c r="G49" s="85">
        <v>0</v>
      </c>
      <c r="H49" s="86">
        <v>0</v>
      </c>
      <c r="I49" s="87">
        <v>0</v>
      </c>
      <c r="J49" s="88">
        <v>0</v>
      </c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2:26" x14ac:dyDescent="0.25">
      <c r="B50" s="91" t="s">
        <v>14</v>
      </c>
      <c r="C50" s="85">
        <v>-1.2091281733824816E-3</v>
      </c>
      <c r="D50" s="86">
        <v>5.8895927122035304E-4</v>
      </c>
      <c r="E50" s="87">
        <v>0</v>
      </c>
      <c r="F50" s="88">
        <v>0</v>
      </c>
      <c r="G50" s="85">
        <v>0</v>
      </c>
      <c r="H50" s="86">
        <v>0</v>
      </c>
      <c r="I50" s="87">
        <v>0</v>
      </c>
      <c r="J50" s="88">
        <v>0</v>
      </c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2:26" x14ac:dyDescent="0.25">
      <c r="B51" s="91" t="s">
        <v>15</v>
      </c>
      <c r="C51" s="85">
        <v>-1.4160073308806017E-4</v>
      </c>
      <c r="D51" s="86">
        <v>3.1823297805731489E-3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8">
        <v>0</v>
      </c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2:26" x14ac:dyDescent="0.25">
      <c r="B52" s="91" t="s">
        <v>16</v>
      </c>
      <c r="C52" s="85">
        <v>1.3000126715885037E-3</v>
      </c>
      <c r="D52" s="86">
        <v>5.2649320188847222E-2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8">
        <v>0</v>
      </c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2:26" x14ac:dyDescent="0.25">
      <c r="B53" s="91" t="s">
        <v>84</v>
      </c>
      <c r="C53" s="85">
        <v>3.2481202892031229E-5</v>
      </c>
      <c r="D53" s="86">
        <v>1.118772740234921E-3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8">
        <v>0</v>
      </c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2:26" x14ac:dyDescent="0.25">
      <c r="B54" s="91" t="s">
        <v>18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8">
        <v>0</v>
      </c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2:26" x14ac:dyDescent="0.25">
      <c r="B55" s="91" t="s">
        <v>19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8">
        <v>0</v>
      </c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2:26" x14ac:dyDescent="0.25">
      <c r="B56" s="91" t="s">
        <v>20</v>
      </c>
      <c r="C56" s="85">
        <v>0</v>
      </c>
      <c r="D56" s="86">
        <v>0</v>
      </c>
      <c r="E56" s="87">
        <v>0</v>
      </c>
      <c r="F56" s="88">
        <v>0</v>
      </c>
      <c r="G56" s="85">
        <v>0</v>
      </c>
      <c r="H56" s="86">
        <v>0</v>
      </c>
      <c r="I56" s="87">
        <v>0</v>
      </c>
      <c r="J56" s="88">
        <v>0</v>
      </c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2:26" x14ac:dyDescent="0.25">
      <c r="B57" s="92" t="s">
        <v>28</v>
      </c>
      <c r="C57" s="93">
        <v>4.4499999999999998E-2</v>
      </c>
      <c r="D57" s="94">
        <v>1.0000000000000002</v>
      </c>
      <c r="E57" s="95">
        <v>0</v>
      </c>
      <c r="F57" s="96">
        <v>0</v>
      </c>
      <c r="G57" s="93">
        <v>0</v>
      </c>
      <c r="H57" s="94">
        <v>0</v>
      </c>
      <c r="I57" s="95">
        <v>0</v>
      </c>
      <c r="J57" s="96">
        <v>0</v>
      </c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2:26" x14ac:dyDescent="0.25">
      <c r="B58" s="97" t="s">
        <v>22</v>
      </c>
      <c r="C58" s="98">
        <v>36508.517999999996</v>
      </c>
      <c r="D58" s="99"/>
      <c r="E58" s="100">
        <v>0</v>
      </c>
      <c r="F58" s="99"/>
      <c r="G58" s="98">
        <v>0</v>
      </c>
      <c r="H58" s="99"/>
      <c r="I58" s="100">
        <v>0</v>
      </c>
      <c r="J58" s="9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2:26" x14ac:dyDescent="0.25">
      <c r="B59" s="101"/>
      <c r="C59" s="102"/>
      <c r="D59" s="102"/>
      <c r="E59" s="102"/>
      <c r="F59" s="102"/>
      <c r="G59" s="102"/>
      <c r="H59" s="102"/>
      <c r="I59" s="102"/>
      <c r="J59" s="102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2:26" x14ac:dyDescent="0.25">
      <c r="B60" s="84" t="s">
        <v>23</v>
      </c>
      <c r="C60" s="103">
        <v>1.3739019581801681E-2</v>
      </c>
      <c r="D60" s="104">
        <v>0.70833158482306258</v>
      </c>
      <c r="E60" s="105">
        <v>0</v>
      </c>
      <c r="F60" s="106">
        <v>0</v>
      </c>
      <c r="G60" s="103">
        <v>0</v>
      </c>
      <c r="H60" s="104">
        <v>0</v>
      </c>
      <c r="I60" s="105">
        <v>0</v>
      </c>
      <c r="J60" s="106">
        <v>0</v>
      </c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2:26" x14ac:dyDescent="0.25">
      <c r="B61" s="91" t="s">
        <v>24</v>
      </c>
      <c r="C61" s="85">
        <v>3.0760980418198317E-2</v>
      </c>
      <c r="D61" s="86">
        <v>0.29166841517693753</v>
      </c>
      <c r="E61" s="87">
        <v>0</v>
      </c>
      <c r="F61" s="88">
        <v>0</v>
      </c>
      <c r="G61" s="85">
        <v>0</v>
      </c>
      <c r="H61" s="86">
        <v>0</v>
      </c>
      <c r="I61" s="87">
        <v>0</v>
      </c>
      <c r="J61" s="88">
        <v>0</v>
      </c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2:26" x14ac:dyDescent="0.25">
      <c r="B62" s="92" t="s">
        <v>28</v>
      </c>
      <c r="C62" s="93">
        <v>4.4499999999999998E-2</v>
      </c>
      <c r="D62" s="94">
        <v>1</v>
      </c>
      <c r="E62" s="95">
        <v>0</v>
      </c>
      <c r="F62" s="96">
        <v>0</v>
      </c>
      <c r="G62" s="93">
        <v>0</v>
      </c>
      <c r="H62" s="94">
        <v>0</v>
      </c>
      <c r="I62" s="95">
        <v>0</v>
      </c>
      <c r="J62" s="96">
        <v>0</v>
      </c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2:26" x14ac:dyDescent="0.25">
      <c r="B63" s="101"/>
      <c r="C63" s="102"/>
      <c r="D63" s="102"/>
      <c r="E63" s="102"/>
      <c r="F63" s="102"/>
      <c r="G63" s="102"/>
      <c r="H63" s="102"/>
      <c r="I63" s="102"/>
      <c r="J63" s="102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2:26" x14ac:dyDescent="0.25">
      <c r="B64" s="84" t="s">
        <v>25</v>
      </c>
      <c r="C64" s="103">
        <v>3.9506572607447499E-2</v>
      </c>
      <c r="D64" s="104">
        <v>0.90981944753968325</v>
      </c>
      <c r="E64" s="105">
        <v>0</v>
      </c>
      <c r="F64" s="106">
        <v>0</v>
      </c>
      <c r="G64" s="103">
        <v>0</v>
      </c>
      <c r="H64" s="104">
        <v>0</v>
      </c>
      <c r="I64" s="105">
        <v>0</v>
      </c>
      <c r="J64" s="106">
        <v>0</v>
      </c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2:26" x14ac:dyDescent="0.25">
      <c r="B65" s="91" t="s">
        <v>26</v>
      </c>
      <c r="C65" s="85">
        <v>4.9934273925524991E-3</v>
      </c>
      <c r="D65" s="86">
        <v>9.0180552460316712E-2</v>
      </c>
      <c r="E65" s="87">
        <v>0</v>
      </c>
      <c r="F65" s="88">
        <v>0</v>
      </c>
      <c r="G65" s="85">
        <v>0</v>
      </c>
      <c r="H65" s="86">
        <v>0</v>
      </c>
      <c r="I65" s="87">
        <v>0</v>
      </c>
      <c r="J65" s="88">
        <v>0</v>
      </c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2:26" x14ac:dyDescent="0.25">
      <c r="B66" s="107" t="s">
        <v>28</v>
      </c>
      <c r="C66" s="93">
        <v>4.4499999999999998E-2</v>
      </c>
      <c r="D66" s="94">
        <v>1</v>
      </c>
      <c r="E66" s="95">
        <v>0</v>
      </c>
      <c r="F66" s="96">
        <v>0</v>
      </c>
      <c r="G66" s="93">
        <v>0</v>
      </c>
      <c r="H66" s="94">
        <v>0</v>
      </c>
      <c r="I66" s="95">
        <v>0</v>
      </c>
      <c r="J66" s="96">
        <v>0</v>
      </c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70" spans="2:26" x14ac:dyDescent="0.25">
      <c r="B70" s="113"/>
    </row>
    <row r="73" spans="2:26" x14ac:dyDescent="0.25">
      <c r="B73" s="108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4F1D-53F8-4065-A41D-B49553C86CD2}">
  <sheetPr codeName="גיליון50">
    <tabColor rgb="FFFFC000"/>
  </sheetPr>
  <dimension ref="A1:AB76"/>
  <sheetViews>
    <sheetView showGridLines="0" rightToLeft="1" topLeftCell="A16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614</v>
      </c>
    </row>
    <row r="3" spans="1:26" ht="18.75" x14ac:dyDescent="0.3">
      <c r="A3" s="71" t="s">
        <v>37</v>
      </c>
      <c r="B3" s="73" t="s">
        <v>33</v>
      </c>
    </row>
    <row r="4" spans="1:26" ht="18.75" x14ac:dyDescent="0.3">
      <c r="A4" s="70" t="s">
        <v>38</v>
      </c>
      <c r="B4" s="73" t="s">
        <v>29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41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42</v>
      </c>
      <c r="C7" s="8"/>
      <c r="D7" s="9" t="s">
        <v>43</v>
      </c>
      <c r="E7" s="10"/>
      <c r="F7" s="7" t="s">
        <v>44</v>
      </c>
      <c r="G7" s="8"/>
      <c r="H7" s="9" t="s">
        <v>45</v>
      </c>
      <c r="I7" s="10"/>
      <c r="J7" s="7" t="s">
        <v>46</v>
      </c>
      <c r="K7" s="8"/>
      <c r="L7" s="9" t="s">
        <v>47</v>
      </c>
      <c r="M7" s="10"/>
      <c r="N7" s="7" t="s">
        <v>48</v>
      </c>
      <c r="O7" s="8"/>
      <c r="P7" s="9" t="s">
        <v>49</v>
      </c>
      <c r="Q7" s="10"/>
      <c r="R7" s="7" t="s">
        <v>50</v>
      </c>
      <c r="S7" s="8"/>
      <c r="T7" s="9" t="s">
        <v>51</v>
      </c>
      <c r="U7" s="9"/>
      <c r="V7" s="7" t="s">
        <v>52</v>
      </c>
      <c r="W7" s="8"/>
      <c r="X7" s="9" t="s">
        <v>53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4.2771083794651847E-4</v>
      </c>
      <c r="C9" s="16">
        <v>9.2879897636286346E-2</v>
      </c>
      <c r="D9" s="17">
        <v>6.1429396314142959E-5</v>
      </c>
      <c r="E9" s="17">
        <v>0.11258014410699504</v>
      </c>
      <c r="F9" s="16">
        <v>3.4358725489294986E-4</v>
      </c>
      <c r="G9" s="16">
        <v>9.2497968898572439E-2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90" t="s">
        <v>81</v>
      </c>
      <c r="B10" s="16">
        <v>-8.8398531100772912E-4</v>
      </c>
      <c r="C10" s="16">
        <v>0.15195153433005681</v>
      </c>
      <c r="D10" s="17">
        <v>4.0502032296338387E-4</v>
      </c>
      <c r="E10" s="17">
        <v>0.15616691261070229</v>
      </c>
      <c r="F10" s="16">
        <v>-6.7407691778015506E-4</v>
      </c>
      <c r="G10" s="16">
        <v>0.15912530635145344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7.020741415262778E-4</v>
      </c>
      <c r="C13" s="16">
        <v>0.31495514789024187</v>
      </c>
      <c r="D13" s="17">
        <v>1.4342086692226406E-3</v>
      </c>
      <c r="E13" s="17">
        <v>0.30876285310087265</v>
      </c>
      <c r="F13" s="16">
        <v>3.9336161820590597E-3</v>
      </c>
      <c r="G13" s="16">
        <v>0.3068918473747882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-2.9661654450912882E-5</v>
      </c>
      <c r="C14" s="16">
        <v>2.27867417638193E-3</v>
      </c>
      <c r="D14" s="17">
        <v>9.7689518048156902E-6</v>
      </c>
      <c r="E14" s="17">
        <v>2.214280343894245E-3</v>
      </c>
      <c r="F14" s="16">
        <v>1.7645747454530837E-5</v>
      </c>
      <c r="G14" s="16">
        <v>2.2507069637153396E-3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-1.2858116427483459E-3</v>
      </c>
      <c r="C15" s="16">
        <v>0.18601044817509416</v>
      </c>
      <c r="D15" s="17">
        <v>1.0632095369392367E-2</v>
      </c>
      <c r="E15" s="17">
        <v>0.16748752860960045</v>
      </c>
      <c r="F15" s="16">
        <v>7.1621163579056483E-3</v>
      </c>
      <c r="G15" s="16">
        <v>0.18084326325408626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-1.0169901208711314E-3</v>
      </c>
      <c r="C16" s="16">
        <v>0.11271959554574867</v>
      </c>
      <c r="D16" s="17">
        <v>2.8668668002281481E-3</v>
      </c>
      <c r="E16" s="17">
        <v>0.11593272738393112</v>
      </c>
      <c r="F16" s="16">
        <v>6.085718901221733E-3</v>
      </c>
      <c r="G16" s="16">
        <v>0.11571917638731545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3.846556970112653E-4</v>
      </c>
      <c r="C17" s="16">
        <v>4.4918194588753339E-2</v>
      </c>
      <c r="D17" s="17">
        <v>-1.9659741996411618E-4</v>
      </c>
      <c r="E17" s="17">
        <v>3.9761844266585598E-2</v>
      </c>
      <c r="F17" s="16">
        <v>1.6336656635442121E-3</v>
      </c>
      <c r="G17" s="16">
        <v>4.4760952028776592E-2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3.9927789894216497E-4</v>
      </c>
      <c r="C18" s="16">
        <v>8.385347753990452E-2</v>
      </c>
      <c r="D18" s="17">
        <v>-1.0846536549515141E-3</v>
      </c>
      <c r="E18" s="17">
        <v>8.3446272735917676E-2</v>
      </c>
      <c r="F18" s="16">
        <v>3.8165399191783041E-3</v>
      </c>
      <c r="G18" s="16">
        <v>8.380795972951588E-2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3.1190669204293303E-5</v>
      </c>
      <c r="C19" s="16">
        <v>2.0497850826623314E-4</v>
      </c>
      <c r="D19" s="17">
        <v>1.580134902817025E-4</v>
      </c>
      <c r="E19" s="17">
        <v>2.2612977297449275E-4</v>
      </c>
      <c r="F19" s="16">
        <v>1.0109332060705471E-4</v>
      </c>
      <c r="G19" s="16">
        <v>3.9283298480201909E-4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1.0080371184928156E-3</v>
      </c>
      <c r="C20" s="16">
        <v>3.6902339628226348E-3</v>
      </c>
      <c r="D20" s="17">
        <v>6.3864446268447461E-3</v>
      </c>
      <c r="E20" s="17">
        <v>4.4718302307371087E-3</v>
      </c>
      <c r="F20" s="16">
        <v>4.4293819827794607E-4</v>
      </c>
      <c r="G20" s="16">
        <v>4.9434693871421688E-3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-4.2276212692266018E-4</v>
      </c>
      <c r="C21" s="16">
        <v>5.5185599499016661E-4</v>
      </c>
      <c r="D21" s="17">
        <v>-5.5011138287167289E-4</v>
      </c>
      <c r="E21" s="17">
        <v>6.1308733990159657E-4</v>
      </c>
      <c r="F21" s="16">
        <v>-2.4571969487029605E-4</v>
      </c>
      <c r="G21" s="16">
        <v>5.9831413901519797E-4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-2.4842902397795096E-4</v>
      </c>
      <c r="C22" s="16">
        <v>2.3656695126236943E-3</v>
      </c>
      <c r="D22" s="17">
        <v>-1.5277441662383959E-4</v>
      </c>
      <c r="E22" s="17">
        <v>3.3867742943510721E-3</v>
      </c>
      <c r="F22" s="16">
        <v>2.5464797369693497E-4</v>
      </c>
      <c r="G22" s="16">
        <v>3.186622202804597E-3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6.1151754638229738E-5</v>
      </c>
      <c r="C23" s="16">
        <v>3.5784812508287663E-3</v>
      </c>
      <c r="D23" s="17">
        <v>3.0235140514722051E-5</v>
      </c>
      <c r="E23" s="17">
        <v>3.5833827606685854E-3</v>
      </c>
      <c r="F23" s="16">
        <v>4.133092681211446E-5</v>
      </c>
      <c r="G23" s="16">
        <v>3.6571121081383291E-3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-6.4582377828347462E-6</v>
      </c>
      <c r="C24" s="16">
        <v>4.181088800139979E-5</v>
      </c>
      <c r="D24" s="17">
        <v>-9.9458931555235822E-6</v>
      </c>
      <c r="E24" s="17">
        <v>1.3662324428682772E-3</v>
      </c>
      <c r="F24" s="16">
        <v>4.6896166999961372E-5</v>
      </c>
      <c r="G24" s="16">
        <v>1.3244681898733552E-3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15" t="s">
        <v>19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20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21</v>
      </c>
      <c r="B28" s="21">
        <v>-8.8000000000000003E-4</v>
      </c>
      <c r="C28" s="22">
        <v>1.0000000000000007</v>
      </c>
      <c r="D28" s="23">
        <v>1.9990000000000001E-2</v>
      </c>
      <c r="E28" s="24">
        <v>1.0000000000000004</v>
      </c>
      <c r="F28" s="21">
        <v>2.2960000000000001E-2</v>
      </c>
      <c r="G28" s="22">
        <v>0.99999999999999922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22</v>
      </c>
      <c r="B29" s="25">
        <v>-257.31799999999998</v>
      </c>
      <c r="C29" s="26"/>
      <c r="D29" s="27">
        <v>5826.3289999999997</v>
      </c>
      <c r="E29" s="26"/>
      <c r="F29" s="25">
        <v>6824.9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23</v>
      </c>
      <c r="B31" s="30">
        <v>-3.7193093737383251E-3</v>
      </c>
      <c r="C31" s="16">
        <v>0.68263354712625934</v>
      </c>
      <c r="D31" s="32">
        <v>1.0746042178233411E-2</v>
      </c>
      <c r="E31" s="32">
        <v>0.6848787580413197</v>
      </c>
      <c r="F31" s="30">
        <v>4.6694546326827673E-3</v>
      </c>
      <c r="G31" s="16">
        <v>0.67959451848391905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24</v>
      </c>
      <c r="B32" s="30">
        <v>2.8393093737383297E-3</v>
      </c>
      <c r="C32" s="16">
        <v>0.31736645287374071</v>
      </c>
      <c r="D32" s="31">
        <v>9.2439578217665824E-3</v>
      </c>
      <c r="E32" s="17">
        <v>0.31512124195868024</v>
      </c>
      <c r="F32" s="30">
        <v>1.8290545367317224E-2</v>
      </c>
      <c r="G32" s="16">
        <v>0.320405481516081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21</v>
      </c>
      <c r="B33" s="21">
        <v>-8.7999999999999537E-4</v>
      </c>
      <c r="C33" s="22">
        <v>1</v>
      </c>
      <c r="D33" s="23">
        <v>1.9989999999999994E-2</v>
      </c>
      <c r="E33" s="24">
        <v>1</v>
      </c>
      <c r="F33" s="21">
        <v>2.2959999999999991E-2</v>
      </c>
      <c r="G33" s="22">
        <v>1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25</v>
      </c>
      <c r="B35" s="30">
        <v>-6.0236270245476087E-4</v>
      </c>
      <c r="C35" s="16">
        <v>0.90816433758165116</v>
      </c>
      <c r="D35" s="17">
        <v>1.8259608886153487E-2</v>
      </c>
      <c r="E35" s="32">
        <v>0.9078157203959506</v>
      </c>
      <c r="F35" s="30">
        <v>2.0902356524331214E-2</v>
      </c>
      <c r="G35" s="16">
        <v>0.90458904510339688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26</v>
      </c>
      <c r="B36" s="30">
        <v>-2.7763729754523418E-4</v>
      </c>
      <c r="C36" s="16">
        <v>9.1835662418348882E-2</v>
      </c>
      <c r="D36" s="31">
        <v>1.7303911138465058E-3</v>
      </c>
      <c r="E36" s="17">
        <v>9.2184279604049374E-2</v>
      </c>
      <c r="F36" s="30">
        <v>2.0576434756687722E-3</v>
      </c>
      <c r="G36" s="16">
        <v>9.5410954896603103E-2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21</v>
      </c>
      <c r="B37" s="21">
        <v>-8.7999999999999504E-4</v>
      </c>
      <c r="C37" s="22">
        <v>1</v>
      </c>
      <c r="D37" s="23">
        <v>1.9989999999999994E-2</v>
      </c>
      <c r="E37" s="24">
        <v>1</v>
      </c>
      <c r="F37" s="21">
        <v>2.2959999999999987E-2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116"/>
      <c r="E39" s="1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27</v>
      </c>
      <c r="B40" s="118" t="s">
        <v>54</v>
      </c>
      <c r="C40" s="119"/>
      <c r="D40" s="114" t="s">
        <v>55</v>
      </c>
      <c r="E40" s="120"/>
      <c r="F40" s="118" t="s">
        <v>55</v>
      </c>
      <c r="G40" s="119"/>
      <c r="H40" s="114" t="s">
        <v>55</v>
      </c>
      <c r="I40" s="1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8.3292183454975605E-4</v>
      </c>
      <c r="C42" s="48">
        <v>9.9319336880617948E-2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90" t="s">
        <v>81</v>
      </c>
      <c r="B43" s="47">
        <v>-1.0922774923291835E-3</v>
      </c>
      <c r="C43" s="48">
        <v>0.15574791776407085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6.2004073068933092E-3</v>
      </c>
      <c r="C46" s="48">
        <v>0.31020328278863424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-1.3700878336110346E-6</v>
      </c>
      <c r="C47" s="48">
        <v>2.247887161330505E-3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1.6631100769633308E-2</v>
      </c>
      <c r="C48" s="48">
        <v>0.17811374667959365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7.9887308811724088E-3</v>
      </c>
      <c r="C49" s="48">
        <v>0.11479049977233174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1.8387987206717118E-3</v>
      </c>
      <c r="C50" s="48">
        <v>4.3146996961371843E-2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3.1607886566632627E-3</v>
      </c>
      <c r="C51" s="48">
        <v>8.3702570001779344E-2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2.9042875045189308E-4</v>
      </c>
      <c r="C52" s="48">
        <v>2.7464708868091503E-4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7.8488412033756276E-3</v>
      </c>
      <c r="C53" s="48">
        <v>4.3685111935673039E-3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-1.2178922003163229E-3</v>
      </c>
      <c r="C54" s="48">
        <v>5.8775249130232031E-4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-1.4545648763878485E-4</v>
      </c>
      <c r="C55" s="48">
        <v>2.9796886699264545E-3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1.3413125001541709E-4</v>
      </c>
      <c r="C56" s="48">
        <v>3.6063253732118937E-3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3.0846894691218331E-5</v>
      </c>
      <c r="C57" s="48">
        <v>9.1083717358101063E-4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9" t="s">
        <v>19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20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28</v>
      </c>
      <c r="B61" s="50">
        <v>4.2500000000000003E-2</v>
      </c>
      <c r="C61" s="51">
        <v>1.0000000000000002</v>
      </c>
      <c r="D61" s="68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22</v>
      </c>
      <c r="B62" s="54">
        <v>12393.911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23</v>
      </c>
      <c r="B64" s="57">
        <v>1.1688843963733042E-2</v>
      </c>
      <c r="C64" s="48">
        <v>0.68236894121716596</v>
      </c>
      <c r="D64" s="58">
        <v>0</v>
      </c>
      <c r="E64" s="49">
        <v>0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24</v>
      </c>
      <c r="B65" s="47">
        <v>3.0811156036266961E-2</v>
      </c>
      <c r="C65" s="48">
        <v>0.31763105878283399</v>
      </c>
      <c r="D65" s="58">
        <v>0</v>
      </c>
      <c r="E65" s="49">
        <v>0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28</v>
      </c>
      <c r="B66" s="50">
        <v>4.2500000000000003E-2</v>
      </c>
      <c r="C66" s="51">
        <v>1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25</v>
      </c>
      <c r="B68" s="57">
        <v>3.8917451952562132E-2</v>
      </c>
      <c r="C68" s="48">
        <v>0.90685636769366618</v>
      </c>
      <c r="D68" s="58">
        <v>0</v>
      </c>
      <c r="E68" s="49">
        <v>0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26</v>
      </c>
      <c r="B69" s="57">
        <v>3.582548047437871E-3</v>
      </c>
      <c r="C69" s="48">
        <v>9.3143632306333782E-2</v>
      </c>
      <c r="D69" s="58">
        <v>0</v>
      </c>
      <c r="E69" s="49">
        <v>0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28</v>
      </c>
      <c r="B70" s="50">
        <v>4.2500000000000003E-2</v>
      </c>
      <c r="C70" s="51">
        <v>1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CDF4-E02F-4CDB-B35C-6DD6DD2E52F8}">
  <sheetPr codeName="גיליון51">
    <tabColor rgb="FFFFC000"/>
  </sheetPr>
  <dimension ref="A1:AB76"/>
  <sheetViews>
    <sheetView showGridLines="0" rightToLeft="1" tabSelected="1" topLeftCell="A16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684</v>
      </c>
    </row>
    <row r="3" spans="1:26" ht="18.75" x14ac:dyDescent="0.3">
      <c r="A3" s="71" t="s">
        <v>37</v>
      </c>
      <c r="B3" s="73" t="s">
        <v>34</v>
      </c>
    </row>
    <row r="4" spans="1:26" ht="18.75" x14ac:dyDescent="0.3">
      <c r="A4" s="70" t="s">
        <v>38</v>
      </c>
      <c r="B4" s="73" t="s">
        <v>29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41</v>
      </c>
    </row>
    <row r="6" spans="1:26" ht="18.75" x14ac:dyDescent="0.3">
      <c r="A6" s="2"/>
      <c r="B6" s="62"/>
    </row>
    <row r="7" spans="1:26" ht="15.75" x14ac:dyDescent="0.25">
      <c r="A7" s="6" t="s">
        <v>0</v>
      </c>
      <c r="B7" s="7" t="s">
        <v>42</v>
      </c>
      <c r="C7" s="8"/>
      <c r="D7" s="9" t="s">
        <v>43</v>
      </c>
      <c r="E7" s="10"/>
      <c r="F7" s="7" t="s">
        <v>44</v>
      </c>
      <c r="G7" s="8"/>
      <c r="H7" s="9" t="s">
        <v>45</v>
      </c>
      <c r="I7" s="10"/>
      <c r="J7" s="7" t="s">
        <v>46</v>
      </c>
      <c r="K7" s="8"/>
      <c r="L7" s="9" t="s">
        <v>47</v>
      </c>
      <c r="M7" s="10"/>
      <c r="N7" s="7" t="s">
        <v>48</v>
      </c>
      <c r="O7" s="8"/>
      <c r="P7" s="9" t="s">
        <v>49</v>
      </c>
      <c r="Q7" s="10"/>
      <c r="R7" s="7" t="s">
        <v>50</v>
      </c>
      <c r="S7" s="8"/>
      <c r="T7" s="9" t="s">
        <v>51</v>
      </c>
      <c r="U7" s="9"/>
      <c r="V7" s="7" t="s">
        <v>52</v>
      </c>
      <c r="W7" s="8"/>
      <c r="X7" s="9" t="s">
        <v>53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-7.7418546537495921E-6</v>
      </c>
      <c r="C9" s="16">
        <v>6.3965470032060533E-3</v>
      </c>
      <c r="D9" s="17">
        <v>-6.9385894449353058E-6</v>
      </c>
      <c r="E9" s="17">
        <v>8.5126775208661668E-4</v>
      </c>
      <c r="F9" s="16">
        <v>-3.304323198923334E-6</v>
      </c>
      <c r="G9" s="16">
        <v>4.9803231290370634E-4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90" t="s">
        <v>81</v>
      </c>
      <c r="B10" s="16">
        <v>1.9639016876048338E-4</v>
      </c>
      <c r="C10" s="16">
        <v>0.66055181563178589</v>
      </c>
      <c r="D10" s="17">
        <v>1.284455244062445E-5</v>
      </c>
      <c r="E10" s="17">
        <v>0.66419015257861125</v>
      </c>
      <c r="F10" s="16">
        <v>-1.6500639161895433E-3</v>
      </c>
      <c r="G10" s="16">
        <v>0.6574737422677025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0</v>
      </c>
      <c r="C14" s="16">
        <v>0</v>
      </c>
      <c r="D14" s="17">
        <v>0</v>
      </c>
      <c r="E14" s="17">
        <v>0</v>
      </c>
      <c r="F14" s="16">
        <v>0</v>
      </c>
      <c r="G14" s="16">
        <v>0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-2.7686483141067335E-3</v>
      </c>
      <c r="C16" s="16">
        <v>0.33305163736500826</v>
      </c>
      <c r="D16" s="17">
        <v>2.0544094037004308E-2</v>
      </c>
      <c r="E16" s="17">
        <v>0.3349585796693022</v>
      </c>
      <c r="F16" s="16">
        <v>1.0463368239388466E-2</v>
      </c>
      <c r="G16" s="16">
        <v>0.34202822541939376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0</v>
      </c>
      <c r="C17" s="16">
        <v>0</v>
      </c>
      <c r="D17" s="17">
        <v>0</v>
      </c>
      <c r="E17" s="17">
        <v>0</v>
      </c>
      <c r="F17" s="16">
        <v>0</v>
      </c>
      <c r="G17" s="16">
        <v>0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0</v>
      </c>
      <c r="C20" s="16">
        <v>0</v>
      </c>
      <c r="D20" s="17">
        <v>0</v>
      </c>
      <c r="E20" s="17">
        <v>0</v>
      </c>
      <c r="F20" s="16">
        <v>0</v>
      </c>
      <c r="G20" s="16">
        <v>0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15" t="s">
        <v>19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20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21</v>
      </c>
      <c r="B28" s="21">
        <v>-2.5799999999999998E-3</v>
      </c>
      <c r="C28" s="22">
        <v>1.0000000000000002</v>
      </c>
      <c r="D28" s="23">
        <v>2.0549999999999999E-2</v>
      </c>
      <c r="E28" s="24">
        <v>1</v>
      </c>
      <c r="F28" s="21">
        <v>8.8100000000000001E-3</v>
      </c>
      <c r="G28" s="22">
        <v>1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22</v>
      </c>
      <c r="B29" s="25">
        <v>-29.213000000000001</v>
      </c>
      <c r="C29" s="26"/>
      <c r="D29" s="27">
        <v>224.08199999999999</v>
      </c>
      <c r="E29" s="26"/>
      <c r="F29" s="25">
        <v>97.983000000000004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23</v>
      </c>
      <c r="B31" s="30">
        <v>-2.5799999999999998E-3</v>
      </c>
      <c r="C31" s="16">
        <v>1</v>
      </c>
      <c r="D31" s="32">
        <v>2.0549999999999995E-2</v>
      </c>
      <c r="E31" s="32">
        <v>1</v>
      </c>
      <c r="F31" s="30">
        <v>8.8100000000000001E-3</v>
      </c>
      <c r="G31" s="16">
        <v>1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24</v>
      </c>
      <c r="B32" s="30">
        <v>0</v>
      </c>
      <c r="C32" s="16">
        <v>0</v>
      </c>
      <c r="D32" s="31">
        <v>0</v>
      </c>
      <c r="E32" s="17">
        <v>0</v>
      </c>
      <c r="F32" s="30">
        <v>0</v>
      </c>
      <c r="G32" s="16">
        <v>0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21</v>
      </c>
      <c r="B33" s="21">
        <v>-2.5799999999999998E-3</v>
      </c>
      <c r="C33" s="22">
        <v>1</v>
      </c>
      <c r="D33" s="23">
        <v>2.0549999999999995E-2</v>
      </c>
      <c r="E33" s="24">
        <v>1</v>
      </c>
      <c r="F33" s="21">
        <v>8.8100000000000001E-3</v>
      </c>
      <c r="G33" s="22">
        <v>1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25</v>
      </c>
      <c r="B35" s="30">
        <v>-2.5799999999999998E-3</v>
      </c>
      <c r="C35" s="16">
        <v>1</v>
      </c>
      <c r="D35" s="17">
        <v>2.0549999999999995E-2</v>
      </c>
      <c r="E35" s="32">
        <v>1</v>
      </c>
      <c r="F35" s="30">
        <v>8.8100000000000001E-3</v>
      </c>
      <c r="G35" s="16">
        <v>1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26</v>
      </c>
      <c r="B36" s="30">
        <v>0</v>
      </c>
      <c r="C36" s="16">
        <v>0</v>
      </c>
      <c r="D36" s="31">
        <v>0</v>
      </c>
      <c r="E36" s="17">
        <v>0</v>
      </c>
      <c r="F36" s="30">
        <v>0</v>
      </c>
      <c r="G36" s="16">
        <v>0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21</v>
      </c>
      <c r="B37" s="21">
        <v>-2.5799999999999998E-3</v>
      </c>
      <c r="C37" s="22">
        <v>1</v>
      </c>
      <c r="D37" s="23">
        <v>2.0549999999999995E-2</v>
      </c>
      <c r="E37" s="24">
        <v>1</v>
      </c>
      <c r="F37" s="21">
        <v>8.8100000000000001E-3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116"/>
      <c r="E39" s="1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27</v>
      </c>
      <c r="B40" s="118" t="s">
        <v>54</v>
      </c>
      <c r="C40" s="119"/>
      <c r="D40" s="114" t="s">
        <v>55</v>
      </c>
      <c r="E40" s="120"/>
      <c r="F40" s="118" t="s">
        <v>55</v>
      </c>
      <c r="G40" s="119"/>
      <c r="H40" s="114" t="s">
        <v>55</v>
      </c>
      <c r="I40" s="1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-1.7984665071302253E-5</v>
      </c>
      <c r="C42" s="48">
        <v>2.5819490227321257E-3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90" t="s">
        <v>81</v>
      </c>
      <c r="B43" s="47">
        <v>-1.4465867077464796E-3</v>
      </c>
      <c r="C43" s="48">
        <v>0.66073857015936655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0</v>
      </c>
      <c r="C47" s="48">
        <v>0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2.8364571372817782E-2</v>
      </c>
      <c r="C49" s="48">
        <v>0.33667948081790144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0</v>
      </c>
      <c r="C50" s="48">
        <v>0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0</v>
      </c>
      <c r="C53" s="48">
        <v>0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9" t="s">
        <v>19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20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28</v>
      </c>
      <c r="B61" s="50">
        <v>2.69E-2</v>
      </c>
      <c r="C61" s="51">
        <v>1</v>
      </c>
      <c r="D61" s="68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22</v>
      </c>
      <c r="B62" s="54">
        <v>292.85199999999998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23</v>
      </c>
      <c r="B64" s="57">
        <v>2.688482960260985E-2</v>
      </c>
      <c r="C64" s="48">
        <v>1</v>
      </c>
      <c r="D64" s="58">
        <v>0</v>
      </c>
      <c r="E64" s="49">
        <v>0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24</v>
      </c>
      <c r="B65" s="47">
        <v>1.5170397390150414E-5</v>
      </c>
      <c r="C65" s="48">
        <v>0</v>
      </c>
      <c r="D65" s="58">
        <v>0</v>
      </c>
      <c r="E65" s="49">
        <v>0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28</v>
      </c>
      <c r="B66" s="50">
        <v>2.69E-2</v>
      </c>
      <c r="C66" s="51">
        <v>1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25</v>
      </c>
      <c r="B68" s="57">
        <v>2.688482960260985E-2</v>
      </c>
      <c r="C68" s="48">
        <v>1</v>
      </c>
      <c r="D68" s="58">
        <v>0</v>
      </c>
      <c r="E68" s="49">
        <v>0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26</v>
      </c>
      <c r="B69" s="57">
        <v>1.5170397390150414E-5</v>
      </c>
      <c r="C69" s="48">
        <v>0</v>
      </c>
      <c r="D69" s="58">
        <v>0</v>
      </c>
      <c r="E69" s="49">
        <v>0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28</v>
      </c>
      <c r="B70" s="50">
        <v>2.69E-2</v>
      </c>
      <c r="C70" s="51">
        <v>1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מילי אפטר</cp:lastModifiedBy>
  <dcterms:created xsi:type="dcterms:W3CDTF">2021-05-20T11:25:09Z</dcterms:created>
  <dcterms:modified xsi:type="dcterms:W3CDTF">2024-05-07T09:52:06Z</dcterms:modified>
</cp:coreProperties>
</file>