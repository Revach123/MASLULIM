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6475A67C-93CC-497C-AFE3-3DB7269F0E5A}" xr6:coauthVersionLast="36" xr6:coauthVersionMax="36" xr10:uidLastSave="{00000000-0000-0000-0000-000000000000}"/>
  <bookViews>
    <workbookView xWindow="0" yWindow="0" windowWidth="18960" windowHeight="4815" tabRatio="907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calcPr calcId="191029" calcMode="manual" calcCompleted="0" calcOnSave="0" concurrentCalc="0"/>
</workbook>
</file>

<file path=xl/calcChain.xml><?xml version="1.0" encoding="utf-8"?>
<calcChain xmlns="http://schemas.openxmlformats.org/spreadsheetml/2006/main">
  <c r="I2" i="140" l="1"/>
  <c r="J166" i="140"/>
  <c r="P50" i="140"/>
  <c r="P52" i="140"/>
  <c r="Q54" i="140"/>
  <c r="Q55" i="140"/>
  <c r="Q56" i="140"/>
  <c r="Q57" i="140"/>
  <c r="Q58" i="140"/>
  <c r="Q59" i="140"/>
  <c r="Q60" i="140"/>
  <c r="Q61" i="140"/>
  <c r="Q62" i="140"/>
  <c r="Q63" i="140"/>
  <c r="Q64" i="140"/>
  <c r="Q65" i="140"/>
  <c r="Q66" i="140"/>
  <c r="Q67" i="140"/>
  <c r="Q68" i="140"/>
  <c r="Q69" i="140"/>
  <c r="Q70" i="140"/>
  <c r="Q71" i="140"/>
  <c r="Q53" i="140"/>
  <c r="I166" i="140"/>
  <c r="L50" i="140"/>
  <c r="L52" i="140"/>
  <c r="M54" i="140"/>
  <c r="M55" i="140"/>
  <c r="M56" i="140"/>
  <c r="M57" i="140"/>
  <c r="M58" i="140"/>
  <c r="M59" i="140"/>
  <c r="M60" i="140"/>
  <c r="M61" i="140"/>
  <c r="M62" i="140"/>
  <c r="M63" i="140"/>
  <c r="M64" i="140"/>
  <c r="M65" i="140"/>
  <c r="M66" i="140"/>
  <c r="M67" i="140"/>
  <c r="M68" i="140"/>
  <c r="M69" i="140"/>
  <c r="M70" i="140"/>
  <c r="M71" i="140"/>
  <c r="M53" i="140"/>
  <c r="F166" i="140"/>
  <c r="I72" i="140"/>
  <c r="D21" i="140"/>
  <c r="D40" i="140"/>
  <c r="D39" i="140"/>
  <c r="E21" i="140"/>
  <c r="H21" i="140"/>
  <c r="H40" i="140"/>
  <c r="H39" i="140"/>
  <c r="I21" i="140"/>
  <c r="L21" i="140"/>
  <c r="L40" i="140"/>
  <c r="L39" i="140"/>
  <c r="M21" i="140"/>
  <c r="P21" i="140"/>
  <c r="P40" i="140"/>
  <c r="P39" i="140"/>
  <c r="Q21" i="140"/>
  <c r="T21" i="140"/>
  <c r="T40" i="140"/>
  <c r="T39" i="140"/>
  <c r="U21" i="140"/>
  <c r="X21" i="140"/>
  <c r="X40" i="140"/>
  <c r="X39" i="140"/>
  <c r="Y21" i="140"/>
  <c r="H54" i="140"/>
  <c r="D22" i="140"/>
  <c r="E22" i="140"/>
  <c r="H22" i="140"/>
  <c r="I22" i="140"/>
  <c r="L22" i="140"/>
  <c r="M22" i="140"/>
  <c r="P22" i="140"/>
  <c r="Q22" i="140"/>
  <c r="T22" i="140"/>
  <c r="U22" i="140"/>
  <c r="X22" i="140"/>
  <c r="Y22" i="140"/>
  <c r="H55" i="140"/>
  <c r="D23" i="140"/>
  <c r="E23" i="140"/>
  <c r="H23" i="140"/>
  <c r="I23" i="140"/>
  <c r="L23" i="140"/>
  <c r="M23" i="140"/>
  <c r="P23" i="140"/>
  <c r="Q23" i="140"/>
  <c r="T23" i="140"/>
  <c r="U23" i="140"/>
  <c r="X23" i="140"/>
  <c r="Y23" i="140"/>
  <c r="H56" i="140"/>
  <c r="D24" i="140"/>
  <c r="E24" i="140"/>
  <c r="H24" i="140"/>
  <c r="I24" i="140"/>
  <c r="L24" i="140"/>
  <c r="M24" i="140"/>
  <c r="P24" i="140"/>
  <c r="Q24" i="140"/>
  <c r="T24" i="140"/>
  <c r="U24" i="140"/>
  <c r="X24" i="140"/>
  <c r="Y24" i="140"/>
  <c r="H57" i="140"/>
  <c r="D25" i="140"/>
  <c r="E25" i="140"/>
  <c r="H25" i="140"/>
  <c r="I25" i="140"/>
  <c r="L25" i="140"/>
  <c r="M25" i="140"/>
  <c r="P25" i="140"/>
  <c r="Q25" i="140"/>
  <c r="T25" i="140"/>
  <c r="U25" i="140"/>
  <c r="X25" i="140"/>
  <c r="Y25" i="140"/>
  <c r="H58" i="140"/>
  <c r="D26" i="140"/>
  <c r="E26" i="140"/>
  <c r="H26" i="140"/>
  <c r="I26" i="140"/>
  <c r="L26" i="140"/>
  <c r="M26" i="140"/>
  <c r="P26" i="140"/>
  <c r="Q26" i="140"/>
  <c r="T26" i="140"/>
  <c r="U26" i="140"/>
  <c r="X26" i="140"/>
  <c r="Y26" i="140"/>
  <c r="H59" i="140"/>
  <c r="D27" i="140"/>
  <c r="E27" i="140"/>
  <c r="H27" i="140"/>
  <c r="I27" i="140"/>
  <c r="L27" i="140"/>
  <c r="M27" i="140"/>
  <c r="P27" i="140"/>
  <c r="Q27" i="140"/>
  <c r="T27" i="140"/>
  <c r="U27" i="140"/>
  <c r="X27" i="140"/>
  <c r="Y27" i="140"/>
  <c r="H60" i="140"/>
  <c r="D28" i="140"/>
  <c r="E28" i="140"/>
  <c r="H28" i="140"/>
  <c r="I28" i="140"/>
  <c r="L28" i="140"/>
  <c r="M28" i="140"/>
  <c r="P28" i="140"/>
  <c r="Q28" i="140"/>
  <c r="T28" i="140"/>
  <c r="U28" i="140"/>
  <c r="X28" i="140"/>
  <c r="Y28" i="140"/>
  <c r="H61" i="140"/>
  <c r="D29" i="140"/>
  <c r="E29" i="140"/>
  <c r="H29" i="140"/>
  <c r="I29" i="140"/>
  <c r="L29" i="140"/>
  <c r="M29" i="140"/>
  <c r="P29" i="140"/>
  <c r="Q29" i="140"/>
  <c r="T29" i="140"/>
  <c r="U29" i="140"/>
  <c r="X29" i="140"/>
  <c r="Y29" i="140"/>
  <c r="H62" i="140"/>
  <c r="D30" i="140"/>
  <c r="E30" i="140"/>
  <c r="H30" i="140"/>
  <c r="I30" i="140"/>
  <c r="L30" i="140"/>
  <c r="M30" i="140"/>
  <c r="P30" i="140"/>
  <c r="Q30" i="140"/>
  <c r="T30" i="140"/>
  <c r="U30" i="140"/>
  <c r="X30" i="140"/>
  <c r="Y30" i="140"/>
  <c r="H63" i="140"/>
  <c r="D31" i="140"/>
  <c r="E31" i="140"/>
  <c r="H31" i="140"/>
  <c r="I31" i="140"/>
  <c r="L31" i="140"/>
  <c r="M31" i="140"/>
  <c r="P31" i="140"/>
  <c r="Q31" i="140"/>
  <c r="T31" i="140"/>
  <c r="U31" i="140"/>
  <c r="X31" i="140"/>
  <c r="Y31" i="140"/>
  <c r="H64" i="140"/>
  <c r="D32" i="140"/>
  <c r="E32" i="140"/>
  <c r="H32" i="140"/>
  <c r="I32" i="140"/>
  <c r="L32" i="140"/>
  <c r="M32" i="140"/>
  <c r="P32" i="140"/>
  <c r="Q32" i="140"/>
  <c r="T32" i="140"/>
  <c r="U32" i="140"/>
  <c r="X32" i="140"/>
  <c r="Y32" i="140"/>
  <c r="H65" i="140"/>
  <c r="D33" i="140"/>
  <c r="E33" i="140"/>
  <c r="H33" i="140"/>
  <c r="I33" i="140"/>
  <c r="L33" i="140"/>
  <c r="M33" i="140"/>
  <c r="P33" i="140"/>
  <c r="Q33" i="140"/>
  <c r="T33" i="140"/>
  <c r="U33" i="140"/>
  <c r="X33" i="140"/>
  <c r="Y33" i="140"/>
  <c r="H66" i="140"/>
  <c r="D34" i="140"/>
  <c r="E34" i="140"/>
  <c r="H34" i="140"/>
  <c r="I34" i="140"/>
  <c r="L34" i="140"/>
  <c r="M34" i="140"/>
  <c r="P34" i="140"/>
  <c r="Q34" i="140"/>
  <c r="T34" i="140"/>
  <c r="U34" i="140"/>
  <c r="X34" i="140"/>
  <c r="Y34" i="140"/>
  <c r="H67" i="140"/>
  <c r="D35" i="140"/>
  <c r="E35" i="140"/>
  <c r="H35" i="140"/>
  <c r="I35" i="140"/>
  <c r="L35" i="140"/>
  <c r="M35" i="140"/>
  <c r="P35" i="140"/>
  <c r="Q35" i="140"/>
  <c r="T35" i="140"/>
  <c r="U35" i="140"/>
  <c r="X35" i="140"/>
  <c r="Y35" i="140"/>
  <c r="H68" i="140"/>
  <c r="D36" i="140"/>
  <c r="E36" i="140"/>
  <c r="H36" i="140"/>
  <c r="I36" i="140"/>
  <c r="L36" i="140"/>
  <c r="M36" i="140"/>
  <c r="P36" i="140"/>
  <c r="Q36" i="140"/>
  <c r="T36" i="140"/>
  <c r="U36" i="140"/>
  <c r="X36" i="140"/>
  <c r="Y36" i="140"/>
  <c r="H69" i="140"/>
  <c r="D37" i="140"/>
  <c r="E37" i="140"/>
  <c r="H37" i="140"/>
  <c r="I37" i="140"/>
  <c r="L37" i="140"/>
  <c r="M37" i="140"/>
  <c r="P37" i="140"/>
  <c r="Q37" i="140"/>
  <c r="T37" i="140"/>
  <c r="U37" i="140"/>
  <c r="X37" i="140"/>
  <c r="Y37" i="140"/>
  <c r="H70" i="140"/>
  <c r="D38" i="140"/>
  <c r="E38" i="140"/>
  <c r="H38" i="140"/>
  <c r="I38" i="140"/>
  <c r="L38" i="140"/>
  <c r="M38" i="140"/>
  <c r="P38" i="140"/>
  <c r="Q38" i="140"/>
  <c r="T38" i="140"/>
  <c r="U38" i="140"/>
  <c r="X38" i="140"/>
  <c r="Y38" i="140"/>
  <c r="H71" i="140"/>
  <c r="H50" i="140"/>
  <c r="E39" i="140"/>
  <c r="E20" i="140"/>
  <c r="I39" i="140"/>
  <c r="I20" i="140"/>
  <c r="M39" i="140"/>
  <c r="M20" i="140"/>
  <c r="Q39" i="140"/>
  <c r="Q20" i="140"/>
  <c r="U39" i="140"/>
  <c r="U20" i="140"/>
  <c r="Y39" i="140"/>
  <c r="Y20" i="140"/>
  <c r="H53" i="140"/>
  <c r="H51" i="140"/>
  <c r="H52" i="140"/>
  <c r="F21" i="140"/>
  <c r="J21" i="140"/>
  <c r="N21" i="140"/>
  <c r="R21" i="140"/>
  <c r="V21" i="140"/>
  <c r="Z21" i="140"/>
  <c r="J54" i="140"/>
  <c r="F20" i="140"/>
  <c r="J20" i="140"/>
  <c r="N20" i="140"/>
  <c r="R20" i="140"/>
  <c r="V20" i="140"/>
  <c r="Z20" i="140"/>
  <c r="J53" i="140"/>
  <c r="F22" i="140"/>
  <c r="J22" i="140"/>
  <c r="N22" i="140"/>
  <c r="R22" i="140"/>
  <c r="V22" i="140"/>
  <c r="Z22" i="140"/>
  <c r="J55" i="140"/>
  <c r="F23" i="140"/>
  <c r="J23" i="140"/>
  <c r="N23" i="140"/>
  <c r="R23" i="140"/>
  <c r="V23" i="140"/>
  <c r="Z23" i="140"/>
  <c r="J56" i="140"/>
  <c r="F24" i="140"/>
  <c r="J24" i="140"/>
  <c r="N24" i="140"/>
  <c r="R24" i="140"/>
  <c r="V24" i="140"/>
  <c r="Z24" i="140"/>
  <c r="J57" i="140"/>
  <c r="F25" i="140"/>
  <c r="J25" i="140"/>
  <c r="N25" i="140"/>
  <c r="R25" i="140"/>
  <c r="V25" i="140"/>
  <c r="Z25" i="140"/>
  <c r="J58" i="140"/>
  <c r="F26" i="140"/>
  <c r="J26" i="140"/>
  <c r="N26" i="140"/>
  <c r="R26" i="140"/>
  <c r="V26" i="140"/>
  <c r="Z26" i="140"/>
  <c r="J59" i="140"/>
  <c r="F27" i="140"/>
  <c r="J27" i="140"/>
  <c r="N27" i="140"/>
  <c r="R27" i="140"/>
  <c r="V27" i="140"/>
  <c r="Z27" i="140"/>
  <c r="J60" i="140"/>
  <c r="F28" i="140"/>
  <c r="J28" i="140"/>
  <c r="N28" i="140"/>
  <c r="R28" i="140"/>
  <c r="V28" i="140"/>
  <c r="Z28" i="140"/>
  <c r="J61" i="140"/>
  <c r="F29" i="140"/>
  <c r="J29" i="140"/>
  <c r="N29" i="140"/>
  <c r="R29" i="140"/>
  <c r="V29" i="140"/>
  <c r="Z29" i="140"/>
  <c r="J62" i="140"/>
  <c r="F30" i="140"/>
  <c r="J30" i="140"/>
  <c r="N30" i="140"/>
  <c r="R30" i="140"/>
  <c r="V30" i="140"/>
  <c r="Z30" i="140"/>
  <c r="J63" i="140"/>
  <c r="F31" i="140"/>
  <c r="J31" i="140"/>
  <c r="N31" i="140"/>
  <c r="R31" i="140"/>
  <c r="V31" i="140"/>
  <c r="Z31" i="140"/>
  <c r="J64" i="140"/>
  <c r="F32" i="140"/>
  <c r="J32" i="140"/>
  <c r="N32" i="140"/>
  <c r="R32" i="140"/>
  <c r="V32" i="140"/>
  <c r="Z32" i="140"/>
  <c r="J65" i="140"/>
  <c r="F33" i="140"/>
  <c r="J33" i="140"/>
  <c r="N33" i="140"/>
  <c r="R33" i="140"/>
  <c r="V33" i="140"/>
  <c r="Z33" i="140"/>
  <c r="J66" i="140"/>
  <c r="F34" i="140"/>
  <c r="J34" i="140"/>
  <c r="N34" i="140"/>
  <c r="R34" i="140"/>
  <c r="V34" i="140"/>
  <c r="Z34" i="140"/>
  <c r="J67" i="140"/>
  <c r="F35" i="140"/>
  <c r="J35" i="140"/>
  <c r="N35" i="140"/>
  <c r="R35" i="140"/>
  <c r="V35" i="140"/>
  <c r="Z35" i="140"/>
  <c r="J68" i="140"/>
  <c r="F36" i="140"/>
  <c r="J36" i="140"/>
  <c r="N36" i="140"/>
  <c r="R36" i="140"/>
  <c r="V36" i="140"/>
  <c r="Z36" i="140"/>
  <c r="J69" i="140"/>
  <c r="F37" i="140"/>
  <c r="J37" i="140"/>
  <c r="N37" i="140"/>
  <c r="R37" i="140"/>
  <c r="V37" i="140"/>
  <c r="Z37" i="140"/>
  <c r="J70" i="140"/>
  <c r="F38" i="140"/>
  <c r="J38" i="140"/>
  <c r="N38" i="140"/>
  <c r="R38" i="140"/>
  <c r="V38" i="140"/>
  <c r="Z38" i="140"/>
  <c r="J71" i="140"/>
  <c r="J72" i="140"/>
  <c r="I54" i="140"/>
  <c r="I55" i="140"/>
  <c r="I56" i="140"/>
  <c r="I57" i="140"/>
  <c r="I58" i="140"/>
  <c r="I59" i="140"/>
  <c r="I60" i="140"/>
  <c r="I61" i="140"/>
  <c r="I62" i="140"/>
  <c r="I63" i="140"/>
  <c r="I64" i="140"/>
  <c r="I65" i="140"/>
  <c r="I66" i="140"/>
  <c r="I67" i="140"/>
  <c r="I68" i="140"/>
  <c r="I69" i="140"/>
  <c r="I70" i="140"/>
  <c r="I71" i="140"/>
  <c r="I53" i="140"/>
  <c r="P43" i="140"/>
  <c r="Q43" i="140"/>
  <c r="E40" i="140"/>
  <c r="I40" i="140"/>
  <c r="M40" i="140"/>
  <c r="E158" i="140"/>
  <c r="E73" i="140"/>
  <c r="E159" i="140"/>
  <c r="E160" i="140"/>
  <c r="Q40" i="140"/>
  <c r="U40" i="140"/>
  <c r="Y40" i="140"/>
  <c r="F158" i="140"/>
  <c r="I73" i="140"/>
  <c r="F159" i="140"/>
  <c r="F160" i="140"/>
  <c r="E163" i="140"/>
  <c r="E166" i="140"/>
  <c r="D42" i="140"/>
  <c r="D19" i="140"/>
  <c r="E19" i="140"/>
  <c r="E42" i="140"/>
  <c r="D43" i="140"/>
  <c r="E43" i="140"/>
  <c r="E44" i="140"/>
  <c r="H42" i="140"/>
  <c r="H19" i="140"/>
  <c r="I19" i="140"/>
  <c r="I42" i="140"/>
  <c r="H43" i="140"/>
  <c r="I43" i="140"/>
  <c r="I44" i="140"/>
  <c r="L42" i="140"/>
  <c r="L19" i="140"/>
  <c r="M19" i="140"/>
  <c r="M42" i="140"/>
  <c r="L43" i="140"/>
  <c r="M43" i="140"/>
  <c r="M44" i="140"/>
  <c r="E164" i="140"/>
  <c r="D46" i="140"/>
  <c r="E46" i="140"/>
  <c r="D47" i="140"/>
  <c r="E47" i="140"/>
  <c r="E48" i="140"/>
  <c r="H46" i="140"/>
  <c r="I46" i="140"/>
  <c r="H47" i="140"/>
  <c r="I47" i="140"/>
  <c r="I48" i="140"/>
  <c r="L46" i="140"/>
  <c r="M46" i="140"/>
  <c r="L47" i="140"/>
  <c r="M47" i="140"/>
  <c r="M48" i="140"/>
  <c r="E165" i="140"/>
  <c r="E167" i="140"/>
  <c r="F163" i="140"/>
  <c r="P42" i="140"/>
  <c r="P19" i="140"/>
  <c r="Q19" i="140"/>
  <c r="Q42" i="140"/>
  <c r="Q44" i="140"/>
  <c r="T42" i="140"/>
  <c r="T19" i="140"/>
  <c r="U19" i="140"/>
  <c r="U42" i="140"/>
  <c r="T43" i="140"/>
  <c r="U43" i="140"/>
  <c r="U44" i="140"/>
  <c r="X42" i="140"/>
  <c r="X19" i="140"/>
  <c r="Y19" i="140"/>
  <c r="Y42" i="140"/>
  <c r="X43" i="140"/>
  <c r="Y43" i="140"/>
  <c r="Y44" i="140"/>
  <c r="F164" i="140"/>
  <c r="P46" i="140"/>
  <c r="Q46" i="140"/>
  <c r="P47" i="140"/>
  <c r="Q47" i="140"/>
  <c r="Q48" i="140"/>
  <c r="T46" i="140"/>
  <c r="U46" i="140"/>
  <c r="T47" i="140"/>
  <c r="U47" i="140"/>
  <c r="U48" i="140"/>
  <c r="X46" i="140"/>
  <c r="Y46" i="140"/>
  <c r="X47" i="140"/>
  <c r="Y47" i="140"/>
  <c r="Y48" i="140"/>
  <c r="F165" i="140"/>
  <c r="F167" i="140"/>
  <c r="E170" i="140"/>
  <c r="E72" i="140"/>
  <c r="E171" i="140"/>
  <c r="E172" i="140"/>
  <c r="F170" i="140"/>
  <c r="F171" i="140"/>
  <c r="F172" i="140"/>
  <c r="E175" i="140"/>
  <c r="E77" i="140"/>
  <c r="E75" i="140"/>
  <c r="E76" i="140"/>
  <c r="E176" i="140"/>
  <c r="E177" i="140"/>
  <c r="E178" i="140"/>
  <c r="F175" i="140"/>
  <c r="I77" i="140"/>
  <c r="I75" i="140"/>
  <c r="I76" i="140"/>
  <c r="F176" i="140"/>
  <c r="F177" i="140"/>
  <c r="F178" i="140"/>
  <c r="E181" i="140"/>
  <c r="E81" i="140"/>
  <c r="E79" i="140"/>
  <c r="E80" i="140"/>
  <c r="E182" i="140"/>
  <c r="E183" i="140"/>
  <c r="E184" i="140"/>
  <c r="F181" i="140"/>
  <c r="I81" i="140"/>
  <c r="I79" i="140"/>
  <c r="I80" i="140"/>
  <c r="F182" i="140"/>
  <c r="F183" i="140"/>
  <c r="F184" i="140"/>
  <c r="E187" i="140"/>
  <c r="E188" i="140"/>
  <c r="E189" i="140"/>
  <c r="E190" i="140"/>
  <c r="F187" i="140"/>
  <c r="F188" i="140"/>
  <c r="F189" i="140"/>
  <c r="F190" i="140"/>
  <c r="D20" i="140"/>
  <c r="H20" i="140"/>
  <c r="L20" i="140"/>
  <c r="E194" i="140"/>
  <c r="C40" i="140"/>
  <c r="G40" i="140"/>
  <c r="K40" i="140"/>
  <c r="E193" i="140"/>
  <c r="E195" i="140"/>
  <c r="P20" i="140"/>
  <c r="T20" i="140"/>
  <c r="X20" i="140"/>
  <c r="F194" i="140"/>
  <c r="O40" i="140"/>
  <c r="S40" i="140"/>
  <c r="W40" i="140"/>
  <c r="F193" i="140"/>
  <c r="F195" i="140"/>
  <c r="E199" i="140"/>
  <c r="E198" i="140"/>
  <c r="E200" i="140"/>
  <c r="F199" i="140"/>
  <c r="F198" i="140"/>
  <c r="F200" i="140"/>
  <c r="D54" i="140"/>
  <c r="D55" i="140"/>
  <c r="D56" i="140"/>
  <c r="D57" i="140"/>
  <c r="D58" i="140"/>
  <c r="D59" i="140"/>
  <c r="D60" i="140"/>
  <c r="D61" i="140"/>
  <c r="D62" i="140"/>
  <c r="D63" i="140"/>
  <c r="D64" i="140"/>
  <c r="D65" i="140"/>
  <c r="D66" i="140"/>
  <c r="D67" i="140"/>
  <c r="D68" i="140"/>
  <c r="D69" i="140"/>
  <c r="D70" i="140"/>
  <c r="D71" i="140"/>
  <c r="D50" i="140"/>
  <c r="D53" i="140"/>
  <c r="D51" i="140"/>
  <c r="D52" i="140"/>
  <c r="F54" i="140"/>
  <c r="F53" i="140"/>
  <c r="F55" i="140"/>
  <c r="F56" i="140"/>
  <c r="F57" i="140"/>
  <c r="F58" i="140"/>
  <c r="F59" i="140"/>
  <c r="F60" i="140"/>
  <c r="F61" i="140"/>
  <c r="F62" i="140"/>
  <c r="F63" i="140"/>
  <c r="F64" i="140"/>
  <c r="F65" i="140"/>
  <c r="F66" i="140"/>
  <c r="F67" i="140"/>
  <c r="F68" i="140"/>
  <c r="F69" i="140"/>
  <c r="F70" i="140"/>
  <c r="F71" i="140"/>
  <c r="F72" i="140"/>
  <c r="E54" i="140"/>
  <c r="E55" i="140"/>
  <c r="E56" i="140"/>
  <c r="E57" i="140"/>
  <c r="E58" i="140"/>
  <c r="E59" i="140"/>
  <c r="E60" i="140"/>
  <c r="E61" i="140"/>
  <c r="E62" i="140"/>
  <c r="E63" i="140"/>
  <c r="E64" i="140"/>
  <c r="E65" i="140"/>
  <c r="E66" i="140"/>
  <c r="E67" i="140"/>
  <c r="E68" i="140"/>
  <c r="E69" i="140"/>
  <c r="E70" i="140"/>
  <c r="E71" i="140"/>
  <c r="E53" i="140"/>
  <c r="E203" i="140"/>
  <c r="E204" i="140"/>
  <c r="F203" i="140"/>
  <c r="F204" i="140"/>
  <c r="E207" i="140"/>
  <c r="E208" i="140"/>
  <c r="E209" i="140"/>
  <c r="F207" i="140"/>
  <c r="F208" i="140"/>
  <c r="F209" i="140"/>
  <c r="F46" i="140"/>
  <c r="J46" i="140"/>
  <c r="N46" i="140"/>
  <c r="R46" i="140"/>
  <c r="V46" i="140"/>
  <c r="Z46" i="140"/>
  <c r="AD46" i="140"/>
  <c r="AH46" i="140"/>
  <c r="AL46" i="140"/>
  <c r="AP46" i="140"/>
  <c r="AT46" i="140"/>
  <c r="AX46" i="140"/>
  <c r="R79" i="140"/>
  <c r="F47" i="140"/>
  <c r="J47" i="140"/>
  <c r="N47" i="140"/>
  <c r="R47" i="140"/>
  <c r="V47" i="140"/>
  <c r="Z47" i="140"/>
  <c r="AD47" i="140"/>
  <c r="AH47" i="140"/>
  <c r="AL47" i="140"/>
  <c r="AP47" i="140"/>
  <c r="AT47" i="140"/>
  <c r="AX47" i="140"/>
  <c r="R80" i="140"/>
  <c r="R81" i="140"/>
  <c r="Q72" i="140"/>
  <c r="Q81" i="140"/>
  <c r="N79" i="140"/>
  <c r="N80" i="140"/>
  <c r="N81" i="140"/>
  <c r="M72" i="140"/>
  <c r="M81" i="140"/>
  <c r="J79" i="140"/>
  <c r="J80" i="140"/>
  <c r="J81" i="140"/>
  <c r="F79" i="140"/>
  <c r="F80" i="140"/>
  <c r="F81" i="140"/>
  <c r="AB46" i="140"/>
  <c r="AB40" i="140"/>
  <c r="AB39" i="140"/>
  <c r="AB19" i="140"/>
  <c r="AC19" i="140"/>
  <c r="AC39" i="140"/>
  <c r="AB21" i="140"/>
  <c r="AC21" i="140"/>
  <c r="AB22" i="140"/>
  <c r="AC22" i="140"/>
  <c r="AB23" i="140"/>
  <c r="AC23" i="140"/>
  <c r="AB24" i="140"/>
  <c r="AC24" i="140"/>
  <c r="AB25" i="140"/>
  <c r="AC25" i="140"/>
  <c r="AB26" i="140"/>
  <c r="AC26" i="140"/>
  <c r="AB27" i="140"/>
  <c r="AC27" i="140"/>
  <c r="AB28" i="140"/>
  <c r="AC28" i="140"/>
  <c r="AB29" i="140"/>
  <c r="AC29" i="140"/>
  <c r="AB30" i="140"/>
  <c r="AC30" i="140"/>
  <c r="AB31" i="140"/>
  <c r="AC31" i="140"/>
  <c r="AB32" i="140"/>
  <c r="AC32" i="140"/>
  <c r="AB33" i="140"/>
  <c r="AC33" i="140"/>
  <c r="AB34" i="140"/>
  <c r="AC34" i="140"/>
  <c r="AB35" i="140"/>
  <c r="AC35" i="140"/>
  <c r="AB36" i="140"/>
  <c r="AC36" i="140"/>
  <c r="AB37" i="140"/>
  <c r="AC37" i="140"/>
  <c r="AB38" i="140"/>
  <c r="AC38" i="140"/>
  <c r="AC20" i="140"/>
  <c r="AC46" i="140"/>
  <c r="AF46" i="140"/>
  <c r="AF40" i="140"/>
  <c r="AF39" i="140"/>
  <c r="AF19" i="140"/>
  <c r="AG19" i="140"/>
  <c r="AG39" i="140"/>
  <c r="AF21" i="140"/>
  <c r="AG21" i="140"/>
  <c r="AF22" i="140"/>
  <c r="AG22" i="140"/>
  <c r="AF23" i="140"/>
  <c r="AG23" i="140"/>
  <c r="AF24" i="140"/>
  <c r="AG24" i="140"/>
  <c r="AF25" i="140"/>
  <c r="AG25" i="140"/>
  <c r="AF26" i="140"/>
  <c r="AG26" i="140"/>
  <c r="AF27" i="140"/>
  <c r="AG27" i="140"/>
  <c r="AF28" i="140"/>
  <c r="AG28" i="140"/>
  <c r="AF29" i="140"/>
  <c r="AG29" i="140"/>
  <c r="AF30" i="140"/>
  <c r="AG30" i="140"/>
  <c r="AF31" i="140"/>
  <c r="AG31" i="140"/>
  <c r="AF32" i="140"/>
  <c r="AG32" i="140"/>
  <c r="AF33" i="140"/>
  <c r="AG33" i="140"/>
  <c r="AF34" i="140"/>
  <c r="AG34" i="140"/>
  <c r="AF35" i="140"/>
  <c r="AG35" i="140"/>
  <c r="AF36" i="140"/>
  <c r="AG36" i="140"/>
  <c r="AF37" i="140"/>
  <c r="AG37" i="140"/>
  <c r="AF38" i="140"/>
  <c r="AG38" i="140"/>
  <c r="AG20" i="140"/>
  <c r="AG46" i="140"/>
  <c r="AJ46" i="140"/>
  <c r="AJ40" i="140"/>
  <c r="AJ39" i="140"/>
  <c r="AJ19" i="140"/>
  <c r="AK19" i="140"/>
  <c r="AK39" i="140"/>
  <c r="AJ21" i="140"/>
  <c r="AK21" i="140"/>
  <c r="AJ22" i="140"/>
  <c r="AK22" i="140"/>
  <c r="AJ23" i="140"/>
  <c r="AK23" i="140"/>
  <c r="AJ24" i="140"/>
  <c r="AK24" i="140"/>
  <c r="AJ25" i="140"/>
  <c r="AK25" i="140"/>
  <c r="AJ26" i="140"/>
  <c r="AK26" i="140"/>
  <c r="AJ27" i="140"/>
  <c r="AK27" i="140"/>
  <c r="AJ28" i="140"/>
  <c r="AK28" i="140"/>
  <c r="AJ29" i="140"/>
  <c r="AK29" i="140"/>
  <c r="AJ30" i="140"/>
  <c r="AK30" i="140"/>
  <c r="AJ31" i="140"/>
  <c r="AK31" i="140"/>
  <c r="AJ32" i="140"/>
  <c r="AK32" i="140"/>
  <c r="AJ33" i="140"/>
  <c r="AK33" i="140"/>
  <c r="AJ34" i="140"/>
  <c r="AK34" i="140"/>
  <c r="AJ35" i="140"/>
  <c r="AK35" i="140"/>
  <c r="AJ36" i="140"/>
  <c r="AK36" i="140"/>
  <c r="AJ37" i="140"/>
  <c r="AK37" i="140"/>
  <c r="AJ38" i="140"/>
  <c r="AK38" i="140"/>
  <c r="AK20" i="140"/>
  <c r="AK46" i="140"/>
  <c r="AN46" i="140"/>
  <c r="AN40" i="140"/>
  <c r="AN39" i="140"/>
  <c r="AN19" i="140"/>
  <c r="AO19" i="140"/>
  <c r="AO39" i="140"/>
  <c r="AN21" i="140"/>
  <c r="AO21" i="140"/>
  <c r="AN22" i="140"/>
  <c r="AO22" i="140"/>
  <c r="AN23" i="140"/>
  <c r="AO23" i="140"/>
  <c r="AN24" i="140"/>
  <c r="AO24" i="140"/>
  <c r="AN25" i="140"/>
  <c r="AO25" i="140"/>
  <c r="AN26" i="140"/>
  <c r="AO26" i="140"/>
  <c r="AN27" i="140"/>
  <c r="AO27" i="140"/>
  <c r="AN28" i="140"/>
  <c r="AO28" i="140"/>
  <c r="AN29" i="140"/>
  <c r="AO29" i="140"/>
  <c r="AN30" i="140"/>
  <c r="AO30" i="140"/>
  <c r="AN31" i="140"/>
  <c r="AO31" i="140"/>
  <c r="AN32" i="140"/>
  <c r="AO32" i="140"/>
  <c r="AN33" i="140"/>
  <c r="AO33" i="140"/>
  <c r="AN34" i="140"/>
  <c r="AO34" i="140"/>
  <c r="AN35" i="140"/>
  <c r="AO35" i="140"/>
  <c r="AN36" i="140"/>
  <c r="AO36" i="140"/>
  <c r="AN37" i="140"/>
  <c r="AO37" i="140"/>
  <c r="AN38" i="140"/>
  <c r="AO38" i="140"/>
  <c r="AO20" i="140"/>
  <c r="AO46" i="140"/>
  <c r="AR46" i="140"/>
  <c r="AR40" i="140"/>
  <c r="AR39" i="140"/>
  <c r="AR19" i="140"/>
  <c r="AS19" i="140"/>
  <c r="AS39" i="140"/>
  <c r="AR21" i="140"/>
  <c r="AS21" i="140"/>
  <c r="AR22" i="140"/>
  <c r="AS22" i="140"/>
  <c r="AR23" i="140"/>
  <c r="AS23" i="140"/>
  <c r="AR24" i="140"/>
  <c r="AS24" i="140"/>
  <c r="AR25" i="140"/>
  <c r="AS25" i="140"/>
  <c r="AR26" i="140"/>
  <c r="AS26" i="140"/>
  <c r="AR27" i="140"/>
  <c r="AS27" i="140"/>
  <c r="AR28" i="140"/>
  <c r="AS28" i="140"/>
  <c r="AR29" i="140"/>
  <c r="AS29" i="140"/>
  <c r="AR30" i="140"/>
  <c r="AS30" i="140"/>
  <c r="AR31" i="140"/>
  <c r="AS31" i="140"/>
  <c r="AR32" i="140"/>
  <c r="AS32" i="140"/>
  <c r="AR33" i="140"/>
  <c r="AS33" i="140"/>
  <c r="AR34" i="140"/>
  <c r="AS34" i="140"/>
  <c r="AR35" i="140"/>
  <c r="AS35" i="140"/>
  <c r="AR36" i="140"/>
  <c r="AS36" i="140"/>
  <c r="AR37" i="140"/>
  <c r="AS37" i="140"/>
  <c r="AR38" i="140"/>
  <c r="AS38" i="140"/>
  <c r="AS20" i="140"/>
  <c r="AS46" i="140"/>
  <c r="AV46" i="140"/>
  <c r="AV40" i="140"/>
  <c r="AV39" i="140"/>
  <c r="AV19" i="140"/>
  <c r="AW19" i="140"/>
  <c r="AW39" i="140"/>
  <c r="AV21" i="140"/>
  <c r="AW21" i="140"/>
  <c r="AV22" i="140"/>
  <c r="AW22" i="140"/>
  <c r="AV23" i="140"/>
  <c r="AW23" i="140"/>
  <c r="AV24" i="140"/>
  <c r="AW24" i="140"/>
  <c r="AV25" i="140"/>
  <c r="AW25" i="140"/>
  <c r="AV26" i="140"/>
  <c r="AW26" i="140"/>
  <c r="AV27" i="140"/>
  <c r="AW27" i="140"/>
  <c r="AV28" i="140"/>
  <c r="AW28" i="140"/>
  <c r="AV29" i="140"/>
  <c r="AW29" i="140"/>
  <c r="AV30" i="140"/>
  <c r="AW30" i="140"/>
  <c r="AV31" i="140"/>
  <c r="AW31" i="140"/>
  <c r="AV32" i="140"/>
  <c r="AW32" i="140"/>
  <c r="AV33" i="140"/>
  <c r="AW33" i="140"/>
  <c r="AV34" i="140"/>
  <c r="AW34" i="140"/>
  <c r="AV35" i="140"/>
  <c r="AW35" i="140"/>
  <c r="AV36" i="140"/>
  <c r="AW36" i="140"/>
  <c r="AV37" i="140"/>
  <c r="AW37" i="140"/>
  <c r="AV38" i="140"/>
  <c r="AW38" i="140"/>
  <c r="AW20" i="140"/>
  <c r="AW46" i="140"/>
  <c r="Q79" i="140"/>
  <c r="Q80" i="140"/>
  <c r="M79" i="140"/>
  <c r="M80" i="140"/>
  <c r="F42" i="140"/>
  <c r="J42" i="140"/>
  <c r="N42" i="140"/>
  <c r="R42" i="140"/>
  <c r="V42" i="140"/>
  <c r="Z42" i="140"/>
  <c r="AD42" i="140"/>
  <c r="AH42" i="140"/>
  <c r="AL42" i="140"/>
  <c r="AP42" i="140"/>
  <c r="AT42" i="140"/>
  <c r="AX42" i="140"/>
  <c r="R75" i="140"/>
  <c r="F43" i="140"/>
  <c r="J43" i="140"/>
  <c r="N43" i="140"/>
  <c r="R43" i="140"/>
  <c r="V43" i="140"/>
  <c r="Z43" i="140"/>
  <c r="AD43" i="140"/>
  <c r="AH43" i="140"/>
  <c r="AL43" i="140"/>
  <c r="AP43" i="140"/>
  <c r="AT43" i="140"/>
  <c r="AX43" i="140"/>
  <c r="R76" i="140"/>
  <c r="R77" i="140"/>
  <c r="Q77" i="140"/>
  <c r="N75" i="140"/>
  <c r="N76" i="140"/>
  <c r="N77" i="140"/>
  <c r="M77" i="140"/>
  <c r="J75" i="140"/>
  <c r="J76" i="140"/>
  <c r="J77" i="140"/>
  <c r="F75" i="140"/>
  <c r="F76" i="140"/>
  <c r="F77" i="140"/>
  <c r="AB42" i="140"/>
  <c r="AC42" i="140"/>
  <c r="AF42" i="140"/>
  <c r="AG42" i="140"/>
  <c r="AJ42" i="140"/>
  <c r="AK42" i="140"/>
  <c r="AN42" i="140"/>
  <c r="AO42" i="140"/>
  <c r="AR42" i="140"/>
  <c r="AS42" i="140"/>
  <c r="AV42" i="140"/>
  <c r="AW42" i="140"/>
  <c r="Q75" i="140"/>
  <c r="Q76" i="140"/>
  <c r="M75" i="140"/>
  <c r="M76" i="140"/>
  <c r="AC40" i="140"/>
  <c r="AG40" i="140"/>
  <c r="AK40" i="140"/>
  <c r="AO40" i="140"/>
  <c r="AS40" i="140"/>
  <c r="AW40" i="140"/>
  <c r="Q73" i="140"/>
  <c r="M73" i="140"/>
  <c r="AD20" i="140"/>
  <c r="AH20" i="140"/>
  <c r="AL20" i="140"/>
  <c r="AP20" i="140"/>
  <c r="AT20" i="140"/>
  <c r="AX20" i="140"/>
  <c r="R53" i="140"/>
  <c r="AD21" i="140"/>
  <c r="AH21" i="140"/>
  <c r="AL21" i="140"/>
  <c r="AP21" i="140"/>
  <c r="AT21" i="140"/>
  <c r="AX21" i="140"/>
  <c r="R54" i="140"/>
  <c r="AD22" i="140"/>
  <c r="AH22" i="140"/>
  <c r="AL22" i="140"/>
  <c r="AP22" i="140"/>
  <c r="AT22" i="140"/>
  <c r="AX22" i="140"/>
  <c r="R55" i="140"/>
  <c r="AD23" i="140"/>
  <c r="AH23" i="140"/>
  <c r="AL23" i="140"/>
  <c r="AP23" i="140"/>
  <c r="AT23" i="140"/>
  <c r="AX23" i="140"/>
  <c r="R56" i="140"/>
  <c r="AD24" i="140"/>
  <c r="AH24" i="140"/>
  <c r="AL24" i="140"/>
  <c r="AP24" i="140"/>
  <c r="AT24" i="140"/>
  <c r="AX24" i="140"/>
  <c r="R57" i="140"/>
  <c r="AD25" i="140"/>
  <c r="AH25" i="140"/>
  <c r="AL25" i="140"/>
  <c r="AP25" i="140"/>
  <c r="AT25" i="140"/>
  <c r="AX25" i="140"/>
  <c r="R58" i="140"/>
  <c r="AD26" i="140"/>
  <c r="AH26" i="140"/>
  <c r="AL26" i="140"/>
  <c r="AP26" i="140"/>
  <c r="AT26" i="140"/>
  <c r="AX26" i="140"/>
  <c r="R59" i="140"/>
  <c r="AD27" i="140"/>
  <c r="AH27" i="140"/>
  <c r="AL27" i="140"/>
  <c r="AP27" i="140"/>
  <c r="AT27" i="140"/>
  <c r="AX27" i="140"/>
  <c r="R60" i="140"/>
  <c r="AD28" i="140"/>
  <c r="AH28" i="140"/>
  <c r="AL28" i="140"/>
  <c r="AP28" i="140"/>
  <c r="AT28" i="140"/>
  <c r="AX28" i="140"/>
  <c r="R61" i="140"/>
  <c r="AD29" i="140"/>
  <c r="AH29" i="140"/>
  <c r="AL29" i="140"/>
  <c r="AP29" i="140"/>
  <c r="AT29" i="140"/>
  <c r="AX29" i="140"/>
  <c r="R62" i="140"/>
  <c r="AD30" i="140"/>
  <c r="AH30" i="140"/>
  <c r="AL30" i="140"/>
  <c r="AP30" i="140"/>
  <c r="AT30" i="140"/>
  <c r="AX30" i="140"/>
  <c r="R63" i="140"/>
  <c r="AD31" i="140"/>
  <c r="AH31" i="140"/>
  <c r="AL31" i="140"/>
  <c r="AP31" i="140"/>
  <c r="AT31" i="140"/>
  <c r="AX31" i="140"/>
  <c r="R64" i="140"/>
  <c r="AD32" i="140"/>
  <c r="AH32" i="140"/>
  <c r="AL32" i="140"/>
  <c r="AP32" i="140"/>
  <c r="AT32" i="140"/>
  <c r="AX32" i="140"/>
  <c r="R65" i="140"/>
  <c r="AD33" i="140"/>
  <c r="AH33" i="140"/>
  <c r="AL33" i="140"/>
  <c r="AP33" i="140"/>
  <c r="AT33" i="140"/>
  <c r="AX33" i="140"/>
  <c r="R66" i="140"/>
  <c r="AD34" i="140"/>
  <c r="AH34" i="140"/>
  <c r="AL34" i="140"/>
  <c r="AP34" i="140"/>
  <c r="AT34" i="140"/>
  <c r="AX34" i="140"/>
  <c r="R67" i="140"/>
  <c r="AD35" i="140"/>
  <c r="AH35" i="140"/>
  <c r="AL35" i="140"/>
  <c r="AP35" i="140"/>
  <c r="AT35" i="140"/>
  <c r="AX35" i="140"/>
  <c r="R68" i="140"/>
  <c r="AD36" i="140"/>
  <c r="AH36" i="140"/>
  <c r="AL36" i="140"/>
  <c r="AP36" i="140"/>
  <c r="AT36" i="140"/>
  <c r="AX36" i="140"/>
  <c r="R69" i="140"/>
  <c r="AD37" i="140"/>
  <c r="AH37" i="140"/>
  <c r="AL37" i="140"/>
  <c r="AP37" i="140"/>
  <c r="AT37" i="140"/>
  <c r="AX37" i="140"/>
  <c r="R70" i="140"/>
  <c r="AD38" i="140"/>
  <c r="AH38" i="140"/>
  <c r="AL38" i="140"/>
  <c r="AP38" i="140"/>
  <c r="AT38" i="140"/>
  <c r="AX38" i="140"/>
  <c r="R71" i="140"/>
  <c r="R72" i="140"/>
  <c r="P53" i="140"/>
  <c r="P54" i="140"/>
  <c r="P55" i="140"/>
  <c r="P56" i="140"/>
  <c r="P57" i="140"/>
  <c r="P58" i="140"/>
  <c r="P59" i="140"/>
  <c r="P60" i="140"/>
  <c r="P61" i="140"/>
  <c r="P62" i="140"/>
  <c r="P63" i="140"/>
  <c r="P64" i="140"/>
  <c r="P65" i="140"/>
  <c r="P66" i="140"/>
  <c r="P67" i="140"/>
  <c r="P68" i="140"/>
  <c r="P69" i="140"/>
  <c r="P70" i="140"/>
  <c r="P71" i="140"/>
  <c r="P72" i="140"/>
  <c r="N53" i="140"/>
  <c r="N54" i="140"/>
  <c r="N55" i="140"/>
  <c r="N56" i="140"/>
  <c r="N57" i="140"/>
  <c r="N58" i="140"/>
  <c r="N59" i="140"/>
  <c r="N60" i="140"/>
  <c r="N61" i="140"/>
  <c r="N62" i="140"/>
  <c r="N63" i="140"/>
  <c r="N64" i="140"/>
  <c r="N65" i="140"/>
  <c r="N66" i="140"/>
  <c r="N67" i="140"/>
  <c r="N68" i="140"/>
  <c r="N69" i="140"/>
  <c r="N70" i="140"/>
  <c r="N71" i="140"/>
  <c r="N72" i="140"/>
  <c r="L53" i="140"/>
  <c r="L54" i="140"/>
  <c r="L55" i="140"/>
  <c r="L56" i="140"/>
  <c r="L57" i="140"/>
  <c r="L58" i="140"/>
  <c r="L59" i="140"/>
  <c r="L60" i="140"/>
  <c r="L61" i="140"/>
  <c r="L62" i="140"/>
  <c r="L63" i="140"/>
  <c r="L64" i="140"/>
  <c r="L65" i="140"/>
  <c r="L66" i="140"/>
  <c r="L67" i="140"/>
  <c r="L68" i="140"/>
  <c r="L69" i="140"/>
  <c r="L70" i="140"/>
  <c r="L71" i="140"/>
  <c r="L72" i="140"/>
  <c r="H72" i="140"/>
  <c r="D72" i="140"/>
  <c r="P51" i="140"/>
  <c r="L51" i="140"/>
  <c r="I15" i="140"/>
  <c r="E15" i="140"/>
  <c r="Z131" i="140"/>
  <c r="Z132" i="140"/>
  <c r="Z133" i="140"/>
  <c r="Z134" i="140"/>
  <c r="Z135" i="140"/>
  <c r="Z136" i="140"/>
  <c r="Z137" i="140"/>
  <c r="Z138" i="140"/>
  <c r="Z139" i="140"/>
  <c r="Z140" i="140"/>
  <c r="Z141" i="140"/>
  <c r="Z142" i="140"/>
  <c r="Z143" i="140"/>
  <c r="Z144" i="140"/>
  <c r="Z145" i="140"/>
  <c r="Z146" i="140"/>
  <c r="Z147" i="140"/>
  <c r="Z148" i="140"/>
  <c r="Z149" i="140"/>
  <c r="Z150" i="140"/>
  <c r="AU40" i="140"/>
  <c r="Z124" i="140"/>
  <c r="Z125" i="140"/>
  <c r="Z126" i="140"/>
  <c r="Z127" i="140"/>
  <c r="Z118" i="140"/>
  <c r="Z119" i="140"/>
  <c r="Z120" i="140"/>
  <c r="Z121" i="140"/>
  <c r="Z113" i="140"/>
  <c r="Z114" i="140"/>
  <c r="Z115" i="140"/>
  <c r="Z107" i="140"/>
  <c r="AV43" i="140"/>
  <c r="AW43" i="140"/>
  <c r="AW44" i="140"/>
  <c r="Z108" i="140"/>
  <c r="AV47" i="140"/>
  <c r="AW47" i="140"/>
  <c r="AW48" i="140"/>
  <c r="Z109" i="140"/>
  <c r="Z110" i="140"/>
  <c r="Z103" i="140"/>
  <c r="Z104" i="140"/>
  <c r="Z98" i="140"/>
  <c r="Z99" i="140"/>
  <c r="Z100" i="140"/>
  <c r="Z93" i="140"/>
  <c r="AV20" i="140"/>
  <c r="Z94" i="140"/>
  <c r="Z95" i="140"/>
  <c r="Z88" i="140"/>
  <c r="Z87" i="140"/>
  <c r="Z89" i="140"/>
  <c r="Z90" i="140"/>
  <c r="Y131" i="140"/>
  <c r="Y132" i="140"/>
  <c r="Y133" i="140"/>
  <c r="Y134" i="140"/>
  <c r="Y135" i="140"/>
  <c r="Y136" i="140"/>
  <c r="Y137" i="140"/>
  <c r="Y138" i="140"/>
  <c r="Y139" i="140"/>
  <c r="Y140" i="140"/>
  <c r="Y141" i="140"/>
  <c r="Y142" i="140"/>
  <c r="Y143" i="140"/>
  <c r="Y144" i="140"/>
  <c r="Y145" i="140"/>
  <c r="Y146" i="140"/>
  <c r="Y147" i="140"/>
  <c r="Y148" i="140"/>
  <c r="Y149" i="140"/>
  <c r="Y150" i="140"/>
  <c r="AQ40" i="140"/>
  <c r="Y124" i="140"/>
  <c r="Y125" i="140"/>
  <c r="Y126" i="140"/>
  <c r="Y127" i="140"/>
  <c r="Y118" i="140"/>
  <c r="Y119" i="140"/>
  <c r="Y120" i="140"/>
  <c r="Y121" i="140"/>
  <c r="Y113" i="140"/>
  <c r="Y114" i="140"/>
  <c r="Y115" i="140"/>
  <c r="Y107" i="140"/>
  <c r="AR43" i="140"/>
  <c r="AS43" i="140"/>
  <c r="AS44" i="140"/>
  <c r="Y108" i="140"/>
  <c r="AR47" i="140"/>
  <c r="AS47" i="140"/>
  <c r="AS48" i="140"/>
  <c r="Y109" i="140"/>
  <c r="Y110" i="140"/>
  <c r="Y103" i="140"/>
  <c r="Y104" i="140"/>
  <c r="Y98" i="140"/>
  <c r="Y99" i="140"/>
  <c r="Y100" i="140"/>
  <c r="Y93" i="140"/>
  <c r="AR20" i="140"/>
  <c r="Y94" i="140"/>
  <c r="Y95" i="140"/>
  <c r="Y88" i="140"/>
  <c r="Y87" i="140"/>
  <c r="Y89" i="140"/>
  <c r="Y90" i="140"/>
  <c r="V131" i="140"/>
  <c r="V132" i="140"/>
  <c r="V133" i="140"/>
  <c r="V134" i="140"/>
  <c r="V135" i="140"/>
  <c r="V136" i="140"/>
  <c r="V137" i="140"/>
  <c r="V138" i="140"/>
  <c r="V139" i="140"/>
  <c r="V140" i="140"/>
  <c r="V141" i="140"/>
  <c r="V142" i="140"/>
  <c r="V143" i="140"/>
  <c r="V144" i="140"/>
  <c r="V145" i="140"/>
  <c r="V146" i="140"/>
  <c r="V147" i="140"/>
  <c r="V148" i="140"/>
  <c r="V149" i="140"/>
  <c r="V150" i="140"/>
  <c r="AM40" i="140"/>
  <c r="V124" i="140"/>
  <c r="V125" i="140"/>
  <c r="V126" i="140"/>
  <c r="V127" i="140"/>
  <c r="V118" i="140"/>
  <c r="V119" i="140"/>
  <c r="V120" i="140"/>
  <c r="V121" i="140"/>
  <c r="V113" i="140"/>
  <c r="V114" i="140"/>
  <c r="V115" i="140"/>
  <c r="V107" i="140"/>
  <c r="AN43" i="140"/>
  <c r="AO43" i="140"/>
  <c r="AO44" i="140"/>
  <c r="V108" i="140"/>
  <c r="AN47" i="140"/>
  <c r="AO47" i="140"/>
  <c r="AO48" i="140"/>
  <c r="V109" i="140"/>
  <c r="V110" i="140"/>
  <c r="V103" i="140"/>
  <c r="V104" i="140"/>
  <c r="V98" i="140"/>
  <c r="V99" i="140"/>
  <c r="V100" i="140"/>
  <c r="V93" i="140"/>
  <c r="AN20" i="140"/>
  <c r="V94" i="140"/>
  <c r="V95" i="140"/>
  <c r="V88" i="140"/>
  <c r="V87" i="140"/>
  <c r="V89" i="140"/>
  <c r="V90" i="140"/>
  <c r="U131" i="140"/>
  <c r="U132" i="140"/>
  <c r="U133" i="140"/>
  <c r="U134" i="140"/>
  <c r="U135" i="140"/>
  <c r="U136" i="140"/>
  <c r="U137" i="140"/>
  <c r="U138" i="140"/>
  <c r="U139" i="140"/>
  <c r="U140" i="140"/>
  <c r="U141" i="140"/>
  <c r="U142" i="140"/>
  <c r="U143" i="140"/>
  <c r="U144" i="140"/>
  <c r="U145" i="140"/>
  <c r="U146" i="140"/>
  <c r="U147" i="140"/>
  <c r="U148" i="140"/>
  <c r="U149" i="140"/>
  <c r="U150" i="140"/>
  <c r="AI40" i="140"/>
  <c r="U124" i="140"/>
  <c r="U125" i="140"/>
  <c r="U126" i="140"/>
  <c r="U127" i="140"/>
  <c r="U118" i="140"/>
  <c r="U119" i="140"/>
  <c r="U120" i="140"/>
  <c r="U121" i="140"/>
  <c r="U113" i="140"/>
  <c r="U114" i="140"/>
  <c r="U115" i="140"/>
  <c r="U107" i="140"/>
  <c r="AJ43" i="140"/>
  <c r="AK43" i="140"/>
  <c r="AK44" i="140"/>
  <c r="U108" i="140"/>
  <c r="AJ47" i="140"/>
  <c r="AK47" i="140"/>
  <c r="AK48" i="140"/>
  <c r="U109" i="140"/>
  <c r="U110" i="140"/>
  <c r="U103" i="140"/>
  <c r="U104" i="140"/>
  <c r="U98" i="140"/>
  <c r="U99" i="140"/>
  <c r="U100" i="140"/>
  <c r="U93" i="140"/>
  <c r="AJ20" i="140"/>
  <c r="U94" i="140"/>
  <c r="U95" i="140"/>
  <c r="U88" i="140"/>
  <c r="U87" i="140"/>
  <c r="U89" i="140"/>
  <c r="U90" i="140"/>
  <c r="R131" i="140"/>
  <c r="R132" i="140"/>
  <c r="R133" i="140"/>
  <c r="R134" i="140"/>
  <c r="R135" i="140"/>
  <c r="R136" i="140"/>
  <c r="R137" i="140"/>
  <c r="R138" i="140"/>
  <c r="R139" i="140"/>
  <c r="R140" i="140"/>
  <c r="R141" i="140"/>
  <c r="R142" i="140"/>
  <c r="R143" i="140"/>
  <c r="R144" i="140"/>
  <c r="R145" i="140"/>
  <c r="R146" i="140"/>
  <c r="R147" i="140"/>
  <c r="R148" i="140"/>
  <c r="R149" i="140"/>
  <c r="R150" i="140"/>
  <c r="AE40" i="140"/>
  <c r="R124" i="140"/>
  <c r="R125" i="140"/>
  <c r="R126" i="140"/>
  <c r="R127" i="140"/>
  <c r="R118" i="140"/>
  <c r="R119" i="140"/>
  <c r="R120" i="140"/>
  <c r="R121" i="140"/>
  <c r="R113" i="140"/>
  <c r="R114" i="140"/>
  <c r="R115" i="140"/>
  <c r="R107" i="140"/>
  <c r="AF43" i="140"/>
  <c r="AG43" i="140"/>
  <c r="AG44" i="140"/>
  <c r="R108" i="140"/>
  <c r="AF47" i="140"/>
  <c r="AG47" i="140"/>
  <c r="AG48" i="140"/>
  <c r="R109" i="140"/>
  <c r="R110" i="140"/>
  <c r="R103" i="140"/>
  <c r="R104" i="140"/>
  <c r="R98" i="140"/>
  <c r="R99" i="140"/>
  <c r="R100" i="140"/>
  <c r="R93" i="140"/>
  <c r="AF20" i="140"/>
  <c r="R94" i="140"/>
  <c r="R95" i="140"/>
  <c r="R88" i="140"/>
  <c r="R87" i="140"/>
  <c r="R89" i="140"/>
  <c r="R90" i="140"/>
  <c r="Q131" i="140"/>
  <c r="Q132" i="140"/>
  <c r="Q133" i="140"/>
  <c r="Q134" i="140"/>
  <c r="Q135" i="140"/>
  <c r="Q136" i="140"/>
  <c r="Q137" i="140"/>
  <c r="Q138" i="140"/>
  <c r="Q139" i="140"/>
  <c r="Q140" i="140"/>
  <c r="Q141" i="140"/>
  <c r="Q142" i="140"/>
  <c r="Q143" i="140"/>
  <c r="Q144" i="140"/>
  <c r="Q145" i="140"/>
  <c r="Q146" i="140"/>
  <c r="Q147" i="140"/>
  <c r="Q148" i="140"/>
  <c r="Q149" i="140"/>
  <c r="Q150" i="140"/>
  <c r="AA40" i="140"/>
  <c r="Q124" i="140"/>
  <c r="Q125" i="140"/>
  <c r="Q126" i="140"/>
  <c r="Q127" i="140"/>
  <c r="Q118" i="140"/>
  <c r="Q119" i="140"/>
  <c r="Q120" i="140"/>
  <c r="Q121" i="140"/>
  <c r="Q113" i="140"/>
  <c r="Q114" i="140"/>
  <c r="Q115" i="140"/>
  <c r="Q107" i="140"/>
  <c r="AB43" i="140"/>
  <c r="AC43" i="140"/>
  <c r="AC44" i="140"/>
  <c r="Q108" i="140"/>
  <c r="AB47" i="140"/>
  <c r="AC47" i="140"/>
  <c r="AC48" i="140"/>
  <c r="Q109" i="140"/>
  <c r="Q110" i="140"/>
  <c r="Q103" i="140"/>
  <c r="Q104" i="140"/>
  <c r="Q98" i="140"/>
  <c r="Q99" i="140"/>
  <c r="Q100" i="140"/>
  <c r="Q93" i="140"/>
  <c r="AB20" i="140"/>
  <c r="Q94" i="140"/>
  <c r="Q95" i="140"/>
  <c r="Q88" i="140"/>
  <c r="Q87" i="140"/>
  <c r="Q89" i="140"/>
  <c r="Q90" i="140"/>
  <c r="N131" i="140"/>
  <c r="N132" i="140"/>
  <c r="N133" i="140"/>
  <c r="N134" i="140"/>
  <c r="N135" i="140"/>
  <c r="N136" i="140"/>
  <c r="N137" i="140"/>
  <c r="N138" i="140"/>
  <c r="N139" i="140"/>
  <c r="N140" i="140"/>
  <c r="N141" i="140"/>
  <c r="N142" i="140"/>
  <c r="N143" i="140"/>
  <c r="N144" i="140"/>
  <c r="N145" i="140"/>
  <c r="N146" i="140"/>
  <c r="N147" i="140"/>
  <c r="N148" i="140"/>
  <c r="N149" i="140"/>
  <c r="N150" i="140"/>
  <c r="N124" i="140"/>
  <c r="N125" i="140"/>
  <c r="N126" i="140"/>
  <c r="N127" i="140"/>
  <c r="N118" i="140"/>
  <c r="N119" i="140"/>
  <c r="N120" i="140"/>
  <c r="N121" i="140"/>
  <c r="N113" i="140"/>
  <c r="N114" i="140"/>
  <c r="N115" i="140"/>
  <c r="N107" i="140"/>
  <c r="N108" i="140"/>
  <c r="N109" i="140"/>
  <c r="N110" i="140"/>
  <c r="N103" i="140"/>
  <c r="N104" i="140"/>
  <c r="N98" i="140"/>
  <c r="N99" i="140"/>
  <c r="N100" i="140"/>
  <c r="N93" i="140"/>
  <c r="N94" i="140"/>
  <c r="N95" i="140"/>
  <c r="N88" i="140"/>
  <c r="N87" i="140"/>
  <c r="N89" i="140"/>
  <c r="N90" i="140"/>
  <c r="M131" i="140"/>
  <c r="M132" i="140"/>
  <c r="M133" i="140"/>
  <c r="M134" i="140"/>
  <c r="M135" i="140"/>
  <c r="M136" i="140"/>
  <c r="M137" i="140"/>
  <c r="M138" i="140"/>
  <c r="M139" i="140"/>
  <c r="M140" i="140"/>
  <c r="M141" i="140"/>
  <c r="M142" i="140"/>
  <c r="M143" i="140"/>
  <c r="M144" i="140"/>
  <c r="M145" i="140"/>
  <c r="M146" i="140"/>
  <c r="M147" i="140"/>
  <c r="M148" i="140"/>
  <c r="M149" i="140"/>
  <c r="M150" i="140"/>
  <c r="M124" i="140"/>
  <c r="M125" i="140"/>
  <c r="M126" i="140"/>
  <c r="M127" i="140"/>
  <c r="M118" i="140"/>
  <c r="M119" i="140"/>
  <c r="M120" i="140"/>
  <c r="M121" i="140"/>
  <c r="M113" i="140"/>
  <c r="M114" i="140"/>
  <c r="M115" i="140"/>
  <c r="M107" i="140"/>
  <c r="M108" i="140"/>
  <c r="M109" i="140"/>
  <c r="M110" i="140"/>
  <c r="M103" i="140"/>
  <c r="M104" i="140"/>
  <c r="M98" i="140"/>
  <c r="M99" i="140"/>
  <c r="M100" i="140"/>
  <c r="M93" i="140"/>
  <c r="M94" i="140"/>
  <c r="M95" i="140"/>
  <c r="M88" i="140"/>
  <c r="M87" i="140"/>
  <c r="M89" i="140"/>
  <c r="M90" i="140"/>
  <c r="J207" i="140"/>
  <c r="J208" i="140"/>
  <c r="J209" i="140"/>
  <c r="J203" i="140"/>
  <c r="J204" i="140"/>
  <c r="J199" i="140"/>
  <c r="J198" i="140"/>
  <c r="J200" i="140"/>
  <c r="J194" i="140"/>
  <c r="J193" i="140"/>
  <c r="J195" i="140"/>
  <c r="J187" i="140"/>
  <c r="J188" i="140"/>
  <c r="J189" i="140"/>
  <c r="J190" i="140"/>
  <c r="J181" i="140"/>
  <c r="J182" i="140"/>
  <c r="J183" i="140"/>
  <c r="J184" i="140"/>
  <c r="J175" i="140"/>
  <c r="J176" i="140"/>
  <c r="J177" i="140"/>
  <c r="J178" i="140"/>
  <c r="J170" i="140"/>
  <c r="J171" i="140"/>
  <c r="J172" i="140"/>
  <c r="J163" i="140"/>
  <c r="J164" i="140"/>
  <c r="J165" i="140"/>
  <c r="J167" i="140"/>
  <c r="J158" i="140"/>
  <c r="J159" i="140"/>
  <c r="J160" i="140"/>
  <c r="J131" i="140"/>
  <c r="J132" i="140"/>
  <c r="J133" i="140"/>
  <c r="J134" i="140"/>
  <c r="J135" i="140"/>
  <c r="J136" i="140"/>
  <c r="J137" i="140"/>
  <c r="J138" i="140"/>
  <c r="J139" i="140"/>
  <c r="J140" i="140"/>
  <c r="J141" i="140"/>
  <c r="J142" i="140"/>
  <c r="J143" i="140"/>
  <c r="J144" i="140"/>
  <c r="J145" i="140"/>
  <c r="J146" i="140"/>
  <c r="J147" i="140"/>
  <c r="J148" i="140"/>
  <c r="J149" i="140"/>
  <c r="J150" i="140"/>
  <c r="J124" i="140"/>
  <c r="J125" i="140"/>
  <c r="J126" i="140"/>
  <c r="J127" i="140"/>
  <c r="J118" i="140"/>
  <c r="J119" i="140"/>
  <c r="J120" i="140"/>
  <c r="J121" i="140"/>
  <c r="J113" i="140"/>
  <c r="J114" i="140"/>
  <c r="J115" i="140"/>
  <c r="J107" i="140"/>
  <c r="J108" i="140"/>
  <c r="J109" i="140"/>
  <c r="J110" i="140"/>
  <c r="J103" i="140"/>
  <c r="J104" i="140"/>
  <c r="J98" i="140"/>
  <c r="J99" i="140"/>
  <c r="J100" i="140"/>
  <c r="J93" i="140"/>
  <c r="J94" i="140"/>
  <c r="J95" i="140"/>
  <c r="J88" i="140"/>
  <c r="J87" i="140"/>
  <c r="J89" i="140"/>
  <c r="J90" i="140"/>
  <c r="I207" i="140"/>
  <c r="I208" i="140"/>
  <c r="I209" i="140"/>
  <c r="I203" i="140"/>
  <c r="I204" i="140"/>
  <c r="I199" i="140"/>
  <c r="I198" i="140"/>
  <c r="I200" i="140"/>
  <c r="I194" i="140"/>
  <c r="I193" i="140"/>
  <c r="I195" i="140"/>
  <c r="I187" i="140"/>
  <c r="I188" i="140"/>
  <c r="I189" i="140"/>
  <c r="I190" i="140"/>
  <c r="I181" i="140"/>
  <c r="I182" i="140"/>
  <c r="I183" i="140"/>
  <c r="I184" i="140"/>
  <c r="I175" i="140"/>
  <c r="I176" i="140"/>
  <c r="I177" i="140"/>
  <c r="I178" i="140"/>
  <c r="I170" i="140"/>
  <c r="I171" i="140"/>
  <c r="I172" i="140"/>
  <c r="I163" i="140"/>
  <c r="I164" i="140"/>
  <c r="I165" i="140"/>
  <c r="I167" i="140"/>
  <c r="I158" i="140"/>
  <c r="I159" i="140"/>
  <c r="I160" i="140"/>
  <c r="I131" i="140"/>
  <c r="I132" i="140"/>
  <c r="I133" i="140"/>
  <c r="I134" i="140"/>
  <c r="I135" i="140"/>
  <c r="I136" i="140"/>
  <c r="I137" i="140"/>
  <c r="I138" i="140"/>
  <c r="I139" i="140"/>
  <c r="I140" i="140"/>
  <c r="I141" i="140"/>
  <c r="I142" i="140"/>
  <c r="I143" i="140"/>
  <c r="I144" i="140"/>
  <c r="I145" i="140"/>
  <c r="I146" i="140"/>
  <c r="I147" i="140"/>
  <c r="I148" i="140"/>
  <c r="I149" i="140"/>
  <c r="I150" i="140"/>
  <c r="I124" i="140"/>
  <c r="I125" i="140"/>
  <c r="I126" i="140"/>
  <c r="I127" i="140"/>
  <c r="I118" i="140"/>
  <c r="I119" i="140"/>
  <c r="I120" i="140"/>
  <c r="I121" i="140"/>
  <c r="I113" i="140"/>
  <c r="I114" i="140"/>
  <c r="I115" i="140"/>
  <c r="I107" i="140"/>
  <c r="I108" i="140"/>
  <c r="I109" i="140"/>
  <c r="I110" i="140"/>
  <c r="I103" i="140"/>
  <c r="I104" i="140"/>
  <c r="I98" i="140"/>
  <c r="I99" i="140"/>
  <c r="I100" i="140"/>
  <c r="I93" i="140"/>
  <c r="I94" i="140"/>
  <c r="I95" i="140"/>
  <c r="I88" i="140"/>
  <c r="I87" i="140"/>
  <c r="I89" i="140"/>
  <c r="I90" i="140"/>
  <c r="F131" i="140"/>
  <c r="F132" i="140"/>
  <c r="F133" i="140"/>
  <c r="F134" i="140"/>
  <c r="F135" i="140"/>
  <c r="F136" i="140"/>
  <c r="F137" i="140"/>
  <c r="F138" i="140"/>
  <c r="F139" i="140"/>
  <c r="F140" i="140"/>
  <c r="F141" i="140"/>
  <c r="F142" i="140"/>
  <c r="F143" i="140"/>
  <c r="F144" i="140"/>
  <c r="F145" i="140"/>
  <c r="F146" i="140"/>
  <c r="F147" i="140"/>
  <c r="F148" i="140"/>
  <c r="F149" i="140"/>
  <c r="F150" i="140"/>
  <c r="F124" i="140"/>
  <c r="F125" i="140"/>
  <c r="F126" i="140"/>
  <c r="F127" i="140"/>
  <c r="F118" i="140"/>
  <c r="F119" i="140"/>
  <c r="F120" i="140"/>
  <c r="F121" i="140"/>
  <c r="F113" i="140"/>
  <c r="F114" i="140"/>
  <c r="F115" i="140"/>
  <c r="F107" i="140"/>
  <c r="F108" i="140"/>
  <c r="F109" i="140"/>
  <c r="F110" i="140"/>
  <c r="F103" i="140"/>
  <c r="F104" i="140"/>
  <c r="F98" i="140"/>
  <c r="F99" i="140"/>
  <c r="F100" i="140"/>
  <c r="F93" i="140"/>
  <c r="F94" i="140"/>
  <c r="F95" i="140"/>
  <c r="F88" i="140"/>
  <c r="F87" i="140"/>
  <c r="F89" i="140"/>
  <c r="F90" i="140"/>
  <c r="E131" i="140"/>
  <c r="E132" i="140"/>
  <c r="E133" i="140"/>
  <c r="E134" i="140"/>
  <c r="E135" i="140"/>
  <c r="E136" i="140"/>
  <c r="E137" i="140"/>
  <c r="E138" i="140"/>
  <c r="E139" i="140"/>
  <c r="E140" i="140"/>
  <c r="E141" i="140"/>
  <c r="E142" i="140"/>
  <c r="E143" i="140"/>
  <c r="E144" i="140"/>
  <c r="E145" i="140"/>
  <c r="E146" i="140"/>
  <c r="E147" i="140"/>
  <c r="E148" i="140"/>
  <c r="E149" i="140"/>
  <c r="E150" i="140"/>
  <c r="E124" i="140"/>
  <c r="E125" i="140"/>
  <c r="E126" i="140"/>
  <c r="E127" i="140"/>
  <c r="E118" i="140"/>
  <c r="E119" i="140"/>
  <c r="E120" i="140"/>
  <c r="E121" i="140"/>
  <c r="E113" i="140"/>
  <c r="E114" i="140"/>
  <c r="E115" i="140"/>
  <c r="E107" i="140"/>
  <c r="E108" i="140"/>
  <c r="E109" i="140"/>
  <c r="E110" i="140"/>
  <c r="E103" i="140"/>
  <c r="E104" i="140"/>
  <c r="E98" i="140"/>
  <c r="E99" i="140"/>
  <c r="E100" i="140"/>
  <c r="E93" i="140"/>
  <c r="E94" i="140"/>
  <c r="E95" i="140"/>
  <c r="E88" i="140"/>
  <c r="E87" i="140"/>
  <c r="E89" i="140"/>
  <c r="E90" i="140"/>
  <c r="Z85" i="140"/>
  <c r="Y85" i="140"/>
  <c r="V85" i="140"/>
  <c r="U85" i="140"/>
  <c r="R85" i="140"/>
  <c r="Q85" i="140"/>
  <c r="N85" i="140"/>
  <c r="M85" i="140"/>
  <c r="J85" i="140"/>
  <c r="I85" i="140"/>
  <c r="F85" i="140"/>
  <c r="E85" i="140"/>
  <c r="A52" i="140"/>
  <c r="Q51" i="140"/>
  <c r="M51" i="140"/>
  <c r="I51" i="140"/>
  <c r="E51" i="140"/>
  <c r="A51" i="140"/>
  <c r="A50" i="140"/>
  <c r="AX48" i="140"/>
  <c r="AU46" i="140"/>
  <c r="AU47" i="140"/>
  <c r="AU48" i="140"/>
  <c r="AT48" i="140"/>
  <c r="AQ46" i="140"/>
  <c r="AQ47" i="140"/>
  <c r="AQ48" i="140"/>
  <c r="AP48" i="140"/>
  <c r="AM46" i="140"/>
  <c r="AM47" i="140"/>
  <c r="AM48" i="140"/>
  <c r="AL48" i="140"/>
  <c r="AI46" i="140"/>
  <c r="AI47" i="140"/>
  <c r="AI48" i="140"/>
  <c r="AH48" i="140"/>
  <c r="AE46" i="140"/>
  <c r="AE47" i="140"/>
  <c r="AE48" i="140"/>
  <c r="AD48" i="140"/>
  <c r="AA46" i="140"/>
  <c r="AA47" i="140"/>
  <c r="AA48" i="140"/>
  <c r="Z48" i="140"/>
  <c r="W46" i="140"/>
  <c r="W47" i="140"/>
  <c r="W48" i="140"/>
  <c r="V48" i="140"/>
  <c r="S46" i="140"/>
  <c r="S47" i="140"/>
  <c r="S48" i="140"/>
  <c r="R48" i="140"/>
  <c r="O46" i="140"/>
  <c r="O47" i="140"/>
  <c r="O48" i="140"/>
  <c r="N48" i="140"/>
  <c r="K46" i="140"/>
  <c r="K47" i="140"/>
  <c r="K48" i="140"/>
  <c r="J48" i="140"/>
  <c r="G46" i="140"/>
  <c r="G47" i="140"/>
  <c r="G48" i="140"/>
  <c r="F48" i="140"/>
  <c r="C46" i="140"/>
  <c r="C47" i="140"/>
  <c r="C48" i="140"/>
  <c r="AX44" i="140"/>
  <c r="AU42" i="140"/>
  <c r="AU43" i="140"/>
  <c r="AU44" i="140"/>
  <c r="AT44" i="140"/>
  <c r="AQ42" i="140"/>
  <c r="AQ43" i="140"/>
  <c r="AQ44" i="140"/>
  <c r="AP44" i="140"/>
  <c r="AM42" i="140"/>
  <c r="AM43" i="140"/>
  <c r="AM44" i="140"/>
  <c r="AL44" i="140"/>
  <c r="AI42" i="140"/>
  <c r="AI43" i="140"/>
  <c r="AI44" i="140"/>
  <c r="AH44" i="140"/>
  <c r="AE42" i="140"/>
  <c r="AE43" i="140"/>
  <c r="AE44" i="140"/>
  <c r="AD44" i="140"/>
  <c r="AA42" i="140"/>
  <c r="AA43" i="140"/>
  <c r="AA44" i="140"/>
  <c r="Z44" i="140"/>
  <c r="W42" i="140"/>
  <c r="W43" i="140"/>
  <c r="W44" i="140"/>
  <c r="V44" i="140"/>
  <c r="S42" i="140"/>
  <c r="S43" i="140"/>
  <c r="S44" i="140"/>
  <c r="R44" i="140"/>
  <c r="O42" i="140"/>
  <c r="O43" i="140"/>
  <c r="O44" i="140"/>
  <c r="N44" i="140"/>
  <c r="K42" i="140"/>
  <c r="K43" i="140"/>
  <c r="K44" i="140"/>
  <c r="J44" i="140"/>
  <c r="G42" i="140"/>
  <c r="G43" i="140"/>
  <c r="G44" i="140"/>
  <c r="F44" i="140"/>
  <c r="C42" i="140"/>
  <c r="C43" i="140"/>
  <c r="C44" i="140"/>
  <c r="AX39" i="140"/>
  <c r="AT39" i="140"/>
  <c r="AP39" i="140"/>
  <c r="AL39" i="140"/>
  <c r="AH39" i="140"/>
  <c r="AD39" i="140"/>
  <c r="Z39" i="140"/>
  <c r="V39" i="140"/>
  <c r="R39" i="140"/>
  <c r="N39" i="140"/>
  <c r="J39" i="140"/>
  <c r="F39" i="140"/>
  <c r="AU38" i="140"/>
  <c r="AQ38" i="140"/>
  <c r="AM38" i="140"/>
  <c r="AI38" i="140"/>
  <c r="AE38" i="140"/>
  <c r="AA38" i="140"/>
  <c r="W38" i="140"/>
  <c r="S38" i="140"/>
  <c r="O38" i="140"/>
  <c r="K38" i="140"/>
  <c r="G38" i="140"/>
  <c r="C38" i="140"/>
  <c r="AU37" i="140"/>
  <c r="AQ37" i="140"/>
  <c r="AM37" i="140"/>
  <c r="AI37" i="140"/>
  <c r="AE37" i="140"/>
  <c r="AA37" i="140"/>
  <c r="W37" i="140"/>
  <c r="S37" i="140"/>
  <c r="O37" i="140"/>
  <c r="K37" i="140"/>
  <c r="G37" i="140"/>
  <c r="C37" i="140"/>
  <c r="AU36" i="140"/>
  <c r="AQ36" i="140"/>
  <c r="AM36" i="140"/>
  <c r="AI36" i="140"/>
  <c r="AE36" i="140"/>
  <c r="AA36" i="140"/>
  <c r="W36" i="140"/>
  <c r="S36" i="140"/>
  <c r="O36" i="140"/>
  <c r="K36" i="140"/>
  <c r="G36" i="140"/>
  <c r="C36" i="140"/>
  <c r="AU35" i="140"/>
  <c r="AQ35" i="140"/>
  <c r="AM35" i="140"/>
  <c r="AI35" i="140"/>
  <c r="AE35" i="140"/>
  <c r="AA35" i="140"/>
  <c r="W35" i="140"/>
  <c r="S35" i="140"/>
  <c r="O35" i="140"/>
  <c r="K35" i="140"/>
  <c r="G35" i="140"/>
  <c r="C35" i="140"/>
  <c r="AU34" i="140"/>
  <c r="AQ34" i="140"/>
  <c r="AM34" i="140"/>
  <c r="AI34" i="140"/>
  <c r="AE34" i="140"/>
  <c r="AA34" i="140"/>
  <c r="W34" i="140"/>
  <c r="S34" i="140"/>
  <c r="O34" i="140"/>
  <c r="K34" i="140"/>
  <c r="G34" i="140"/>
  <c r="C34" i="140"/>
  <c r="AU33" i="140"/>
  <c r="AQ33" i="140"/>
  <c r="AM33" i="140"/>
  <c r="AI33" i="140"/>
  <c r="AE33" i="140"/>
  <c r="AA33" i="140"/>
  <c r="W33" i="140"/>
  <c r="S33" i="140"/>
  <c r="O33" i="140"/>
  <c r="K33" i="140"/>
  <c r="G33" i="140"/>
  <c r="C33" i="140"/>
  <c r="AU32" i="140"/>
  <c r="AQ32" i="140"/>
  <c r="AM32" i="140"/>
  <c r="AI32" i="140"/>
  <c r="AE32" i="140"/>
  <c r="AA32" i="140"/>
  <c r="W32" i="140"/>
  <c r="S32" i="140"/>
  <c r="O32" i="140"/>
  <c r="K32" i="140"/>
  <c r="G32" i="140"/>
  <c r="C32" i="140"/>
  <c r="AU31" i="140"/>
  <c r="AQ31" i="140"/>
  <c r="AM31" i="140"/>
  <c r="AI31" i="140"/>
  <c r="AE31" i="140"/>
  <c r="AA31" i="140"/>
  <c r="W31" i="140"/>
  <c r="S31" i="140"/>
  <c r="O31" i="140"/>
  <c r="K31" i="140"/>
  <c r="G31" i="140"/>
  <c r="C31" i="140"/>
  <c r="AU30" i="140"/>
  <c r="AQ30" i="140"/>
  <c r="AM30" i="140"/>
  <c r="AI30" i="140"/>
  <c r="AE30" i="140"/>
  <c r="AA30" i="140"/>
  <c r="W30" i="140"/>
  <c r="S30" i="140"/>
  <c r="O30" i="140"/>
  <c r="K30" i="140"/>
  <c r="G30" i="140"/>
  <c r="C30" i="140"/>
  <c r="AU29" i="140"/>
  <c r="AQ29" i="140"/>
  <c r="AM29" i="140"/>
  <c r="AI29" i="140"/>
  <c r="AE29" i="140"/>
  <c r="AA29" i="140"/>
  <c r="W29" i="140"/>
  <c r="S29" i="140"/>
  <c r="O29" i="140"/>
  <c r="K29" i="140"/>
  <c r="G29" i="140"/>
  <c r="C29" i="140"/>
  <c r="AU28" i="140"/>
  <c r="AQ28" i="140"/>
  <c r="AM28" i="140"/>
  <c r="AI28" i="140"/>
  <c r="AE28" i="140"/>
  <c r="AA28" i="140"/>
  <c r="W28" i="140"/>
  <c r="S28" i="140"/>
  <c r="O28" i="140"/>
  <c r="K28" i="140"/>
  <c r="G28" i="140"/>
  <c r="C28" i="140"/>
  <c r="AU27" i="140"/>
  <c r="AQ27" i="140"/>
  <c r="AM27" i="140"/>
  <c r="AI27" i="140"/>
  <c r="AE27" i="140"/>
  <c r="AA27" i="140"/>
  <c r="W27" i="140"/>
  <c r="S27" i="140"/>
  <c r="O27" i="140"/>
  <c r="K27" i="140"/>
  <c r="G27" i="140"/>
  <c r="C27" i="140"/>
  <c r="AU26" i="140"/>
  <c r="AQ26" i="140"/>
  <c r="AM26" i="140"/>
  <c r="AI26" i="140"/>
  <c r="AE26" i="140"/>
  <c r="AA26" i="140"/>
  <c r="W26" i="140"/>
  <c r="S26" i="140"/>
  <c r="O26" i="140"/>
  <c r="K26" i="140"/>
  <c r="G26" i="140"/>
  <c r="C26" i="140"/>
  <c r="AU25" i="140"/>
  <c r="AQ25" i="140"/>
  <c r="AM25" i="140"/>
  <c r="AI25" i="140"/>
  <c r="AE25" i="140"/>
  <c r="AA25" i="140"/>
  <c r="W25" i="140"/>
  <c r="S25" i="140"/>
  <c r="O25" i="140"/>
  <c r="K25" i="140"/>
  <c r="G25" i="140"/>
  <c r="C25" i="140"/>
  <c r="AU24" i="140"/>
  <c r="AQ24" i="140"/>
  <c r="AM24" i="140"/>
  <c r="AI24" i="140"/>
  <c r="AE24" i="140"/>
  <c r="AA24" i="140"/>
  <c r="W24" i="140"/>
  <c r="S24" i="140"/>
  <c r="O24" i="140"/>
  <c r="K24" i="140"/>
  <c r="G24" i="140"/>
  <c r="C24" i="140"/>
  <c r="AU23" i="140"/>
  <c r="AQ23" i="140"/>
  <c r="AM23" i="140"/>
  <c r="AI23" i="140"/>
  <c r="AE23" i="140"/>
  <c r="AA23" i="140"/>
  <c r="W23" i="140"/>
  <c r="S23" i="140"/>
  <c r="O23" i="140"/>
  <c r="K23" i="140"/>
  <c r="G23" i="140"/>
  <c r="C23" i="140"/>
  <c r="AU22" i="140"/>
  <c r="AQ22" i="140"/>
  <c r="AM22" i="140"/>
  <c r="AI22" i="140"/>
  <c r="AE22" i="140"/>
  <c r="AA22" i="140"/>
  <c r="W22" i="140"/>
  <c r="S22" i="140"/>
  <c r="O22" i="140"/>
  <c r="K22" i="140"/>
  <c r="G22" i="140"/>
  <c r="C22" i="140"/>
  <c r="AU21" i="140"/>
  <c r="AQ21" i="140"/>
  <c r="AM21" i="140"/>
  <c r="AI21" i="140"/>
  <c r="AE21" i="140"/>
  <c r="AA21" i="140"/>
  <c r="W21" i="140"/>
  <c r="S21" i="140"/>
  <c r="O21" i="140"/>
  <c r="K21" i="140"/>
  <c r="G21" i="140"/>
  <c r="C21" i="140"/>
  <c r="AU20" i="140"/>
  <c r="AQ20" i="140"/>
  <c r="AM20" i="140"/>
  <c r="AI20" i="140"/>
  <c r="AE20" i="140"/>
  <c r="AA20" i="140"/>
  <c r="W20" i="140"/>
  <c r="S20" i="140"/>
  <c r="O20" i="140"/>
  <c r="K20" i="140"/>
  <c r="G20" i="140"/>
  <c r="C20" i="140"/>
  <c r="AU19" i="140"/>
  <c r="AQ19" i="140"/>
  <c r="AM19" i="140"/>
  <c r="AI19" i="140"/>
  <c r="AE19" i="140"/>
  <c r="AA19" i="140"/>
  <c r="W19" i="140"/>
  <c r="S19" i="140"/>
  <c r="O19" i="140"/>
  <c r="K19" i="140"/>
  <c r="G19" i="140"/>
  <c r="C19" i="140"/>
  <c r="AW17" i="140"/>
  <c r="AV17" i="140"/>
  <c r="AU17" i="140"/>
  <c r="AS17" i="140"/>
  <c r="AR17" i="140"/>
  <c r="AQ17" i="140"/>
  <c r="AO17" i="140"/>
  <c r="AN17" i="140"/>
  <c r="AM17" i="140"/>
  <c r="AK17" i="140"/>
  <c r="AJ17" i="140"/>
  <c r="AI17" i="140"/>
  <c r="AG17" i="140"/>
  <c r="AF17" i="140"/>
  <c r="AE17" i="140"/>
  <c r="AC17" i="140"/>
  <c r="AB17" i="140"/>
  <c r="AA17" i="140"/>
  <c r="Y17" i="140"/>
  <c r="X17" i="140"/>
  <c r="W17" i="140"/>
  <c r="U17" i="140"/>
  <c r="T17" i="140"/>
  <c r="S17" i="140"/>
  <c r="Q17" i="140"/>
  <c r="P17" i="140"/>
  <c r="O17" i="140"/>
  <c r="M17" i="140"/>
  <c r="L17" i="140"/>
  <c r="K17" i="140"/>
  <c r="I17" i="140"/>
  <c r="H17" i="140"/>
  <c r="G17" i="140"/>
  <c r="E17" i="140"/>
  <c r="D17" i="140"/>
  <c r="C17" i="140"/>
  <c r="G1" i="1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9" authorId="0" shapeId="0" xr:uid="{E59E411A-CF4C-4C8E-957F-2B879C56C817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I19" authorId="0" shapeId="0" xr:uid="{64EA0BE3-BFAF-4804-A3D2-98C0114E307C}">
      <text>
        <r>
          <rPr>
            <sz val="9"/>
            <color indexed="81"/>
            <rFont val="Tahoma"/>
            <family val="2"/>
          </rPr>
          <t>תשואה נטו למזומן מחושבת מהדוח הגולמי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8D9F034E-70A8-4371-AF90-B1B2252A283D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Q19" authorId="0" shapeId="0" xr:uid="{C681AD57-8E10-438C-9506-908CC5A9F3A7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U19" authorId="0" shapeId="0" xr:uid="{2AE4FB97-962C-4367-B9D2-DDD792A72ACA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Y19" authorId="0" shapeId="0" xr:uid="{BAA50CFB-B3B3-4FC8-BA7D-0EDDC58D9FC8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C19" authorId="0" shapeId="0" xr:uid="{96445872-7B56-4783-A305-3CC3AFF3BE74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G19" authorId="0" shapeId="0" xr:uid="{E9060C80-87D9-4D6B-93AC-F313FCD8B091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K19" authorId="0" shapeId="0" xr:uid="{FB2D7CDB-86F2-434A-87AF-0474F6579EDB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O19" authorId="0" shapeId="0" xr:uid="{CB5C1248-2A3D-48EC-9346-08308BCA8490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S19" authorId="0" shapeId="0" xr:uid="{8208F4D7-D3C1-460F-9650-B0C07DB8867E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  <comment ref="AW19" authorId="0" shapeId="0" xr:uid="{7310362C-CA98-4584-8658-612C7A9D50E8}">
      <text>
        <r>
          <rPr>
            <sz val="9"/>
            <color indexed="81"/>
            <rFont val="Tahoma"/>
            <family val="2"/>
          </rPr>
          <t xml:space="preserve">תשואה נטו למזומן מחושבת מהדוח הגולמי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<sst xmlns="http://schemas.openxmlformats.org/spreadsheetml/2006/main" count="889" uniqueCount="185">
  <si>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</si>
  <si>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</si>
  <si>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</si>
  <si>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</si>
  <si>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</si>
  <si>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</si>
  <si>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</si>
  <si>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</si>
  <si>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</si>
  <si>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</si>
  <si>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</si>
  <si>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</si>
  <si>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</si>
  <si>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</si>
  <si>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</si>
  <si>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</si>
  <si>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</si>
  <si>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</si>
  <si>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</si>
  <si>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</si>
  <si>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</si>
  <si>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</si>
  <si>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</si>
  <si>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</si>
  <si>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</si>
  <si>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</si>
  <si>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</si>
  <si>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</si>
  <si>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</si>
  <si>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</si>
  <si>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Total_Sal_NoSAL</t>
  </si>
  <si>
    <t>סהכ סחירות</t>
  </si>
  <si>
    <t>Total</t>
  </si>
  <si>
    <t>January</t>
  </si>
  <si>
    <t>Monthly_Profit</t>
  </si>
  <si>
    <t>Monthly_Yield</t>
  </si>
  <si>
    <t>Total_Kupa_Data_Monthly</t>
  </si>
  <si>
    <t>Local</t>
  </si>
  <si>
    <t>Unkown</t>
  </si>
  <si>
    <t>Abroad</t>
  </si>
  <si>
    <t>סחיר</t>
  </si>
  <si>
    <t>לא סחיר</t>
  </si>
  <si>
    <t>לא רלוונטי</t>
  </si>
  <si>
    <t>Tsua_Nom_Neto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</si>
  <si>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</si>
  <si>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</si>
  <si>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</si>
  <si>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</si>
  <si>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</si>
  <si>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</si>
  <si>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</si>
  <si>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</si>
  <si>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</si>
  <si>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</si>
  <si>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</si>
  <si>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תשואה נטו </t>
  </si>
  <si>
    <t>אגח ממשלתיות סחירות ולא סחירות</t>
  </si>
  <si>
    <t>אגח קונצרניות סחירות</t>
  </si>
  <si>
    <t>אגח קונצרניות לא סחירות</t>
  </si>
  <si>
    <t>נדלן</t>
  </si>
  <si>
    <t>Total_YLD_Components</t>
  </si>
  <si>
    <t>Local_Unkown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</si>
  <si>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</si>
  <si>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</si>
  <si>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</si>
  <si>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</si>
  <si>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</si>
  <si>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</si>
  <si>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</si>
  <si>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</si>
  <si>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</si>
  <si>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</si>
  <si>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</si>
  <si>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</si>
  <si>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אחוז מנכסים</t>
  </si>
  <si>
    <t xml:space="preserve">שווי סוף תקופה </t>
  </si>
  <si>
    <t>רווח תשואה לנייר</t>
  </si>
  <si>
    <t xml:space="preserve">תקינות </t>
  </si>
  <si>
    <t xml:space="preserve">בקרות חודשיות </t>
  </si>
  <si>
    <t>הפרש</t>
  </si>
  <si>
    <t>הפרש בין רווח תשואה לנייר לאחר שיקוף בנטרול מזומנים למודול תשואה בערך מוחלט</t>
  </si>
  <si>
    <t>שווי נכסים כפול  Banchmark</t>
  </si>
  <si>
    <t>הפרש בין רווח תשואה לנייר למודול תשואה בערך מוחלט</t>
  </si>
  <si>
    <t>התרומה/שיעור מסך הנכסים לכל אפיק</t>
  </si>
  <si>
    <t>1.תקינות רווח בכסף ואחוז מנכסים</t>
  </si>
  <si>
    <t>2.תקינות הפרש רווח בכסף ואחוז מנכסים</t>
  </si>
  <si>
    <t>3.תקינות רווח תשואה לנייר בנטרול מזומנים ואחוז מנכסים</t>
  </si>
  <si>
    <t>4.תקינות תשואת מזומנים באחוזים</t>
  </si>
  <si>
    <t>5.תרומה לתשואה מסתכם לתשואה</t>
  </si>
  <si>
    <t>סכימת התרומה לתשואה לפי אפיק</t>
  </si>
  <si>
    <t>סכימת התרומה לתשואה לפי ארץ/חו"ל</t>
  </si>
  <si>
    <t>סכימת התקומה לתשואה לפי סחיר'לא סחיר</t>
  </si>
  <si>
    <t>6.תקינות תשואה מצטברת מול הדוח החודשי</t>
  </si>
  <si>
    <t>7. תקינות רווח חודשי מול הדוח החודשי</t>
  </si>
  <si>
    <t>8.תקינות שווי נכסים מול דוח חודשי</t>
  </si>
  <si>
    <t>שווי נכסים מתשואה לנייר</t>
  </si>
  <si>
    <t>שווי נכסים דוח חודשי</t>
  </si>
  <si>
    <t>NoSal</t>
  </si>
  <si>
    <t xml:space="preserve">  </t>
  </si>
  <si>
    <t>9.בדיקת עקביות  שיעור מסך נכסים לכל אפיק בנפרד</t>
  </si>
  <si>
    <t>בקרות רבעוניות</t>
  </si>
  <si>
    <t xml:space="preserve">סכימה של סה"כ רווח השקעתי בכל חודש לכל הרבעון </t>
  </si>
  <si>
    <t>סה"כ רווח השקעתי לרבעון (מהטבלה התחתונה הרבעונית)</t>
  </si>
  <si>
    <t>2.תרומה לתשואה מסתכם לתשואה</t>
  </si>
  <si>
    <t>Q1</t>
  </si>
  <si>
    <t>Q2</t>
  </si>
  <si>
    <t>Q3</t>
  </si>
  <si>
    <t>Q4</t>
  </si>
  <si>
    <t>תשואה רבעונית ממודל תשואה</t>
  </si>
  <si>
    <t>QTR1</t>
  </si>
  <si>
    <t>QTR2</t>
  </si>
  <si>
    <t>QTR3</t>
  </si>
  <si>
    <t>QTR4</t>
  </si>
  <si>
    <t>3.תקינות תשואה מצטברת מול הדוח החודשי</t>
  </si>
  <si>
    <t>4.תרומת נכסים בחו"ל מתשואה לנייר</t>
  </si>
  <si>
    <t>ריבית דריבית טבלת ארץ/חו"ל (התשואה המיוחסת לחו"ל) לכל חודש ברבעון</t>
  </si>
  <si>
    <t>תשואה מצטברת בטבלה של הרבעון חו"ל</t>
  </si>
  <si>
    <t>תרומה לתשואה מזומן מצטבר</t>
  </si>
  <si>
    <t>תרומה לתשואה מזומן ריבית דה ריבית</t>
  </si>
  <si>
    <t>תרומה לתשואה מזומן ריבית דה ריבית PN</t>
  </si>
  <si>
    <t>תקינות</t>
  </si>
  <si>
    <t>5.תרומת נכסים לא סחירים מתשואה לנייר</t>
  </si>
  <si>
    <t>ריבית דריבית טבלת סחיר/לא סחיר (התשואה המיוחסת ללא סחיר) לכל חודש ברבעון</t>
  </si>
  <si>
    <t>תשואה מצטברת בטבלה של הרבעון לא סחיר</t>
  </si>
  <si>
    <t>6. תקינות רווח מצטבר מול דוח חודשי</t>
  </si>
  <si>
    <t xml:space="preserve">הפרש בין ממוצע מצטבר פחות שיעור מסך הנכסים לחודש הרלוונטי  עבור כל אפיק </t>
  </si>
  <si>
    <t>7.תקינות הפרש רווח בכסף ואחוז מנכסים(בתהחשבות Banchmark)</t>
  </si>
  <si>
    <t>8.תקינות רווח תשואה לנייר בנטרול מזומנים ואחוז מנכסים(בהתחשבות BanchMark)</t>
  </si>
  <si>
    <t>9.תקינות תשואת מזומנים באחוזים</t>
  </si>
  <si>
    <t>10.תקינות תשואת מזומן</t>
  </si>
  <si>
    <t>תשואת המזומן ריבית דריבית</t>
  </si>
  <si>
    <t>תרומה לתשואה מזומן מהטבלה המצטברת</t>
  </si>
  <si>
    <t>רווח ממודול תשואה (דוח תשואה יומית)</t>
  </si>
  <si>
    <t>Total_Days</t>
  </si>
  <si>
    <t>שינוי מחודש קודם</t>
  </si>
  <si>
    <t>שינוי מרבעון קודם</t>
  </si>
  <si>
    <t>רווח ברוטו בכסף</t>
  </si>
  <si>
    <t>נומינלי</t>
  </si>
  <si>
    <t>סהכ הצמדות</t>
  </si>
  <si>
    <t>שווי בשח</t>
  </si>
  <si>
    <t>סהכ דירוגים עץ למנפיק בודד</t>
  </si>
  <si>
    <t xml:space="preserve">תשואה מצטברת דוח חודשי </t>
  </si>
  <si>
    <t>תשואה מצטברת מודל תשואה/טבלאות רבעוניות</t>
  </si>
  <si>
    <t xml:space="preserve">רווח מצטבר דוח חודשי </t>
  </si>
  <si>
    <t>רווח מצטבר מודל תשואה/טבלה רבעונית</t>
  </si>
  <si>
    <t>הפרש באחוזים</t>
  </si>
  <si>
    <t>שינוי מתחילת השנה</t>
  </si>
  <si>
    <t>ללא התחייבות</t>
  </si>
  <si>
    <t>כלל פנסיה וגמל בע"מ</t>
  </si>
  <si>
    <t>כלל ברזל</t>
  </si>
  <si>
    <t>כלל תקציבית</t>
  </si>
  <si>
    <t>כלל פיצויים למעסיק</t>
  </si>
  <si>
    <t>הדס בורסה לניירות ערך</t>
  </si>
  <si>
    <t>הפרש באחוזים בערך מוחלט</t>
  </si>
  <si>
    <t>לא סחיר+לא רלוונטי</t>
  </si>
  <si>
    <t>רווח חודשי לדיווח</t>
  </si>
  <si>
    <t>רווח מהדוח החודשי</t>
  </si>
  <si>
    <t>תשואה חודשית לדיווח</t>
  </si>
  <si>
    <t xml:space="preserve">תשואה מהדוח החודשי 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</si>
  <si>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</si>
  <si>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</si>
  <si>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</si>
  <si>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</si>
  <si>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</si>
  <si>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</si>
  <si>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</si>
  <si>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</si>
  <si>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</si>
  <si>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Shovi_Memuza</t>
  </si>
  <si>
    <t>30.06.23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</si>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</sst>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46">
    <font>
      <sz val="11"/>
      <color indexed="8"/>
      <name val="Calibri"/>
      <family val="2"/>
      <scheme val="minor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David"/>
      <family val="2"/>
    </font>
    <font>
      <sz val="8"/>
      <color indexed="8"/>
      <name val="Calibri"/>
      <family val="2"/>
      <scheme val="minor"/>
    </font>
    <font>
      <b/>
      <sz val="11"/>
      <name val="David"/>
      <family val="2"/>
      <charset val="177"/>
    </font>
    <font>
      <sz val="11"/>
      <color rgb="FFFF0000"/>
      <name val="Calibri"/>
      <family val="2"/>
      <scheme val="minor"/>
    </font>
    <font>
      <sz val="11"/>
      <color rgb="FFFF0000"/>
      <name val="David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David"/>
      <family val="2"/>
    </font>
    <font>
      <b/>
      <u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6" fillId="2" borderId="16" applyNumberFormat="0" applyAlignment="0" applyProtection="0"/>
    <xf numFmtId="0" fontId="8" fillId="28" borderId="17" applyNumberFormat="0" applyAlignment="0" applyProtection="0"/>
    <xf numFmtId="0" fontId="9" fillId="2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21" applyNumberFormat="0" applyFill="0" applyAlignment="0" applyProtection="0"/>
    <xf numFmtId="0" fontId="18" fillId="28" borderId="22" applyNumberFormat="0" applyAlignment="0" applyProtection="0"/>
    <xf numFmtId="0" fontId="19" fillId="3" borderId="17" applyNumberFormat="0" applyAlignment="0" applyProtection="0"/>
    <xf numFmtId="0" fontId="20" fillId="31" borderId="0" applyNumberFormat="0" applyBorder="0" applyAlignment="0" applyProtection="0"/>
    <xf numFmtId="0" fontId="21" fillId="32" borderId="23" applyNumberFormat="0" applyAlignment="0" applyProtection="0"/>
    <xf numFmtId="0" fontId="22" fillId="0" borderId="24" applyNumberFormat="0" applyFill="0" applyAlignment="0" applyProtection="0"/>
  </cellStyleXfs>
  <cellXfs count="222">
    <xf numFmtId="0" fontId="0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 readingOrder="2"/>
    </xf>
    <xf numFmtId="14" fontId="0" fillId="0" borderId="0" xfId="0" applyNumberFormat="1" applyFont="1" applyAlignment="1"/>
    <xf numFmtId="0" fontId="2" fillId="0" borderId="1" xfId="0" applyFont="1" applyBorder="1" applyAlignment="1"/>
    <xf numFmtId="166" fontId="0" fillId="0" borderId="0" xfId="0" applyNumberFormat="1" applyFont="1" applyAlignment="1"/>
    <xf numFmtId="0" fontId="3" fillId="0" borderId="1" xfId="0" applyFont="1" applyBorder="1" applyAlignment="1"/>
    <xf numFmtId="17" fontId="4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17" fontId="4" fillId="8" borderId="2" xfId="0" applyNumberFormat="1" applyFont="1" applyFill="1" applyBorder="1" applyAlignment="1">
      <alignment horizontal="centerContinuous"/>
    </xf>
    <xf numFmtId="17" fontId="2" fillId="8" borderId="3" xfId="0" applyNumberFormat="1" applyFont="1" applyFill="1" applyBorder="1" applyAlignment="1">
      <alignment horizontal="centerContinuous"/>
    </xf>
    <xf numFmtId="0" fontId="2" fillId="0" borderId="4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/>
    <xf numFmtId="10" fontId="2" fillId="2" borderId="5" xfId="20" applyNumberFormat="1" applyFont="1" applyFill="1" applyBorder="1" applyAlignment="1"/>
    <xf numFmtId="10" fontId="2" fillId="8" borderId="6" xfId="20" applyNumberFormat="1" applyFont="1" applyFill="1" applyBorder="1" applyAlignment="1"/>
    <xf numFmtId="10" fontId="0" fillId="0" borderId="0" xfId="0" applyNumberFormat="1" applyFont="1" applyAlignment="1"/>
    <xf numFmtId="0" fontId="2" fillId="33" borderId="8" xfId="0" applyFont="1" applyFill="1" applyBorder="1" applyAlignment="1"/>
    <xf numFmtId="0" fontId="4" fillId="33" borderId="9" xfId="0" applyFont="1" applyFill="1" applyBorder="1" applyAlignment="1"/>
    <xf numFmtId="10" fontId="4" fillId="2" borderId="10" xfId="20" applyNumberFormat="1" applyFont="1" applyFill="1" applyBorder="1" applyAlignment="1"/>
    <xf numFmtId="10" fontId="4" fillId="2" borderId="11" xfId="20" applyNumberFormat="1" applyFont="1" applyFill="1" applyBorder="1" applyAlignment="1"/>
    <xf numFmtId="10" fontId="4" fillId="8" borderId="10" xfId="20" applyNumberFormat="1" applyFont="1" applyFill="1" applyBorder="1" applyAlignment="1"/>
    <xf numFmtId="10" fontId="4" fillId="8" borderId="11" xfId="20" applyNumberFormat="1" applyFont="1" applyFill="1" applyBorder="1" applyAlignment="1"/>
    <xf numFmtId="3" fontId="4" fillId="2" borderId="12" xfId="20" applyNumberFormat="1" applyFont="1" applyFill="1" applyBorder="1" applyAlignment="1"/>
    <xf numFmtId="164" fontId="23" fillId="34" borderId="13" xfId="19" applyFont="1" applyFill="1" applyBorder="1" applyAlignment="1"/>
    <xf numFmtId="3" fontId="4" fillId="8" borderId="12" xfId="20" applyNumberFormat="1" applyFont="1" applyFill="1" applyBorder="1" applyAlignment="1"/>
    <xf numFmtId="168" fontId="2" fillId="0" borderId="0" xfId="19" applyNumberFormat="1" applyFont="1" applyAlignment="1"/>
    <xf numFmtId="168" fontId="2" fillId="0" borderId="0" xfId="19" applyNumberFormat="1" applyFont="1" applyFill="1" applyAlignment="1"/>
    <xf numFmtId="10" fontId="2" fillId="2" borderId="2" xfId="20" applyNumberFormat="1" applyFont="1" applyFill="1" applyBorder="1" applyAlignment="1"/>
    <xf numFmtId="10" fontId="2" fillId="8" borderId="2" xfId="20" applyNumberFormat="1" applyFont="1" applyFill="1" applyBorder="1" applyAlignment="1"/>
    <xf numFmtId="10" fontId="2" fillId="8" borderId="3" xfId="20" applyNumberFormat="1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165" fontId="5" fillId="0" borderId="0" xfId="0" applyNumberFormat="1" applyFont="1" applyAlignment="1"/>
    <xf numFmtId="169" fontId="0" fillId="0" borderId="0" xfId="0" applyNumberFormat="1" applyFont="1" applyAlignment="1"/>
    <xf numFmtId="0" fontId="5" fillId="35" borderId="0" xfId="0" applyFont="1" applyFill="1" applyAlignment="1"/>
    <xf numFmtId="0" fontId="5" fillId="14" borderId="0" xfId="0" applyFont="1" applyFill="1" applyAlignment="1"/>
    <xf numFmtId="10" fontId="5" fillId="0" borderId="0" xfId="20" applyNumberFormat="1" applyFont="1" applyAlignment="1"/>
    <xf numFmtId="168" fontId="6" fillId="0" borderId="0" xfId="19" applyNumberFormat="1" applyFont="1" applyAlignment="1"/>
    <xf numFmtId="164" fontId="6" fillId="0" borderId="0" xfId="19" applyFont="1" applyAlignment="1"/>
    <xf numFmtId="164" fontId="5" fillId="0" borderId="0" xfId="0" applyNumberFormat="1" applyFont="1" applyAlignment="1"/>
    <xf numFmtId="0" fontId="24" fillId="36" borderId="5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6" xfId="0" applyFont="1" applyFill="1" applyBorder="1" applyAlignment="1">
      <alignment horizontal="center" vertical="center" wrapText="1"/>
    </xf>
    <xf numFmtId="10" fontId="24" fillId="36" borderId="5" xfId="20" applyNumberFormat="1" applyFont="1" applyFill="1" applyBorder="1"/>
    <xf numFmtId="10" fontId="24" fillId="36" borderId="6" xfId="20" applyNumberFormat="1" applyFont="1" applyFill="1" applyBorder="1"/>
    <xf numFmtId="10" fontId="24" fillId="37" borderId="6" xfId="20" applyNumberFormat="1" applyFont="1" applyFill="1" applyBorder="1"/>
    <xf numFmtId="10" fontId="25" fillId="36" borderId="10" xfId="20" applyNumberFormat="1" applyFont="1" applyFill="1" applyBorder="1"/>
    <xf numFmtId="10" fontId="25" fillId="36" borderId="11" xfId="20" applyNumberFormat="1" applyFont="1" applyFill="1" applyBorder="1"/>
    <xf numFmtId="10" fontId="25" fillId="37" borderId="10" xfId="20" applyNumberFormat="1" applyFont="1" applyFill="1" applyBorder="1"/>
    <xf numFmtId="10" fontId="25" fillId="37" borderId="11" xfId="20" applyNumberFormat="1" applyFont="1" applyFill="1" applyBorder="1"/>
    <xf numFmtId="3" fontId="25" fillId="36" borderId="12" xfId="20" applyNumberFormat="1" applyFont="1" applyFill="1" applyBorder="1"/>
    <xf numFmtId="164" fontId="26" fillId="38" borderId="13" xfId="19" applyFont="1" applyFill="1" applyBorder="1"/>
    <xf numFmtId="3" fontId="25" fillId="37" borderId="12" xfId="20" applyNumberFormat="1" applyFont="1" applyFill="1" applyBorder="1"/>
    <xf numFmtId="10" fontId="24" fillId="36" borderId="2" xfId="20" applyNumberFormat="1" applyFont="1" applyFill="1" applyBorder="1"/>
    <xf numFmtId="10" fontId="24" fillId="37" borderId="2" xfId="20" applyNumberFormat="1" applyFont="1" applyFill="1" applyBorder="1"/>
    <xf numFmtId="0" fontId="27" fillId="0" borderId="0" xfId="0" applyFont="1"/>
    <xf numFmtId="0" fontId="24" fillId="0" borderId="0" xfId="0" applyFont="1" applyFill="1"/>
    <xf numFmtId="0" fontId="28" fillId="0" borderId="0" xfId="0" applyFont="1" applyAlignment="1"/>
    <xf numFmtId="0" fontId="29" fillId="0" borderId="0" xfId="0" applyFont="1" applyAlignment="1"/>
    <xf numFmtId="0" fontId="4" fillId="33" borderId="25" xfId="0" applyFont="1" applyFill="1" applyBorder="1" applyAlignment="1"/>
    <xf numFmtId="0" fontId="4" fillId="33" borderId="4" xfId="0" applyFont="1" applyFill="1" applyBorder="1" applyAlignment="1"/>
    <xf numFmtId="0" fontId="30" fillId="0" borderId="0" xfId="0" applyFont="1" applyAlignment="1"/>
    <xf numFmtId="0" fontId="29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31" fillId="0" borderId="0" xfId="0" applyFont="1" applyAlignment="1"/>
    <xf numFmtId="164" fontId="6" fillId="0" borderId="5" xfId="19" applyFill="1" applyBorder="1" applyAlignment="1"/>
    <xf numFmtId="0" fontId="32" fillId="0" borderId="5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wrapText="1"/>
    </xf>
    <xf numFmtId="0" fontId="30" fillId="0" borderId="0" xfId="0" applyFont="1" applyFill="1" applyAlignment="1">
      <alignment wrapText="1"/>
    </xf>
    <xf numFmtId="0" fontId="28" fillId="0" borderId="0" xfId="0" applyFont="1" applyFill="1" applyAlignment="1">
      <alignment wrapText="1"/>
    </xf>
    <xf numFmtId="0" fontId="5" fillId="0" borderId="0" xfId="0" applyFont="1" applyFill="1" applyAlignment="1"/>
    <xf numFmtId="0" fontId="30" fillId="0" borderId="0" xfId="0" applyFont="1" applyFill="1" applyAlignment="1"/>
    <xf numFmtId="0" fontId="0" fillId="0" borderId="0" xfId="0" applyFont="1" applyFill="1" applyAlignment="1"/>
    <xf numFmtId="10" fontId="4" fillId="0" borderId="28" xfId="20" applyNumberFormat="1" applyFont="1" applyFill="1" applyBorder="1" applyAlignment="1"/>
    <xf numFmtId="17" fontId="4" fillId="0" borderId="26" xfId="0" applyNumberFormat="1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center" wrapText="1"/>
    </xf>
    <xf numFmtId="10" fontId="24" fillId="0" borderId="27" xfId="20" applyNumberFormat="1" applyFont="1" applyFill="1" applyBorder="1"/>
    <xf numFmtId="10" fontId="24" fillId="0" borderId="6" xfId="20" applyNumberFormat="1" applyFont="1" applyFill="1" applyBorder="1"/>
    <xf numFmtId="10" fontId="25" fillId="0" borderId="28" xfId="20" applyNumberFormat="1" applyFont="1" applyFill="1" applyBorder="1"/>
    <xf numFmtId="164" fontId="26" fillId="0" borderId="29" xfId="19" applyFont="1" applyFill="1" applyBorder="1"/>
    <xf numFmtId="10" fontId="24" fillId="0" borderId="26" xfId="20" applyNumberFormat="1" applyFont="1" applyFill="1" applyBorder="1"/>
    <xf numFmtId="10" fontId="24" fillId="0" borderId="30" xfId="20" applyNumberFormat="1" applyFont="1" applyFill="1" applyBorder="1"/>
    <xf numFmtId="0" fontId="32" fillId="0" borderId="31" xfId="0" applyFont="1" applyFill="1" applyBorder="1" applyAlignment="1">
      <alignment horizontal="center" vertical="center" wrapText="1"/>
    </xf>
    <xf numFmtId="164" fontId="6" fillId="0" borderId="31" xfId="19" applyFill="1" applyBorder="1" applyAlignment="1"/>
    <xf numFmtId="10" fontId="4" fillId="0" borderId="31" xfId="20" applyNumberFormat="1" applyFont="1" applyFill="1" applyBorder="1" applyAlignment="1"/>
    <xf numFmtId="0" fontId="33" fillId="0" borderId="0" xfId="0" applyFont="1" applyAlignment="1"/>
    <xf numFmtId="164" fontId="6" fillId="21" borderId="5" xfId="19" applyFill="1" applyBorder="1" applyAlignment="1"/>
    <xf numFmtId="164" fontId="4" fillId="33" borderId="25" xfId="0" applyNumberFormat="1" applyFont="1" applyFill="1" applyBorder="1" applyAlignment="1"/>
    <xf numFmtId="164" fontId="17" fillId="0" borderId="5" xfId="19" applyFont="1" applyFill="1" applyBorder="1" applyAlignment="1"/>
    <xf numFmtId="49" fontId="30" fillId="0" borderId="0" xfId="0" applyNumberFormat="1" applyFont="1" applyAlignment="1"/>
    <xf numFmtId="49" fontId="5" fillId="0" borderId="0" xfId="0" applyNumberFormat="1" applyFont="1" applyAlignment="1"/>
    <xf numFmtId="49" fontId="5" fillId="0" borderId="0" xfId="0" applyNumberFormat="1" applyFont="1" applyFill="1" applyAlignment="1"/>
    <xf numFmtId="49" fontId="28" fillId="0" borderId="0" xfId="0" applyNumberFormat="1" applyFont="1" applyAlignment="1">
      <alignment wrapText="1"/>
    </xf>
    <xf numFmtId="49" fontId="0" fillId="0" borderId="0" xfId="0" applyNumberFormat="1" applyFont="1" applyAlignment="1"/>
    <xf numFmtId="10" fontId="33" fillId="0" borderId="5" xfId="20" applyNumberFormat="1" applyFont="1" applyFill="1" applyBorder="1" applyAlignment="1"/>
    <xf numFmtId="164" fontId="33" fillId="0" borderId="5" xfId="19" applyFont="1" applyFill="1" applyBorder="1" applyAlignment="1"/>
    <xf numFmtId="167" fontId="6" fillId="0" borderId="0" xfId="20" applyNumberFormat="1" applyAlignment="1"/>
    <xf numFmtId="0" fontId="32" fillId="0" borderId="1" xfId="0" applyFont="1" applyFill="1" applyBorder="1" applyAlignment="1">
      <alignment horizontal="center" vertical="center" wrapText="1"/>
    </xf>
    <xf numFmtId="0" fontId="24" fillId="36" borderId="27" xfId="0" applyFont="1" applyFill="1" applyBorder="1" applyAlignment="1">
      <alignment horizontal="center" vertical="center" wrapText="1"/>
    </xf>
    <xf numFmtId="10" fontId="34" fillId="39" borderId="5" xfId="20" applyNumberFormat="1" applyFont="1" applyFill="1" applyBorder="1" applyAlignment="1"/>
    <xf numFmtId="0" fontId="37" fillId="0" borderId="41" xfId="0" applyFont="1" applyBorder="1" applyAlignment="1">
      <alignment wrapText="1"/>
    </xf>
    <xf numFmtId="0" fontId="17" fillId="0" borderId="41" xfId="0" applyFont="1" applyBorder="1" applyAlignment="1"/>
    <xf numFmtId="0" fontId="17" fillId="0" borderId="42" xfId="0" applyFont="1" applyBorder="1" applyAlignment="1"/>
    <xf numFmtId="0" fontId="0" fillId="42" borderId="0" xfId="0" applyFont="1" applyFill="1" applyBorder="1" applyAlignment="1"/>
    <xf numFmtId="0" fontId="0" fillId="0" borderId="40" xfId="0" applyFont="1" applyBorder="1" applyAlignment="1"/>
    <xf numFmtId="10" fontId="6" fillId="0" borderId="41" xfId="20" applyNumberFormat="1" applyBorder="1" applyAlignment="1"/>
    <xf numFmtId="165" fontId="0" fillId="0" borderId="41" xfId="0" applyNumberFormat="1" applyFont="1" applyBorder="1" applyAlignment="1"/>
    <xf numFmtId="0" fontId="37" fillId="0" borderId="41" xfId="0" applyFont="1" applyBorder="1" applyAlignment="1">
      <alignment horizontal="right" vertical="top" wrapText="1"/>
    </xf>
    <xf numFmtId="168" fontId="0" fillId="0" borderId="40" xfId="0" applyNumberFormat="1" applyFont="1" applyBorder="1" applyAlignment="1"/>
    <xf numFmtId="0" fontId="0" fillId="0" borderId="0" xfId="0" applyFont="1" applyBorder="1" applyAlignment="1"/>
    <xf numFmtId="0" fontId="2" fillId="39" borderId="41" xfId="0" applyFont="1" applyFill="1" applyBorder="1" applyAlignment="1"/>
    <xf numFmtId="0" fontId="2" fillId="39" borderId="42" xfId="0" applyFont="1" applyFill="1" applyBorder="1" applyAlignment="1"/>
    <xf numFmtId="168" fontId="0" fillId="0" borderId="41" xfId="0" applyNumberFormat="1" applyFont="1" applyBorder="1" applyAlignment="1"/>
    <xf numFmtId="3" fontId="0" fillId="0" borderId="41" xfId="0" applyNumberFormat="1" applyFont="1" applyBorder="1" applyAlignment="1"/>
    <xf numFmtId="0" fontId="37" fillId="0" borderId="40" xfId="0" applyFont="1" applyBorder="1" applyAlignment="1">
      <alignment horizontal="right"/>
    </xf>
    <xf numFmtId="0" fontId="17" fillId="0" borderId="41" xfId="0" applyFont="1" applyBorder="1" applyAlignment="1">
      <alignment wrapText="1"/>
    </xf>
    <xf numFmtId="0" fontId="17" fillId="0" borderId="40" xfId="0" applyFont="1" applyBorder="1" applyAlignment="1"/>
    <xf numFmtId="10" fontId="6" fillId="0" borderId="40" xfId="20" applyNumberFormat="1" applyBorder="1" applyAlignment="1"/>
    <xf numFmtId="0" fontId="37" fillId="0" borderId="40" xfId="0" applyFont="1" applyBorder="1" applyAlignment="1">
      <alignment wrapText="1"/>
    </xf>
    <xf numFmtId="165" fontId="0" fillId="0" borderId="40" xfId="0" applyNumberFormat="1" applyFont="1" applyBorder="1" applyAlignment="1"/>
    <xf numFmtId="0" fontId="2" fillId="39" borderId="40" xfId="0" applyFont="1" applyFill="1" applyBorder="1" applyAlignment="1"/>
    <xf numFmtId="17" fontId="4" fillId="8" borderId="14" xfId="0" applyNumberFormat="1" applyFont="1" applyFill="1" applyBorder="1" applyAlignment="1">
      <alignment horizontal="centerContinuous"/>
    </xf>
    <xf numFmtId="17" fontId="4" fillId="2" borderId="44" xfId="0" applyNumberFormat="1" applyFont="1" applyFill="1" applyBorder="1" applyAlignment="1">
      <alignment horizontal="centerContinuous"/>
    </xf>
    <xf numFmtId="0" fontId="38" fillId="40" borderId="0" xfId="0" applyFont="1" applyFill="1" applyAlignment="1">
      <alignment readingOrder="2"/>
    </xf>
    <xf numFmtId="17" fontId="25" fillId="36" borderId="43" xfId="0" applyNumberFormat="1" applyFont="1" applyFill="1" applyBorder="1" applyAlignment="1">
      <alignment horizontal="center" vertical="center"/>
    </xf>
    <xf numFmtId="10" fontId="6" fillId="0" borderId="0" xfId="20" applyNumberFormat="1" applyFill="1" applyAlignment="1">
      <alignment wrapText="1"/>
    </xf>
    <xf numFmtId="10" fontId="28" fillId="0" borderId="0" xfId="0" applyNumberFormat="1" applyFont="1" applyFill="1" applyAlignment="1">
      <alignment wrapText="1"/>
    </xf>
    <xf numFmtId="0" fontId="39" fillId="41" borderId="35" xfId="0" applyFont="1" applyFill="1" applyBorder="1" applyAlignment="1">
      <alignment horizontal="right" readingOrder="2"/>
    </xf>
    <xf numFmtId="0" fontId="39" fillId="41" borderId="35" xfId="0" applyFont="1" applyFill="1" applyBorder="1" applyAlignment="1">
      <alignment horizontal="right" wrapText="1" readingOrder="2"/>
    </xf>
    <xf numFmtId="164" fontId="6" fillId="43" borderId="5" xfId="19" applyFill="1" applyBorder="1" applyAlignment="1"/>
    <xf numFmtId="0" fontId="39" fillId="41" borderId="0" xfId="0" applyFont="1" applyFill="1" applyBorder="1" applyAlignment="1">
      <alignment horizontal="right" wrapText="1" readingOrder="2"/>
    </xf>
    <xf numFmtId="0" fontId="39" fillId="41" borderId="0" xfId="0" applyFont="1" applyFill="1" applyBorder="1" applyAlignment="1">
      <alignment horizontal="right" readingOrder="2"/>
    </xf>
    <xf numFmtId="0" fontId="39" fillId="41" borderId="40" xfId="0" applyFont="1" applyFill="1" applyBorder="1" applyAlignment="1">
      <alignment horizontal="right" readingOrder="2"/>
    </xf>
    <xf numFmtId="0" fontId="39" fillId="37" borderId="40" xfId="0" applyFont="1" applyFill="1" applyBorder="1" applyAlignment="1">
      <alignment horizontal="right" readingOrder="2"/>
    </xf>
    <xf numFmtId="10" fontId="6" fillId="0" borderId="40" xfId="20" applyNumberFormat="1" applyFill="1" applyBorder="1" applyAlignment="1"/>
    <xf numFmtId="10" fontId="6" fillId="0" borderId="45" xfId="20" applyNumberFormat="1" applyFill="1" applyBorder="1" applyAlignment="1"/>
    <xf numFmtId="10" fontId="6" fillId="0" borderId="41" xfId="20" applyNumberFormat="1" applyFill="1" applyBorder="1" applyAlignment="1"/>
    <xf numFmtId="10" fontId="6" fillId="0" borderId="46" xfId="20" applyNumberFormat="1" applyFill="1" applyBorder="1" applyAlignment="1"/>
    <xf numFmtId="0" fontId="0" fillId="0" borderId="45" xfId="0" applyFont="1" applyBorder="1" applyAlignment="1"/>
    <xf numFmtId="10" fontId="0" fillId="0" borderId="41" xfId="0" applyNumberFormat="1" applyFont="1" applyBorder="1" applyAlignment="1"/>
    <xf numFmtId="0" fontId="38" fillId="0" borderId="0" xfId="0" applyFont="1" applyFill="1" applyAlignment="1">
      <alignment horizontal="center" readingOrder="2"/>
    </xf>
    <xf numFmtId="10" fontId="5" fillId="0" borderId="0" xfId="0" applyNumberFormat="1" applyFont="1" applyAlignment="1"/>
    <xf numFmtId="0" fontId="29" fillId="0" borderId="0" xfId="0" applyFont="1" applyFill="1" applyAlignment="1"/>
    <xf numFmtId="10" fontId="0" fillId="0" borderId="0" xfId="0" applyNumberFormat="1" applyFont="1" applyFill="1" applyAlignment="1"/>
    <xf numFmtId="0" fontId="2" fillId="2" borderId="48" xfId="0" applyFont="1" applyFill="1" applyBorder="1" applyAlignment="1">
      <alignment horizontal="center" vertical="center" wrapText="1"/>
    </xf>
    <xf numFmtId="10" fontId="41" fillId="0" borderId="31" xfId="0" applyNumberFormat="1" applyFont="1" applyBorder="1" applyAlignment="1"/>
    <xf numFmtId="0" fontId="2" fillId="2" borderId="49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10" fontId="41" fillId="0" borderId="50" xfId="0" applyNumberFormat="1" applyFont="1" applyBorder="1" applyAlignment="1"/>
    <xf numFmtId="0" fontId="2" fillId="0" borderId="36" xfId="0" applyFont="1" applyBorder="1" applyAlignment="1">
      <alignment wrapText="1"/>
    </xf>
    <xf numFmtId="10" fontId="41" fillId="0" borderId="37" xfId="0" applyNumberFormat="1" applyFont="1" applyBorder="1" applyAlignment="1"/>
    <xf numFmtId="0" fontId="41" fillId="0" borderId="38" xfId="0" applyFont="1" applyBorder="1" applyAlignment="1">
      <alignment wrapText="1"/>
    </xf>
    <xf numFmtId="10" fontId="41" fillId="0" borderId="39" xfId="0" applyNumberFormat="1" applyFont="1" applyBorder="1" applyAlignment="1"/>
    <xf numFmtId="0" fontId="41" fillId="0" borderId="51" xfId="0" applyFont="1" applyBorder="1" applyAlignment="1">
      <alignment wrapText="1"/>
    </xf>
    <xf numFmtId="10" fontId="41" fillId="0" borderId="52" xfId="0" applyNumberFormat="1" applyFont="1" applyBorder="1" applyAlignment="1"/>
    <xf numFmtId="10" fontId="2" fillId="0" borderId="37" xfId="0" applyNumberFormat="1" applyFont="1" applyFill="1" applyBorder="1" applyAlignment="1"/>
    <xf numFmtId="0" fontId="0" fillId="0" borderId="31" xfId="0" applyFont="1" applyFill="1" applyBorder="1" applyAlignment="1"/>
    <xf numFmtId="10" fontId="32" fillId="37" borderId="6" xfId="20" applyNumberFormat="1" applyFont="1" applyFill="1" applyBorder="1"/>
    <xf numFmtId="10" fontId="25" fillId="0" borderId="31" xfId="20" applyNumberFormat="1" applyFont="1" applyFill="1" applyBorder="1"/>
    <xf numFmtId="10" fontId="36" fillId="0" borderId="31" xfId="0" applyNumberFormat="1" applyFont="1" applyBorder="1" applyAlignment="1"/>
    <xf numFmtId="10" fontId="5" fillId="0" borderId="45" xfId="0" applyNumberFormat="1" applyFont="1" applyFill="1" applyBorder="1" applyAlignment="1"/>
    <xf numFmtId="10" fontId="42" fillId="0" borderId="53" xfId="0" applyNumberFormat="1" applyFont="1" applyFill="1" applyBorder="1" applyAlignment="1">
      <alignment horizontal="right" vertical="center"/>
    </xf>
    <xf numFmtId="10" fontId="0" fillId="0" borderId="0" xfId="0" applyNumberFormat="1" applyFont="1" applyBorder="1" applyAlignment="1"/>
    <xf numFmtId="0" fontId="39" fillId="37" borderId="40" xfId="0" applyFont="1" applyFill="1" applyBorder="1" applyAlignment="1">
      <alignment horizontal="right" wrapText="1" readingOrder="2"/>
    </xf>
    <xf numFmtId="10" fontId="37" fillId="0" borderId="41" xfId="0" applyNumberFormat="1" applyFont="1" applyBorder="1" applyAlignment="1">
      <alignment horizontal="right" wrapText="1"/>
    </xf>
    <xf numFmtId="0" fontId="2" fillId="39" borderId="40" xfId="0" applyFont="1" applyFill="1" applyBorder="1" applyAlignment="1">
      <alignment wrapText="1"/>
    </xf>
    <xf numFmtId="10" fontId="6" fillId="0" borderId="45" xfId="20" applyNumberFormat="1" applyBorder="1" applyAlignment="1"/>
    <xf numFmtId="10" fontId="6" fillId="0" borderId="46" xfId="20" applyNumberFormat="1" applyBorder="1" applyAlignment="1"/>
    <xf numFmtId="0" fontId="2" fillId="39" borderId="0" xfId="0" applyFont="1" applyFill="1" applyBorder="1" applyAlignment="1"/>
    <xf numFmtId="0" fontId="2" fillId="39" borderId="43" xfId="0" applyFont="1" applyFill="1" applyBorder="1" applyAlignment="1"/>
    <xf numFmtId="0" fontId="0" fillId="0" borderId="41" xfId="0" applyFont="1" applyBorder="1" applyAlignment="1"/>
    <xf numFmtId="0" fontId="0" fillId="0" borderId="42" xfId="0" applyFont="1" applyBorder="1" applyAlignment="1"/>
    <xf numFmtId="0" fontId="0" fillId="0" borderId="34" xfId="0" applyFont="1" applyBorder="1" applyAlignment="1"/>
    <xf numFmtId="164" fontId="0" fillId="0" borderId="35" xfId="0" applyNumberFormat="1" applyFont="1" applyBorder="1" applyAlignment="1"/>
    <xf numFmtId="164" fontId="0" fillId="0" borderId="46" xfId="0" applyNumberFormat="1" applyFont="1" applyBorder="1" applyAlignment="1"/>
    <xf numFmtId="164" fontId="0" fillId="0" borderId="41" xfId="0" applyNumberFormat="1" applyFont="1" applyBorder="1" applyAlignment="1"/>
    <xf numFmtId="10" fontId="0" fillId="0" borderId="35" xfId="0" applyNumberFormat="1" applyFont="1" applyBorder="1" applyAlignment="1"/>
    <xf numFmtId="0" fontId="0" fillId="0" borderId="0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10" fontId="0" fillId="0" borderId="41" xfId="0" applyNumberFormat="1" applyFont="1" applyFill="1" applyBorder="1" applyAlignment="1">
      <alignment wrapText="1"/>
    </xf>
    <xf numFmtId="10" fontId="0" fillId="0" borderId="40" xfId="0" applyNumberFormat="1" applyFont="1" applyFill="1" applyBorder="1" applyAlignment="1">
      <alignment wrapText="1"/>
    </xf>
    <xf numFmtId="0" fontId="39" fillId="41" borderId="40" xfId="0" applyFont="1" applyFill="1" applyBorder="1" applyAlignment="1">
      <alignment horizontal="right" wrapText="1" readingOrder="2"/>
    </xf>
    <xf numFmtId="10" fontId="24" fillId="0" borderId="50" xfId="20" applyNumberFormat="1" applyFont="1" applyFill="1" applyBorder="1"/>
    <xf numFmtId="10" fontId="2" fillId="0" borderId="54" xfId="0" applyNumberFormat="1" applyFont="1" applyFill="1" applyBorder="1" applyAlignment="1">
      <alignment vertical="top" wrapText="1"/>
    </xf>
    <xf numFmtId="10" fontId="2" fillId="0" borderId="52" xfId="0" applyNumberFormat="1" applyFont="1" applyFill="1" applyBorder="1" applyAlignment="1">
      <alignment vertical="top" wrapText="1"/>
    </xf>
    <xf numFmtId="0" fontId="0" fillId="0" borderId="42" xfId="0" applyFont="1" applyFill="1" applyBorder="1" applyAlignment="1"/>
    <xf numFmtId="0" fontId="0" fillId="0" borderId="40" xfId="0" applyFont="1" applyFill="1" applyBorder="1" applyAlignment="1">
      <alignment wrapText="1"/>
    </xf>
    <xf numFmtId="0" fontId="0" fillId="0" borderId="34" xfId="0" applyFont="1" applyFill="1" applyBorder="1" applyAlignment="1">
      <alignment wrapText="1"/>
    </xf>
    <xf numFmtId="168" fontId="0" fillId="0" borderId="35" xfId="0" applyNumberFormat="1" applyFont="1" applyFill="1" applyBorder="1" applyAlignment="1">
      <alignment wrapText="1"/>
    </xf>
    <xf numFmtId="0" fontId="0" fillId="0" borderId="32" xfId="0" applyFont="1" applyBorder="1" applyAlignment="1">
      <alignment horizontal="center" vertical="center"/>
    </xf>
    <xf numFmtId="3" fontId="0" fillId="0" borderId="41" xfId="0" applyNumberFormat="1" applyFont="1" applyFill="1" applyBorder="1" applyAlignment="1">
      <alignment wrapText="1"/>
    </xf>
    <xf numFmtId="3" fontId="0" fillId="0" borderId="41" xfId="0" applyNumberFormat="1" applyFont="1" applyFill="1" applyBorder="1" applyAlignment="1">
      <alignment vertical="top" wrapText="1"/>
    </xf>
    <xf numFmtId="3" fontId="0" fillId="0" borderId="35" xfId="0" applyNumberFormat="1" applyFont="1" applyFill="1" applyBorder="1" applyAlignment="1">
      <alignment wrapText="1"/>
    </xf>
    <xf numFmtId="0" fontId="17" fillId="0" borderId="42" xfId="0" applyFont="1" applyBorder="1" applyAlignment="1">
      <alignment wrapText="1"/>
    </xf>
    <xf numFmtId="10" fontId="0" fillId="0" borderId="35" xfId="0" applyNumberFormat="1" applyFont="1" applyFill="1" applyBorder="1" applyAlignment="1">
      <alignment wrapText="1"/>
    </xf>
    <xf numFmtId="0" fontId="0" fillId="0" borderId="32" xfId="0" applyFont="1" applyFill="1" applyBorder="1" applyAlignment="1">
      <alignment horizontal="center" vertical="center"/>
    </xf>
    <xf numFmtId="9" fontId="6" fillId="0" borderId="35" xfId="20" applyFill="1" applyBorder="1" applyAlignment="1">
      <alignment wrapText="1"/>
    </xf>
    <xf numFmtId="9" fontId="6" fillId="0" borderId="41" xfId="20" applyFill="1" applyBorder="1" applyAlignment="1">
      <alignment wrapText="1"/>
    </xf>
    <xf numFmtId="0" fontId="29" fillId="0" borderId="31" xfId="0" applyFont="1" applyBorder="1" applyAlignment="1"/>
    <xf numFmtId="0" fontId="29" fillId="0" borderId="31" xfId="0" applyFont="1" applyFill="1" applyBorder="1" applyAlignment="1"/>
    <xf numFmtId="17" fontId="4" fillId="2" borderId="43" xfId="0" applyNumberFormat="1" applyFont="1" applyFill="1" applyBorder="1" applyAlignment="1">
      <alignment horizontal="center"/>
    </xf>
    <xf numFmtId="17" fontId="4" fillId="8" borderId="43" xfId="0" applyNumberFormat="1" applyFont="1" applyFill="1" applyBorder="1" applyAlignment="1">
      <alignment horizontal="center"/>
    </xf>
    <xf numFmtId="17" fontId="4" fillId="8" borderId="33" xfId="0" applyNumberFormat="1" applyFont="1" applyFill="1" applyBorder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left" readingOrder="2"/>
    </xf>
    <xf numFmtId="0" fontId="43" fillId="0" borderId="0" xfId="0" applyFont="1" applyBorder="1" applyAlignment="1">
      <alignment horizontal="left"/>
    </xf>
    <xf numFmtId="0" fontId="44" fillId="44" borderId="0" xfId="0" applyFont="1" applyFill="1" applyAlignment="1">
      <alignment horizontal="center"/>
    </xf>
    <xf numFmtId="0" fontId="45" fillId="44" borderId="0" xfId="0" applyFont="1" applyFill="1"/>
    <xf numFmtId="17" fontId="25" fillId="37" borderId="56" xfId="0" applyNumberFormat="1" applyFont="1" applyFill="1" applyBorder="1" applyAlignment="1">
      <alignment horizontal="center"/>
    </xf>
    <xf numFmtId="17" fontId="25" fillId="37" borderId="15" xfId="0" applyNumberFormat="1" applyFont="1" applyFill="1" applyBorder="1" applyAlignment="1">
      <alignment horizontal="center"/>
    </xf>
    <xf numFmtId="0" fontId="5" fillId="14" borderId="55" xfId="0" applyFont="1" applyFill="1" applyBorder="1" applyAlignment="1">
      <alignment horizontal="center"/>
    </xf>
    <xf numFmtId="0" fontId="5" fillId="14" borderId="57" xfId="0" applyFont="1" applyFill="1" applyBorder="1" applyAlignment="1">
      <alignment horizontal="center"/>
    </xf>
    <xf numFmtId="17" fontId="25" fillId="36" borderId="56" xfId="0" applyNumberFormat="1" applyFont="1" applyFill="1" applyBorder="1" applyAlignment="1">
      <alignment horizontal="center"/>
    </xf>
    <xf numFmtId="17" fontId="25" fillId="36" borderId="53" xfId="0" applyNumberFormat="1" applyFont="1" applyFill="1" applyBorder="1" applyAlignment="1">
      <alignment horizontal="center"/>
    </xf>
    <xf numFmtId="17" fontId="25" fillId="37" borderId="53" xfId="0" applyNumberFormat="1" applyFont="1" applyFill="1" applyBorder="1" applyAlignment="1">
      <alignment horizontal="center"/>
    </xf>
    <xf numFmtId="0" fontId="38" fillId="40" borderId="0" xfId="0" applyFont="1" applyFill="1" applyAlignment="1">
      <alignment horizontal="center" readingOrder="2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abSelected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209" t="s">
        <v>162</v>
      </c>
      <c r="B1" s="100"/>
      <c r="D1" s="3"/>
    </row>
    <row r="2" spans="1:26" ht="18">
      <c r="A2" s="210" t="s">
        <v>163</v>
      </c>
      <c r="B2" s="212">
        <v>152</v>
      </c>
    </row>
    <row r="3" spans="1:26" ht="18">
      <c r="A3" s="211" t="s">
        <v>164</v>
      </c>
      <c r="B3" s="213" t="s">
        <v>149</v>
      </c>
    </row>
    <row r="4" spans="1:26" ht="18">
      <c r="A4" s="210" t="s">
        <v>165</v>
      </c>
      <c r="B4" s="213" t="s">
        <v>148</v>
      </c>
    </row>
    <row r="5" spans="1:26" ht="18">
      <c r="A5" s="211" t="s">
        <v>166</v>
      </c>
      <c r="B5" s="212">
        <v>2023</v>
      </c>
      <c r="C5" s="211" t="s">
        <v>167</v>
      </c>
      <c r="D5" s="212" t="s">
        <v>169</v>
      </c>
    </row>
    <row r="6" spans="1:26">
      <c r="A6" s="4"/>
      <c r="D6" s="5"/>
    </row>
    <row r="7" spans="1:26" ht="15.75">
      <c r="A7" s="6" t="s">
        <v>0</v>
      </c>
      <c r="B7" s="7" t="s">
        <v>170</v>
      </c>
      <c r="C7" s="8"/>
      <c r="D7" s="9" t="s">
        <v>171</v>
      </c>
      <c r="E7" s="10"/>
      <c r="F7" s="7" t="s">
        <v>172</v>
      </c>
      <c r="G7" s="8"/>
      <c r="H7" s="9" t="s">
        <v>173</v>
      </c>
      <c r="I7" s="10"/>
      <c r="J7" s="7" t="s">
        <v>174</v>
      </c>
      <c r="K7" s="8"/>
      <c r="L7" s="9" t="s">
        <v>175</v>
      </c>
      <c r="M7" s="10"/>
      <c r="N7" s="7" t="s">
        <v>176</v>
      </c>
      <c r="O7" s="8"/>
      <c r="P7" s="9" t="s">
        <v>177</v>
      </c>
      <c r="Q7" s="10"/>
      <c r="R7" s="7" t="s">
        <v>178</v>
      </c>
      <c r="S7" s="8"/>
      <c r="T7" s="9" t="s">
        <v>179</v>
      </c>
      <c r="U7" s="9"/>
      <c r="V7" s="7" t="s">
        <v>180</v>
      </c>
      <c r="W7" s="8"/>
      <c r="X7" s="9" t="s">
        <v>181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1.1706228993746577E-4</v>
      </c>
      <c r="C9" s="16">
        <v>4.667769616359816E-2</v>
      </c>
      <c r="D9" s="17">
        <v>3.1346538117417444E-4</v>
      </c>
      <c r="E9" s="17">
        <v>3.1333137199349818E-2</v>
      </c>
      <c r="F9" s="16">
        <v>-1.2819248526858666E-4</v>
      </c>
      <c r="G9" s="16">
        <v>8.5940790842559775E-2</v>
      </c>
      <c r="H9" s="17">
        <v>3.8942752545893539E-4</v>
      </c>
      <c r="I9" s="17">
        <v>6.533188723893385E-2</v>
      </c>
      <c r="J9" s="16">
        <v>3.1878743297220763E-4</v>
      </c>
      <c r="K9" s="16">
        <v>6.1336164969220203E-2</v>
      </c>
      <c r="L9" s="17">
        <v>-8.3291837015794876E-5</v>
      </c>
      <c r="M9" s="17">
        <v>6.515813978480875E-2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56</v>
      </c>
      <c r="B10" s="16">
        <v>3.6809259589854404E-3</v>
      </c>
      <c r="C10" s="16">
        <v>0.39379141406511864</v>
      </c>
      <c r="D10" s="17">
        <v>-7.1421292464880787E-3</v>
      </c>
      <c r="E10" s="17">
        <v>0.40777631728814689</v>
      </c>
      <c r="F10" s="16">
        <v>5.6852198304312004E-3</v>
      </c>
      <c r="G10" s="16">
        <v>0.39098305958673701</v>
      </c>
      <c r="H10" s="17">
        <v>2.6221590968617637E-4</v>
      </c>
      <c r="I10" s="17">
        <v>0.40165353735391468</v>
      </c>
      <c r="J10" s="16">
        <v>4.2896938594556453E-3</v>
      </c>
      <c r="K10" s="16">
        <v>0.39382580372548881</v>
      </c>
      <c r="L10" s="17">
        <v>2.261052784159629E-5</v>
      </c>
      <c r="M10" s="17">
        <v>0.45657258409734203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6.8561719883776032E-3</v>
      </c>
      <c r="C13" s="16">
        <v>0.375205666873068</v>
      </c>
      <c r="D13" s="17">
        <v>-5.7771450741215848E-3</v>
      </c>
      <c r="E13" s="17">
        <v>0.37459556277708406</v>
      </c>
      <c r="F13" s="16">
        <v>1.1958412784833672E-3</v>
      </c>
      <c r="G13" s="16">
        <v>0.34762544793954647</v>
      </c>
      <c r="H13" s="17">
        <v>5.2339966667621224E-3</v>
      </c>
      <c r="I13" s="17">
        <v>0.35089097039854045</v>
      </c>
      <c r="J13" s="16">
        <v>4.7973144891446853E-3</v>
      </c>
      <c r="K13" s="16">
        <v>0.35940744091471005</v>
      </c>
      <c r="L13" s="17">
        <v>1.0326673673796364E-3</v>
      </c>
      <c r="M13" s="17">
        <v>0.3573412281073759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-5.3626814169451854E-4</v>
      </c>
      <c r="C14" s="16">
        <v>5.7871399094373985E-2</v>
      </c>
      <c r="D14" s="17">
        <v>-1.2552635248192609E-3</v>
      </c>
      <c r="E14" s="17">
        <v>5.2865730698153583E-2</v>
      </c>
      <c r="F14" s="16">
        <v>5.8421454187755726E-4</v>
      </c>
      <c r="G14" s="16">
        <v>4.8167947600161132E-2</v>
      </c>
      <c r="H14" s="17">
        <v>2.6139608332508577E-4</v>
      </c>
      <c r="I14" s="17">
        <v>4.9185011935735268E-2</v>
      </c>
      <c r="J14" s="16">
        <v>1.0456163186751773E-3</v>
      </c>
      <c r="K14" s="16">
        <v>4.9826444395482894E-2</v>
      </c>
      <c r="L14" s="17">
        <v>3.4101992091690699E-4</v>
      </c>
      <c r="M14" s="17">
        <v>6.2599978954040833E-2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-9.0648279054472604E-6</v>
      </c>
      <c r="C15" s="16">
        <v>1.0882095188548716E-4</v>
      </c>
      <c r="D15" s="17">
        <v>-7.5326944222380571E-6</v>
      </c>
      <c r="E15" s="17">
        <v>9.4283150015489036E-5</v>
      </c>
      <c r="F15" s="16">
        <v>7.1437706030441527E-6</v>
      </c>
      <c r="G15" s="16">
        <v>8.0676660296956406E-5</v>
      </c>
      <c r="H15" s="17">
        <v>6.9454381138625727E-6</v>
      </c>
      <c r="I15" s="17">
        <v>8.8109829002773254E-5</v>
      </c>
      <c r="J15" s="16">
        <v>-1.8276344534878999E-6</v>
      </c>
      <c r="K15" s="16">
        <v>9.4655777113809752E-5</v>
      </c>
      <c r="L15" s="17">
        <v>2.3042602658332842E-6</v>
      </c>
      <c r="M15" s="17">
        <v>5.3444314976562565E-5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5.3018192303790881E-4</v>
      </c>
      <c r="C16" s="16">
        <v>2.7676102617625556E-2</v>
      </c>
      <c r="D16" s="17">
        <v>-1.2392280576656545E-4</v>
      </c>
      <c r="E16" s="17">
        <v>2.6731790090509633E-2</v>
      </c>
      <c r="F16" s="16">
        <v>2.2715292381780372E-4</v>
      </c>
      <c r="G16" s="16">
        <v>2.3829316342059582E-2</v>
      </c>
      <c r="H16" s="17">
        <v>4.2995733100447E-4</v>
      </c>
      <c r="I16" s="17">
        <v>2.3720590876337662E-2</v>
      </c>
      <c r="J16" s="16">
        <v>1.8445551456861169E-4</v>
      </c>
      <c r="K16" s="16">
        <v>2.3775373982266212E-2</v>
      </c>
      <c r="L16" s="17">
        <v>1.8615792688006093E-5</v>
      </c>
      <c r="M16" s="17">
        <v>8.3242387261690219E-3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6.4912141370969162E-4</v>
      </c>
      <c r="C17" s="16">
        <v>4.0441326015008307E-2</v>
      </c>
      <c r="D17" s="17">
        <v>1.9134551698081858E-3</v>
      </c>
      <c r="E17" s="17">
        <v>4.1745799140662863E-2</v>
      </c>
      <c r="F17" s="16">
        <v>-8.1955010626124974E-4</v>
      </c>
      <c r="G17" s="16">
        <v>4.3167273550825919E-2</v>
      </c>
      <c r="H17" s="17">
        <v>1.3598390172460764E-3</v>
      </c>
      <c r="I17" s="17">
        <v>4.4845133007963299E-2</v>
      </c>
      <c r="J17" s="16">
        <v>6.9400907086422539E-4</v>
      </c>
      <c r="K17" s="16">
        <v>4.3861085241678768E-2</v>
      </c>
      <c r="L17" s="17">
        <v>6.0411919100194588E-5</v>
      </c>
      <c r="M17" s="17">
        <v>-3.5042598423785112E-2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-2.8081010238662646E-4</v>
      </c>
      <c r="C18" s="16">
        <v>1.4501829154903044E-2</v>
      </c>
      <c r="D18" s="17">
        <v>8.4365181070905637E-4</v>
      </c>
      <c r="E18" s="17">
        <v>1.6992083685271848E-2</v>
      </c>
      <c r="F18" s="16">
        <v>-2.0168498790989E-4</v>
      </c>
      <c r="G18" s="16">
        <v>1.767488321907313E-2</v>
      </c>
      <c r="H18" s="17">
        <v>3.8371670210006389E-4</v>
      </c>
      <c r="I18" s="17">
        <v>1.8444880665111293E-2</v>
      </c>
      <c r="J18" s="16">
        <v>5.7510223958574423E-4</v>
      </c>
      <c r="K18" s="16">
        <v>2.0437129373588221E-2</v>
      </c>
      <c r="L18" s="17">
        <v>-1.3088060222548838E-4</v>
      </c>
      <c r="M18" s="17">
        <v>2.6976179774779379E-2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-1.7689081611176916E-6</v>
      </c>
      <c r="C19" s="16">
        <v>1.4308071398737402E-5</v>
      </c>
      <c r="D19" s="17">
        <v>-4.3334744331282816E-7</v>
      </c>
      <c r="E19" s="17">
        <v>1.1850392289772843E-5</v>
      </c>
      <c r="F19" s="16">
        <v>6.9843702096476226E-7</v>
      </c>
      <c r="G19" s="16">
        <v>1.0636347433463002E-5</v>
      </c>
      <c r="H19" s="17">
        <v>-3.2349522165948093E-7</v>
      </c>
      <c r="I19" s="17">
        <v>1.1376201528939779E-5</v>
      </c>
      <c r="J19" s="16">
        <v>-2.3985191580984522E-8</v>
      </c>
      <c r="K19" s="16">
        <v>1.1006930318763501E-5</v>
      </c>
      <c r="L19" s="17">
        <v>1.1379213509246568E-6</v>
      </c>
      <c r="M19" s="17">
        <v>1.5530963463121545E-5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76" customFormat="1">
      <c r="A20" s="19" t="s">
        <v>14</v>
      </c>
      <c r="B20" s="16">
        <v>5.9806890520728391E-4</v>
      </c>
      <c r="C20" s="16">
        <v>-4.3254376492026219E-3</v>
      </c>
      <c r="D20" s="17">
        <v>-4.7317707664846637E-3</v>
      </c>
      <c r="E20" s="17">
        <v>-3.2629454025873191E-3</v>
      </c>
      <c r="F20" s="16">
        <v>2.3605485922057437E-3</v>
      </c>
      <c r="G20" s="16">
        <v>-6.2506131346777979E-3</v>
      </c>
      <c r="H20" s="17">
        <v>-2.5029839870962813E-3</v>
      </c>
      <c r="I20" s="17">
        <v>-3.605340656517964E-3</v>
      </c>
      <c r="J20" s="16">
        <v>-2.485536421009087E-3</v>
      </c>
      <c r="K20" s="16">
        <v>-2.3409935193915042E-3</v>
      </c>
      <c r="L20" s="17">
        <v>1.3237350432207494E-3</v>
      </c>
      <c r="M20" s="17">
        <v>-4.8036665556739034E-3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47"/>
    </row>
    <row r="21" spans="1:28">
      <c r="A21" s="19" t="s">
        <v>15</v>
      </c>
      <c r="B21" s="16">
        <v>0</v>
      </c>
      <c r="C21" s="16">
        <v>0</v>
      </c>
      <c r="D21" s="17">
        <v>-7.3103069912905456E-6</v>
      </c>
      <c r="E21" s="17">
        <v>4.4692144560012954E-6</v>
      </c>
      <c r="F21" s="16">
        <v>-3.9860214989565323E-5</v>
      </c>
      <c r="G21" s="16">
        <v>5.5761303768345307E-5</v>
      </c>
      <c r="H21" s="17">
        <v>-4.7144185446367201E-5</v>
      </c>
      <c r="I21" s="17">
        <v>5.3206253464705908E-5</v>
      </c>
      <c r="J21" s="16">
        <v>-6.1433146458839625E-6</v>
      </c>
      <c r="K21" s="16">
        <v>6.1378824075556955E-6</v>
      </c>
      <c r="L21" s="17">
        <v>-3.3141764138129318E-9</v>
      </c>
      <c r="M21" s="17">
        <v>4.0909107399014719E-9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3.8165250089231413E-4</v>
      </c>
      <c r="C23" s="16">
        <v>4.8036874642222532E-2</v>
      </c>
      <c r="D23" s="17">
        <v>-1.0350645951544232E-3</v>
      </c>
      <c r="E23" s="17">
        <v>5.1111921766647021E-2</v>
      </c>
      <c r="F23" s="16">
        <v>3.6846841998960895E-4</v>
      </c>
      <c r="G23" s="16">
        <v>4.8714819742215851E-2</v>
      </c>
      <c r="H23" s="17">
        <v>4.4295699406751428E-4</v>
      </c>
      <c r="I23" s="17">
        <v>4.9380636895984785E-2</v>
      </c>
      <c r="J23" s="16">
        <v>8.2855243003374503E-4</v>
      </c>
      <c r="K23" s="16">
        <v>4.9759750327116735E-2</v>
      </c>
      <c r="L23" s="17">
        <v>2.6476645314957471E-4</v>
      </c>
      <c r="M23" s="17">
        <v>6.0533326921157947E-2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6.9065475042746549E-6</v>
      </c>
      <c r="M24" s="17">
        <v>2.271609244435487E-3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20" t="s">
        <v>22</v>
      </c>
      <c r="B28" s="21">
        <v>1.1985272999999999E-2</v>
      </c>
      <c r="C28" s="22">
        <v>0.99999999999999978</v>
      </c>
      <c r="D28" s="23">
        <v>-1.7010000000000001E-2</v>
      </c>
      <c r="E28" s="24">
        <v>0.99999999999999967</v>
      </c>
      <c r="F28" s="21">
        <v>9.2399999999999999E-3</v>
      </c>
      <c r="G28" s="22">
        <v>1</v>
      </c>
      <c r="H28" s="23">
        <v>6.2199999999999998E-3</v>
      </c>
      <c r="I28" s="24">
        <v>0.99999999999999989</v>
      </c>
      <c r="J28" s="21">
        <v>1.0240000000000001E-2</v>
      </c>
      <c r="K28" s="22">
        <v>1.0000000000000004</v>
      </c>
      <c r="L28" s="23">
        <v>2.8600000000000001E-3</v>
      </c>
      <c r="M28" s="24">
        <v>1.0000000000000009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>
      <c r="A29" s="20" t="s">
        <v>23</v>
      </c>
      <c r="B29" s="25">
        <v>2923.4989999999998</v>
      </c>
      <c r="C29" s="26"/>
      <c r="D29" s="27">
        <v>-4168.2290000000003</v>
      </c>
      <c r="E29" s="26"/>
      <c r="F29" s="25">
        <v>2210.8980000000001</v>
      </c>
      <c r="G29" s="26"/>
      <c r="H29" s="27">
        <v>1495.7639999999999</v>
      </c>
      <c r="I29" s="26"/>
      <c r="J29" s="25">
        <v>2441.3890000000001</v>
      </c>
      <c r="K29" s="26"/>
      <c r="L29" s="27">
        <v>681.73800000000006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8.3035115560015013E-3</v>
      </c>
      <c r="C31" s="16">
        <v>0.83395727170488421</v>
      </c>
      <c r="D31" s="32">
        <v>-2.336286585640019E-2</v>
      </c>
      <c r="E31" s="32">
        <v>0.80647841697703759</v>
      </c>
      <c r="F31" s="30">
        <v>1.0888286201166558E-2</v>
      </c>
      <c r="G31" s="16">
        <v>0.77858833759747414</v>
      </c>
      <c r="H31" s="32">
        <v>-4.5435882782512201E-4</v>
      </c>
      <c r="I31" s="32">
        <v>0.77444532584114378</v>
      </c>
      <c r="J31" s="30">
        <v>7.5592555945268019E-3</v>
      </c>
      <c r="K31" s="16">
        <v>0.7748110918105261</v>
      </c>
      <c r="L31" s="32">
        <v>3.9866726213487608E-3</v>
      </c>
      <c r="M31" s="32">
        <v>0.98946057540021104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3.6817614439985115E-3</v>
      </c>
      <c r="C32" s="16">
        <v>0.16604272829511577</v>
      </c>
      <c r="D32" s="31">
        <v>6.3528658564001843E-3</v>
      </c>
      <c r="E32" s="17">
        <v>0.1935215830229623</v>
      </c>
      <c r="F32" s="30">
        <v>-1.648286201166544E-3</v>
      </c>
      <c r="G32" s="16">
        <v>0.22141166240252583</v>
      </c>
      <c r="H32" s="31">
        <v>6.6743588278251218E-3</v>
      </c>
      <c r="I32" s="17">
        <v>0.22555467415885613</v>
      </c>
      <c r="J32" s="30">
        <v>2.6807444054732016E-3</v>
      </c>
      <c r="K32" s="16">
        <v>0.22518890818947401</v>
      </c>
      <c r="L32" s="31">
        <v>-1.1266726213487587E-3</v>
      </c>
      <c r="M32" s="17">
        <v>1.0539424599789087E-2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>
      <c r="A33" s="20" t="s">
        <v>22</v>
      </c>
      <c r="B33" s="21">
        <v>1.1985273000000013E-2</v>
      </c>
      <c r="C33" s="22">
        <v>1</v>
      </c>
      <c r="D33" s="23">
        <v>-1.7010000000000004E-2</v>
      </c>
      <c r="E33" s="24">
        <v>0.99999999999999989</v>
      </c>
      <c r="F33" s="21">
        <v>9.2400000000000138E-3</v>
      </c>
      <c r="G33" s="22">
        <v>1</v>
      </c>
      <c r="H33" s="23">
        <v>6.2199999999999998E-3</v>
      </c>
      <c r="I33" s="24">
        <v>0.99999999999999989</v>
      </c>
      <c r="J33" s="21">
        <v>1.0240000000000003E-2</v>
      </c>
      <c r="K33" s="22">
        <v>1</v>
      </c>
      <c r="L33" s="23">
        <v>2.8600000000000023E-3</v>
      </c>
      <c r="M33" s="24">
        <v>1.0000000000000002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1.1892507467662308E-2</v>
      </c>
      <c r="C35" s="16">
        <v>0.88391646725633888</v>
      </c>
      <c r="D35" s="17">
        <v>-1.102264755876357E-2</v>
      </c>
      <c r="E35" s="32">
        <v>0.88237378953499901</v>
      </c>
      <c r="F35" s="30">
        <v>6.2691837674058821E-3</v>
      </c>
      <c r="G35" s="16">
        <v>0.89154376211410757</v>
      </c>
      <c r="H35" s="17">
        <v>7.674442994529111E-3</v>
      </c>
      <c r="I35" s="32">
        <v>0.88642245225280392</v>
      </c>
      <c r="J35" s="30">
        <v>1.02252855050412E-2</v>
      </c>
      <c r="K35" s="16">
        <v>0.88216765882935977</v>
      </c>
      <c r="L35" s="17">
        <v>9.2398437588789512E-4</v>
      </c>
      <c r="M35" s="32">
        <v>0.85258361801798244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9.2765532337701613E-5</v>
      </c>
      <c r="C36" s="16">
        <v>0.11608353274366123</v>
      </c>
      <c r="D36" s="31">
        <v>-5.9873524412364376E-3</v>
      </c>
      <c r="E36" s="17">
        <v>0.11762621046500105</v>
      </c>
      <c r="F36" s="30">
        <v>2.9708162325941308E-3</v>
      </c>
      <c r="G36" s="16">
        <v>0.10845623788589237</v>
      </c>
      <c r="H36" s="31">
        <v>-1.4544429945291112E-3</v>
      </c>
      <c r="I36" s="17">
        <v>0.11357754774719606</v>
      </c>
      <c r="J36" s="30">
        <v>1.4714494958803545E-5</v>
      </c>
      <c r="K36" s="16">
        <v>0.11783234117064031</v>
      </c>
      <c r="L36" s="31">
        <v>1.936015624112107E-3</v>
      </c>
      <c r="M36" s="17">
        <v>0.1474163819820177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>
      <c r="A37" s="20" t="s">
        <v>22</v>
      </c>
      <c r="B37" s="21">
        <v>1.198527300000001E-2</v>
      </c>
      <c r="C37" s="22">
        <v>1</v>
      </c>
      <c r="D37" s="23">
        <v>-1.7010000000000008E-2</v>
      </c>
      <c r="E37" s="24">
        <v>1</v>
      </c>
      <c r="F37" s="21">
        <v>9.2400000000000121E-3</v>
      </c>
      <c r="G37" s="22">
        <v>1</v>
      </c>
      <c r="H37" s="23">
        <v>6.2199999999999998E-3</v>
      </c>
      <c r="I37" s="24">
        <v>1</v>
      </c>
      <c r="J37" s="21">
        <v>1.0240000000000004E-2</v>
      </c>
      <c r="K37" s="22">
        <v>1</v>
      </c>
      <c r="L37" s="23">
        <v>2.8600000000000023E-3</v>
      </c>
      <c r="M37" s="24">
        <v>1.0000000000000002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145"/>
      <c r="B39" s="37"/>
      <c r="C39" s="37"/>
      <c r="D39" s="216"/>
      <c r="E39" s="2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218" t="s">
        <v>182</v>
      </c>
      <c r="C40" s="219"/>
      <c r="D40" s="214" t="s">
        <v>183</v>
      </c>
      <c r="E40" s="220"/>
      <c r="F40" s="218" t="s">
        <v>184</v>
      </c>
      <c r="G40" s="219"/>
      <c r="H40" s="214" t="s">
        <v>184</v>
      </c>
      <c r="I40" s="2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148" t="s">
        <v>1</v>
      </c>
      <c r="C41" s="150" t="s">
        <v>2</v>
      </c>
      <c r="D41" s="151" t="s">
        <v>1</v>
      </c>
      <c r="E41" s="14" t="s">
        <v>2</v>
      </c>
      <c r="F41" s="148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3.0231668570235206E-4</v>
      </c>
      <c r="C42" s="48">
        <v>5.4650541401835916E-2</v>
      </c>
      <c r="D42" s="49">
        <v>9.2749389723523201E-4</v>
      </c>
      <c r="E42" s="49">
        <v>5.9296302699745097E-2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2.1291281592357636E-3</v>
      </c>
      <c r="C43" s="48">
        <v>0.39751693031333418</v>
      </c>
      <c r="D43" s="49">
        <v>6.7555762904769031E-3</v>
      </c>
      <c r="E43" s="49">
        <v>0.40743378601945807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2.1916207770801537E-3</v>
      </c>
      <c r="C46" s="48">
        <v>0.36580889252989951</v>
      </c>
      <c r="D46" s="49">
        <v>1.3353680645022698E-2</v>
      </c>
      <c r="E46" s="49">
        <v>0.36084438616838749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-1.2141889294869214E-3</v>
      </c>
      <c r="C47" s="48">
        <v>5.2968359130896231E-2</v>
      </c>
      <c r="D47" s="49">
        <v>4.3801630980345801E-4</v>
      </c>
      <c r="E47" s="49">
        <v>5.3419418779657953E-2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-9.4654077495878782E-6</v>
      </c>
      <c r="C48" s="48">
        <v>9.4593587399310867E-5</v>
      </c>
      <c r="D48" s="49">
        <v>-2.0335187057412255E-6</v>
      </c>
      <c r="E48" s="49">
        <v>8.6665113881846361E-5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6.3023895208108734E-4</v>
      </c>
      <c r="C49" s="48">
        <v>2.6079069683398255E-2</v>
      </c>
      <c r="D49" s="49">
        <v>1.2665182996904338E-3</v>
      </c>
      <c r="E49" s="49">
        <v>2.2342902105827941E-2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1.7370407641022303E-3</v>
      </c>
      <c r="C50" s="48">
        <v>4.1784799568832361E-2</v>
      </c>
      <c r="D50" s="49">
        <v>3.8605919501924929E-3</v>
      </c>
      <c r="E50" s="49">
        <v>2.9836336422059007E-2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3.5879549664419319E-4</v>
      </c>
      <c r="C51" s="48">
        <v>1.6389598686416009E-2</v>
      </c>
      <c r="D51" s="49">
        <v>1.1887604314256297E-3</v>
      </c>
      <c r="E51" s="49">
        <v>1.9171164312121156E-2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-1.5053241470222181E-6</v>
      </c>
      <c r="C52" s="48">
        <v>1.2264937040657749E-5</v>
      </c>
      <c r="D52" s="49">
        <v>-7.1362561143842794E-7</v>
      </c>
      <c r="E52" s="49">
        <v>1.2451484405466346E-5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-1.7851817069678983E-3</v>
      </c>
      <c r="C53" s="48">
        <v>-4.6129987288225796E-3</v>
      </c>
      <c r="D53" s="49">
        <v>-5.4442811391900098E-3</v>
      </c>
      <c r="E53" s="49">
        <v>-4.0981661530085185E-3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-4.7172693828997729E-5</v>
      </c>
      <c r="C54" s="48">
        <v>2.0076839408115535E-5</v>
      </c>
      <c r="D54" s="49">
        <v>-1.0045863446923879E-4</v>
      </c>
      <c r="E54" s="49">
        <v>1.9929790834558018E-5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-2.9162677266535332E-4</v>
      </c>
      <c r="C56" s="48">
        <v>4.9287872050361801E-2</v>
      </c>
      <c r="D56" s="49">
        <v>1.2499500149104927E-3</v>
      </c>
      <c r="E56" s="49">
        <v>5.125622171589081E-2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6.8990792190873781E-6</v>
      </c>
      <c r="E57" s="49">
        <v>3.7860154073924781E-4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20" t="s">
        <v>29</v>
      </c>
      <c r="B61" s="50">
        <v>4.0000000000000001E-3</v>
      </c>
      <c r="C61" s="51">
        <v>0.99999999999999967</v>
      </c>
      <c r="D61" s="161">
        <v>2.35E-2</v>
      </c>
      <c r="E61" s="53">
        <v>1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20" t="s">
        <v>23</v>
      </c>
      <c r="B62" s="54">
        <v>966.16799999999967</v>
      </c>
      <c r="C62" s="55"/>
      <c r="D62" s="56">
        <v>5585.0590000000002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-4.5311447457850873E-3</v>
      </c>
      <c r="C64" s="48">
        <v>0.80634134209313191</v>
      </c>
      <c r="D64" s="58">
        <v>6.5349310067015498E-3</v>
      </c>
      <c r="E64" s="49">
        <v>0.82629016988854609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8.5311447457850874E-3</v>
      </c>
      <c r="C65" s="48">
        <v>0.19365865790686798</v>
      </c>
      <c r="D65" s="58">
        <v>1.696506899329845E-2</v>
      </c>
      <c r="E65" s="49">
        <v>0.17370983011145388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0" t="s">
        <v>29</v>
      </c>
      <c r="B66" s="50">
        <v>4.0000000000000001E-3</v>
      </c>
      <c r="C66" s="51">
        <v>0.99999999999999989</v>
      </c>
      <c r="D66" s="52">
        <v>2.35E-2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7.0125882615383883E-3</v>
      </c>
      <c r="C68" s="48">
        <v>0.88594467296848178</v>
      </c>
      <c r="D68" s="58">
        <v>2.6064055824884136E-2</v>
      </c>
      <c r="E68" s="49">
        <v>0.87983462466759865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-3.0125882615383882E-3</v>
      </c>
      <c r="C69" s="48">
        <v>0.11405532703151822</v>
      </c>
      <c r="D69" s="58">
        <v>-2.5640558248841358E-3</v>
      </c>
      <c r="E69" s="49">
        <v>0.12016537533240146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20" t="s">
        <v>29</v>
      </c>
      <c r="B70" s="50">
        <v>4.0000000000000001E-3</v>
      </c>
      <c r="C70" s="51">
        <v>1</v>
      </c>
      <c r="D70" s="52">
        <v>2.35E-2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76"/>
    </row>
    <row r="74" spans="1:25">
      <c r="F74" s="76"/>
    </row>
    <row r="75" spans="1:25">
      <c r="F75" s="76"/>
    </row>
    <row r="76" spans="1:25">
      <c r="F76" s="7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209" t="s">
        <v>162</v>
      </c>
      <c r="B1" s="100"/>
      <c r="D1" s="3"/>
    </row>
    <row r="2" spans="1:26" ht="18">
      <c r="A2" s="210" t="s">
        <v>163</v>
      </c>
      <c r="B2" s="212">
        <v>1284</v>
      </c>
    </row>
    <row r="3" spans="1:26" ht="18">
      <c r="A3" s="211" t="s">
        <v>164</v>
      </c>
      <c r="B3" s="213" t="s">
        <v>150</v>
      </c>
    </row>
    <row r="4" spans="1:26" ht="18">
      <c r="A4" s="210" t="s">
        <v>165</v>
      </c>
      <c r="B4" s="213" t="s">
        <v>148</v>
      </c>
    </row>
    <row r="5" spans="1:26" ht="18">
      <c r="A5" s="211" t="s">
        <v>166</v>
      </c>
      <c r="B5" s="212">
        <v>2023</v>
      </c>
      <c r="C5" s="211" t="s">
        <v>167</v>
      </c>
      <c r="D5" s="212" t="s">
        <v>169</v>
      </c>
    </row>
    <row r="6" spans="1:26">
      <c r="A6" s="4"/>
      <c r="D6" s="5"/>
    </row>
    <row r="7" spans="1:26" ht="15.75">
      <c r="A7" s="6" t="s">
        <v>0</v>
      </c>
      <c r="B7" s="7" t="s">
        <v>170</v>
      </c>
      <c r="C7" s="8"/>
      <c r="D7" s="9" t="s">
        <v>171</v>
      </c>
      <c r="E7" s="10"/>
      <c r="F7" s="7" t="s">
        <v>172</v>
      </c>
      <c r="G7" s="8"/>
      <c r="H7" s="9" t="s">
        <v>173</v>
      </c>
      <c r="I7" s="10"/>
      <c r="J7" s="7" t="s">
        <v>174</v>
      </c>
      <c r="K7" s="8"/>
      <c r="L7" s="9" t="s">
        <v>175</v>
      </c>
      <c r="M7" s="10"/>
      <c r="N7" s="7" t="s">
        <v>176</v>
      </c>
      <c r="O7" s="8"/>
      <c r="P7" s="9" t="s">
        <v>177</v>
      </c>
      <c r="Q7" s="10"/>
      <c r="R7" s="7" t="s">
        <v>178</v>
      </c>
      <c r="S7" s="8"/>
      <c r="T7" s="9" t="s">
        <v>179</v>
      </c>
      <c r="U7" s="9"/>
      <c r="V7" s="7" t="s">
        <v>180</v>
      </c>
      <c r="W7" s="8"/>
      <c r="X7" s="9" t="s">
        <v>181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1.4512461063487941E-4</v>
      </c>
      <c r="C9" s="16">
        <v>3.0551520293984707E-2</v>
      </c>
      <c r="D9" s="17">
        <v>2.3976829524930202E-4</v>
      </c>
      <c r="E9" s="17">
        <v>6.0747008789563982E-2</v>
      </c>
      <c r="F9" s="16">
        <v>3.0684843654786229E-5</v>
      </c>
      <c r="G9" s="16">
        <v>5.939976585372788E-2</v>
      </c>
      <c r="H9" s="17">
        <v>1.2366512485074326E-4</v>
      </c>
      <c r="I9" s="17">
        <v>5.733367602073975E-2</v>
      </c>
      <c r="J9" s="16">
        <v>1.1508887700091217E-4</v>
      </c>
      <c r="K9" s="16">
        <v>5.957944352291638E-2</v>
      </c>
      <c r="L9" s="17">
        <v>7.3920889892597E-5</v>
      </c>
      <c r="M9" s="17">
        <v>7.991794222852798E-2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56</v>
      </c>
      <c r="B10" s="16">
        <v>5.1114211750408443E-3</v>
      </c>
      <c r="C10" s="16">
        <v>0.54918163081676907</v>
      </c>
      <c r="D10" s="17">
        <v>-1.1305509817694648E-2</v>
      </c>
      <c r="E10" s="17">
        <v>0.54001362765885974</v>
      </c>
      <c r="F10" s="16">
        <v>7.6269092673916109E-3</v>
      </c>
      <c r="G10" s="16">
        <v>0.53651461312587612</v>
      </c>
      <c r="H10" s="17">
        <v>-1.4058239111304359E-3</v>
      </c>
      <c r="I10" s="17">
        <v>0.54154732985249965</v>
      </c>
      <c r="J10" s="16">
        <v>5.5365339870289887E-3</v>
      </c>
      <c r="K10" s="16">
        <v>0.52528736364617401</v>
      </c>
      <c r="L10" s="17">
        <v>1.3883742777681125E-3</v>
      </c>
      <c r="M10" s="17">
        <v>0.6102433997232336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-3.2038129256194173E-6</v>
      </c>
      <c r="C14" s="16">
        <v>1.1805555949956333E-3</v>
      </c>
      <c r="D14" s="17">
        <v>-8.6628494688724827E-6</v>
      </c>
      <c r="E14" s="17">
        <v>1.1514614778285702E-3</v>
      </c>
      <c r="F14" s="16">
        <v>1.0759215338895873E-5</v>
      </c>
      <c r="G14" s="16">
        <v>1.1954375584821173E-3</v>
      </c>
      <c r="H14" s="17">
        <v>7.7831586811234269E-6</v>
      </c>
      <c r="I14" s="17">
        <v>1.1827489427215143E-3</v>
      </c>
      <c r="J14" s="16">
        <v>1.4881832366741794E-5</v>
      </c>
      <c r="K14" s="16">
        <v>1.2189818884199345E-3</v>
      </c>
      <c r="L14" s="17">
        <v>-4.9676314043094936E-7</v>
      </c>
      <c r="M14" s="17">
        <v>9.0587092532866745E-4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8.4342661199146348E-3</v>
      </c>
      <c r="C16" s="16">
        <v>0.41954158891238374</v>
      </c>
      <c r="D16" s="17">
        <v>-1.2749460006703099E-2</v>
      </c>
      <c r="E16" s="17">
        <v>0.39835227787487937</v>
      </c>
      <c r="F16" s="16">
        <v>4.382792444850841E-3</v>
      </c>
      <c r="G16" s="16">
        <v>0.40336118477888988</v>
      </c>
      <c r="H16" s="17">
        <v>4.8113661941971047E-3</v>
      </c>
      <c r="I16" s="17">
        <v>0.39976395454802932</v>
      </c>
      <c r="J16" s="16">
        <v>5.4657720078073006E-3</v>
      </c>
      <c r="K16" s="16">
        <v>0.41416470018589507</v>
      </c>
      <c r="L16" s="17">
        <v>2.655180393298753E-3</v>
      </c>
      <c r="M16" s="17">
        <v>0.30804706445959829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76" customFormat="1">
      <c r="A20" s="19" t="s">
        <v>14</v>
      </c>
      <c r="B20" s="16">
        <v>2.0822890733526017E-4</v>
      </c>
      <c r="C20" s="16">
        <v>-4.5529561813321934E-4</v>
      </c>
      <c r="D20" s="17">
        <v>-1.1661356213826803E-3</v>
      </c>
      <c r="E20" s="17">
        <v>-2.6437580113171025E-4</v>
      </c>
      <c r="F20" s="16">
        <v>6.0885422876386487E-4</v>
      </c>
      <c r="G20" s="16">
        <v>-4.7100131697595446E-4</v>
      </c>
      <c r="H20" s="17">
        <v>-5.8699056659853514E-4</v>
      </c>
      <c r="I20" s="17">
        <v>1.7229063601004364E-4</v>
      </c>
      <c r="J20" s="16">
        <v>-5.5227670420394275E-4</v>
      </c>
      <c r="K20" s="16">
        <v>-2.5048924340523516E-4</v>
      </c>
      <c r="L20" s="17">
        <v>1.6501835427231695E-4</v>
      </c>
      <c r="M20" s="17">
        <v>-7.5223725947737904E-4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47"/>
    </row>
    <row r="21" spans="1:28">
      <c r="A21" s="19" t="s">
        <v>15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8.002847908652137E-6</v>
      </c>
      <c r="M24" s="17">
        <v>1.6379599227887111E-3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20" t="s">
        <v>22</v>
      </c>
      <c r="B28" s="21">
        <v>1.3895836999999999E-2</v>
      </c>
      <c r="C28" s="22">
        <v>1</v>
      </c>
      <c r="D28" s="23">
        <v>-2.4989999999999998E-2</v>
      </c>
      <c r="E28" s="24">
        <v>0.99999999999999989</v>
      </c>
      <c r="F28" s="21">
        <v>1.2659999999999999E-2</v>
      </c>
      <c r="G28" s="22">
        <v>1</v>
      </c>
      <c r="H28" s="23">
        <v>2.9499999999999999E-3</v>
      </c>
      <c r="I28" s="24">
        <v>1.0000000000000002</v>
      </c>
      <c r="J28" s="21">
        <v>1.0580000000000001E-2</v>
      </c>
      <c r="K28" s="22">
        <v>1.0000000000000002</v>
      </c>
      <c r="L28" s="23">
        <v>4.2900000000000004E-3</v>
      </c>
      <c r="M28" s="24">
        <v>0.99999999999999989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>
      <c r="A29" s="20" t="s">
        <v>23</v>
      </c>
      <c r="B29" s="25">
        <v>237.68299999999999</v>
      </c>
      <c r="C29" s="26"/>
      <c r="D29" s="27">
        <v>-429.65199999999999</v>
      </c>
      <c r="E29" s="26"/>
      <c r="F29" s="25">
        <v>209.976</v>
      </c>
      <c r="G29" s="26"/>
      <c r="H29" s="27">
        <v>49.527000000000001</v>
      </c>
      <c r="I29" s="26"/>
      <c r="J29" s="25">
        <v>178.80699999999999</v>
      </c>
      <c r="K29" s="26"/>
      <c r="L29" s="27">
        <v>73.837000000000003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1.3663668821729796E-2</v>
      </c>
      <c r="C31" s="16">
        <v>0.98634276841752289</v>
      </c>
      <c r="D31" s="32">
        <v>-2.519739140575156E-2</v>
      </c>
      <c r="E31" s="32">
        <v>0.98250083794703402</v>
      </c>
      <c r="F31" s="30">
        <v>1.1738913547819075E-2</v>
      </c>
      <c r="G31" s="16">
        <v>0.96818255118797791</v>
      </c>
      <c r="H31" s="32">
        <v>2.0790493326523023E-3</v>
      </c>
      <c r="I31" s="32">
        <v>0.96580754389949874</v>
      </c>
      <c r="J31" s="30">
        <v>1.0555224678532316E-2</v>
      </c>
      <c r="K31" s="16">
        <v>0.97149344031580576</v>
      </c>
      <c r="L31" s="32">
        <v>4.8488476358757252E-3</v>
      </c>
      <c r="M31" s="32">
        <v>0.97635589028910585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2.3216817827019997E-4</v>
      </c>
      <c r="C32" s="16">
        <v>1.365723158247717E-2</v>
      </c>
      <c r="D32" s="31">
        <v>2.0739140575155895E-4</v>
      </c>
      <c r="E32" s="17">
        <v>1.7499162052965839E-2</v>
      </c>
      <c r="F32" s="30">
        <v>9.2108645218091955E-4</v>
      </c>
      <c r="G32" s="16">
        <v>3.1817448812022031E-2</v>
      </c>
      <c r="H32" s="31">
        <v>8.7095066734769826E-4</v>
      </c>
      <c r="I32" s="17">
        <v>3.4192456100501381E-2</v>
      </c>
      <c r="J32" s="30">
        <v>2.4775321467686756E-5</v>
      </c>
      <c r="K32" s="16">
        <v>2.8506559684194199E-2</v>
      </c>
      <c r="L32" s="31">
        <v>-5.5884763587572513E-4</v>
      </c>
      <c r="M32" s="17">
        <v>2.3644109710894243E-2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>
      <c r="A33" s="20" t="s">
        <v>22</v>
      </c>
      <c r="B33" s="21">
        <v>1.3895836999999996E-2</v>
      </c>
      <c r="C33" s="22">
        <v>1</v>
      </c>
      <c r="D33" s="23">
        <v>-2.4990000000000002E-2</v>
      </c>
      <c r="E33" s="24">
        <v>0.99999999999999989</v>
      </c>
      <c r="F33" s="21">
        <v>1.2659999999999994E-2</v>
      </c>
      <c r="G33" s="22">
        <v>1</v>
      </c>
      <c r="H33" s="23">
        <v>2.9500000000000004E-3</v>
      </c>
      <c r="I33" s="24">
        <v>1.0000000000000002</v>
      </c>
      <c r="J33" s="21">
        <v>1.0580000000000003E-2</v>
      </c>
      <c r="K33" s="22">
        <v>1</v>
      </c>
      <c r="L33" s="23">
        <v>4.2900000000000004E-3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1.3690811905590353E-2</v>
      </c>
      <c r="C35" s="16">
        <v>0.99927474002313754</v>
      </c>
      <c r="D35" s="17">
        <v>-2.3815201529148445E-2</v>
      </c>
      <c r="E35" s="32">
        <v>0.99911291432330296</v>
      </c>
      <c r="F35" s="30">
        <v>1.2040386555897233E-2</v>
      </c>
      <c r="G35" s="16">
        <v>0.9992755637584938</v>
      </c>
      <c r="H35" s="17">
        <v>3.5292074079174124E-3</v>
      </c>
      <c r="I35" s="32">
        <v>0.99864496042126849</v>
      </c>
      <c r="J35" s="30">
        <v>1.1117394871837199E-2</v>
      </c>
      <c r="K35" s="16">
        <v>0.99903150735498514</v>
      </c>
      <c r="L35" s="17">
        <v>4.1174755609594636E-3</v>
      </c>
      <c r="M35" s="32">
        <v>0.99820840641135999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2.0502509440964079E-4</v>
      </c>
      <c r="C36" s="16">
        <v>7.2525997686241476E-4</v>
      </c>
      <c r="D36" s="31">
        <v>-1.1747984708515532E-3</v>
      </c>
      <c r="E36" s="17">
        <v>8.8708567669685992E-4</v>
      </c>
      <c r="F36" s="30">
        <v>6.1961344410276084E-4</v>
      </c>
      <c r="G36" s="16">
        <v>7.2443624150616258E-4</v>
      </c>
      <c r="H36" s="31">
        <v>-5.7920740791741175E-4</v>
      </c>
      <c r="I36" s="17">
        <v>1.3550395787315585E-3</v>
      </c>
      <c r="J36" s="30">
        <v>-5.3739487183720092E-4</v>
      </c>
      <c r="K36" s="16">
        <v>9.6849264501469893E-4</v>
      </c>
      <c r="L36" s="31">
        <v>1.725244390405371E-4</v>
      </c>
      <c r="M36" s="17">
        <v>1.7915935886399998E-3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>
      <c r="A37" s="20" t="s">
        <v>22</v>
      </c>
      <c r="B37" s="21">
        <v>1.3895836999999994E-2</v>
      </c>
      <c r="C37" s="22">
        <v>1</v>
      </c>
      <c r="D37" s="23">
        <v>-2.4989999999999998E-2</v>
      </c>
      <c r="E37" s="24">
        <v>0.99999999999999978</v>
      </c>
      <c r="F37" s="21">
        <v>1.2659999999999994E-2</v>
      </c>
      <c r="G37" s="22">
        <v>1</v>
      </c>
      <c r="H37" s="23">
        <v>2.9500000000000008E-3</v>
      </c>
      <c r="I37" s="24">
        <v>1</v>
      </c>
      <c r="J37" s="21">
        <v>1.0579999999999997E-2</v>
      </c>
      <c r="K37" s="22">
        <v>0.99999999999999989</v>
      </c>
      <c r="L37" s="23">
        <v>4.2900000000000004E-3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145"/>
      <c r="B39" s="37"/>
      <c r="C39" s="37"/>
      <c r="D39" s="216"/>
      <c r="E39" s="2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218" t="s">
        <v>182</v>
      </c>
      <c r="C40" s="219"/>
      <c r="D40" s="214" t="s">
        <v>183</v>
      </c>
      <c r="E40" s="220"/>
      <c r="F40" s="218" t="s">
        <v>184</v>
      </c>
      <c r="G40" s="219"/>
      <c r="H40" s="214" t="s">
        <v>184</v>
      </c>
      <c r="I40" s="2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148" t="s">
        <v>1</v>
      </c>
      <c r="C41" s="150" t="s">
        <v>2</v>
      </c>
      <c r="D41" s="151" t="s">
        <v>1</v>
      </c>
      <c r="E41" s="14" t="s">
        <v>2</v>
      </c>
      <c r="F41" s="148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4.1562435726594238E-4</v>
      </c>
      <c r="C42" s="48">
        <v>5.0232764979092188E-2</v>
      </c>
      <c r="D42" s="49">
        <v>7.2846110000313394E-4</v>
      </c>
      <c r="E42" s="49">
        <v>5.792155945157678E-2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1.1945969323429893E-3</v>
      </c>
      <c r="C43" s="48">
        <v>0.5419032905338349</v>
      </c>
      <c r="D43" s="49">
        <v>6.7281416266883201E-3</v>
      </c>
      <c r="E43" s="49">
        <v>0.550464660803902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-1.3955956937359867E-6</v>
      </c>
      <c r="C47" s="48">
        <v>1.1758182104354403E-3</v>
      </c>
      <c r="D47" s="49">
        <v>2.0805061189817937E-5</v>
      </c>
      <c r="E47" s="49">
        <v>1.1391760646294062E-3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-1.5904424133381399E-4</v>
      </c>
      <c r="C49" s="48">
        <v>0.40708501718871765</v>
      </c>
      <c r="D49" s="49">
        <v>1.2838225572996393E-2</v>
      </c>
      <c r="E49" s="49">
        <v>0.39053846179327928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-3.4978145258138162E-4</v>
      </c>
      <c r="C53" s="48">
        <v>-3.968909120802947E-4</v>
      </c>
      <c r="D53" s="49">
        <v>-1.3235749326343514E-3</v>
      </c>
      <c r="E53" s="49">
        <v>-3.3685143385224248E-4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0</v>
      </c>
      <c r="C57" s="48">
        <v>0</v>
      </c>
      <c r="D57" s="49">
        <v>7.9415717566894983E-6</v>
      </c>
      <c r="E57" s="49">
        <v>2.7299332046478521E-4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20" t="s">
        <v>29</v>
      </c>
      <c r="B61" s="50">
        <v>1.1000000000000001E-3</v>
      </c>
      <c r="C61" s="51">
        <v>0.99999999999999989</v>
      </c>
      <c r="D61" s="161">
        <v>1.9E-2</v>
      </c>
      <c r="E61" s="53">
        <v>1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20" t="s">
        <v>23</v>
      </c>
      <c r="B62" s="54">
        <v>18.007000000000005</v>
      </c>
      <c r="C62" s="55"/>
      <c r="D62" s="56">
        <v>320.178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-2.7853279643275108E-4</v>
      </c>
      <c r="C64" s="48">
        <v>0.97900871918417831</v>
      </c>
      <c r="D64" s="58">
        <v>1.7283008932132082E-2</v>
      </c>
      <c r="E64" s="49">
        <v>0.97511383867615764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1.3785327964327512E-3</v>
      </c>
      <c r="C65" s="48">
        <v>2.0991280815821679E-2</v>
      </c>
      <c r="D65" s="58">
        <v>1.7169910678679172E-3</v>
      </c>
      <c r="E65" s="49">
        <v>2.4886161323842481E-2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0" t="s">
        <v>29</v>
      </c>
      <c r="B66" s="50">
        <v>1.1000000000000001E-3</v>
      </c>
      <c r="C66" s="51">
        <v>1</v>
      </c>
      <c r="D66" s="52">
        <v>1.9E-2</v>
      </c>
      <c r="E66" s="53">
        <v>1.0000000000000002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1.4641201616500954E-3</v>
      </c>
      <c r="C68" s="48">
        <v>0.99922107270164473</v>
      </c>
      <c r="D68" s="58">
        <v>2.0355521016801381E-2</v>
      </c>
      <c r="E68" s="49">
        <v>0.99892468204875795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-3.6412016165009533E-4</v>
      </c>
      <c r="C69" s="48">
        <v>7.7892729835514572E-4</v>
      </c>
      <c r="D69" s="58">
        <v>-1.3555210168013816E-3</v>
      </c>
      <c r="E69" s="49">
        <v>1.075317951241949E-3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20" t="s">
        <v>29</v>
      </c>
      <c r="B70" s="50">
        <v>1.1000000000000001E-3</v>
      </c>
      <c r="C70" s="51">
        <v>0.99999999999999989</v>
      </c>
      <c r="D70" s="52">
        <v>1.9E-2</v>
      </c>
      <c r="E70" s="53">
        <v>0.99999999999999989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76"/>
    </row>
    <row r="74" spans="1:25">
      <c r="F74" s="76"/>
    </row>
    <row r="75" spans="1:25">
      <c r="F75" s="76"/>
    </row>
    <row r="76" spans="1:25">
      <c r="F76" s="7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209" t="s">
        <v>162</v>
      </c>
      <c r="B1" s="100"/>
      <c r="D1" s="3"/>
    </row>
    <row r="2" spans="1:26" ht="18">
      <c r="A2" s="210" t="s">
        <v>163</v>
      </c>
      <c r="B2" s="212">
        <v>239</v>
      </c>
    </row>
    <row r="3" spans="1:26" ht="18">
      <c r="A3" s="211" t="s">
        <v>164</v>
      </c>
      <c r="B3" s="213" t="s">
        <v>159</v>
      </c>
    </row>
    <row r="4" spans="1:26" ht="18">
      <c r="A4" s="210" t="s">
        <v>165</v>
      </c>
      <c r="B4" s="213" t="s">
        <v>148</v>
      </c>
    </row>
    <row r="5" spans="1:26" ht="18">
      <c r="A5" s="211" t="s">
        <v>166</v>
      </c>
      <c r="B5" s="212">
        <v>2023</v>
      </c>
      <c r="C5" s="211" t="s">
        <v>167</v>
      </c>
      <c r="D5" s="212" t="s">
        <v>169</v>
      </c>
    </row>
    <row r="6" spans="1:26">
      <c r="A6" s="4"/>
      <c r="D6" s="5"/>
    </row>
    <row r="7" spans="1:26" ht="15.75">
      <c r="A7" s="6" t="s">
        <v>0</v>
      </c>
      <c r="B7" s="7" t="s">
        <v>170</v>
      </c>
      <c r="C7" s="8"/>
      <c r="D7" s="9" t="s">
        <v>171</v>
      </c>
      <c r="E7" s="10"/>
      <c r="F7" s="7" t="s">
        <v>172</v>
      </c>
      <c r="G7" s="8"/>
      <c r="H7" s="9" t="s">
        <v>173</v>
      </c>
      <c r="I7" s="10"/>
      <c r="J7" s="7" t="s">
        <v>174</v>
      </c>
      <c r="K7" s="8"/>
      <c r="L7" s="9" t="s">
        <v>175</v>
      </c>
      <c r="M7" s="10"/>
      <c r="N7" s="7" t="s">
        <v>176</v>
      </c>
      <c r="O7" s="8"/>
      <c r="P7" s="9" t="s">
        <v>177</v>
      </c>
      <c r="Q7" s="10"/>
      <c r="R7" s="7" t="s">
        <v>178</v>
      </c>
      <c r="S7" s="8"/>
      <c r="T7" s="9" t="s">
        <v>179</v>
      </c>
      <c r="U7" s="9"/>
      <c r="V7" s="7" t="s">
        <v>180</v>
      </c>
      <c r="W7" s="8"/>
      <c r="X7" s="9" t="s">
        <v>181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3.0025129002410333E-4</v>
      </c>
      <c r="C9" s="16">
        <v>0.17445172635963427</v>
      </c>
      <c r="D9" s="17">
        <v>1.3297619321551504E-3</v>
      </c>
      <c r="E9" s="17">
        <v>0.12815547360553273</v>
      </c>
      <c r="F9" s="16">
        <v>-2.5816802500002768E-5</v>
      </c>
      <c r="G9" s="16">
        <v>0.10560889948568027</v>
      </c>
      <c r="H9" s="17">
        <v>8.3914817981975941E-4</v>
      </c>
      <c r="I9" s="17">
        <v>9.567043890668607E-2</v>
      </c>
      <c r="J9" s="16">
        <v>7.0536631442161442E-4</v>
      </c>
      <c r="K9" s="16">
        <v>9.7426598070718101E-2</v>
      </c>
      <c r="L9" s="17">
        <v>5.1973192340570851E-5</v>
      </c>
      <c r="M9" s="17">
        <v>9.5586607969591231E-2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56</v>
      </c>
      <c r="B10" s="16">
        <v>1.6447199196718879E-3</v>
      </c>
      <c r="C10" s="16">
        <v>0.18541123655523342</v>
      </c>
      <c r="D10" s="17">
        <v>-3.9413984634660412E-3</v>
      </c>
      <c r="E10" s="17">
        <v>0.19043601807939153</v>
      </c>
      <c r="F10" s="16">
        <v>3.4035194909483473E-3</v>
      </c>
      <c r="G10" s="16">
        <v>0.22514962990648221</v>
      </c>
      <c r="H10" s="17">
        <v>-4.085260428331463E-4</v>
      </c>
      <c r="I10" s="17">
        <v>0.22454910168138378</v>
      </c>
      <c r="J10" s="16">
        <v>2.5424052136359524E-3</v>
      </c>
      <c r="K10" s="16">
        <v>0.22765656167371065</v>
      </c>
      <c r="L10" s="17">
        <v>6.5603498151821946E-4</v>
      </c>
      <c r="M10" s="17">
        <v>0.25783830313920275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4.2393706457042792E-3</v>
      </c>
      <c r="C13" s="16">
        <v>0.23668085395316488</v>
      </c>
      <c r="D13" s="17">
        <v>-3.3081059175627671E-3</v>
      </c>
      <c r="E13" s="17">
        <v>0.2260240426529328</v>
      </c>
      <c r="F13" s="16">
        <v>5.7124610654628522E-4</v>
      </c>
      <c r="G13" s="16">
        <v>0.22410183223950564</v>
      </c>
      <c r="H13" s="17">
        <v>3.4663068600075939E-3</v>
      </c>
      <c r="I13" s="17">
        <v>0.22735970992131727</v>
      </c>
      <c r="J13" s="16">
        <v>3.1574541191875484E-3</v>
      </c>
      <c r="K13" s="16">
        <v>0.23768721631013554</v>
      </c>
      <c r="L13" s="17">
        <v>9.0293094054422413E-4</v>
      </c>
      <c r="M13" s="17">
        <v>0.22820542430883708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2.3369022228198638E-6</v>
      </c>
      <c r="C14" s="16">
        <v>1.4785222663982089E-2</v>
      </c>
      <c r="D14" s="17">
        <v>-3.4777828405478228E-4</v>
      </c>
      <c r="E14" s="17">
        <v>1.3340525908427027E-2</v>
      </c>
      <c r="F14" s="16">
        <v>1.0903207206051165E-4</v>
      </c>
      <c r="G14" s="16">
        <v>1.0670005249788029E-2</v>
      </c>
      <c r="H14" s="17">
        <v>7.0590142952052404E-5</v>
      </c>
      <c r="I14" s="17">
        <v>1.0434311045151034E-2</v>
      </c>
      <c r="J14" s="16">
        <v>2.7937096223938456E-4</v>
      </c>
      <c r="K14" s="16">
        <v>1.0675282023199742E-2</v>
      </c>
      <c r="L14" s="17">
        <v>6.5776766956635084E-5</v>
      </c>
      <c r="M14" s="17">
        <v>9.9139549785110994E-3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3.2530167346524631E-3</v>
      </c>
      <c r="C15" s="16">
        <v>0.16375579642848151</v>
      </c>
      <c r="D15" s="17">
        <v>-7.0385137738476575E-3</v>
      </c>
      <c r="E15" s="17">
        <v>0.2079244470067203</v>
      </c>
      <c r="F15" s="16">
        <v>-1.798503723839168E-3</v>
      </c>
      <c r="G15" s="16">
        <v>0.20207586349929996</v>
      </c>
      <c r="H15" s="17">
        <v>5.6748627234338433E-3</v>
      </c>
      <c r="I15" s="17">
        <v>0.19802972992147383</v>
      </c>
      <c r="J15" s="16">
        <v>1.433774939799162E-4</v>
      </c>
      <c r="K15" s="16">
        <v>0.19227644499488694</v>
      </c>
      <c r="L15" s="17">
        <v>3.3826675451280987E-3</v>
      </c>
      <c r="M15" s="17">
        <v>0.18880192837727336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2.9937666472108215E-3</v>
      </c>
      <c r="C16" s="16">
        <v>0.10089797909789233</v>
      </c>
      <c r="D16" s="17">
        <v>1.0618969486848225E-4</v>
      </c>
      <c r="E16" s="17">
        <v>9.2531973293545983E-2</v>
      </c>
      <c r="F16" s="16">
        <v>-9.6590727561798157E-4</v>
      </c>
      <c r="G16" s="16">
        <v>9.6427745409772669E-2</v>
      </c>
      <c r="H16" s="17">
        <v>3.3019506065870767E-3</v>
      </c>
      <c r="I16" s="17">
        <v>9.5073447287632729E-2</v>
      </c>
      <c r="J16" s="16">
        <v>-5.4511064976651216E-5</v>
      </c>
      <c r="K16" s="16">
        <v>9.419925718542986E-2</v>
      </c>
      <c r="L16" s="17">
        <v>3.9695492275208227E-3</v>
      </c>
      <c r="M16" s="17">
        <v>0.1046330259314986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7.583620704138108E-4</v>
      </c>
      <c r="C17" s="16">
        <v>5.8973809355560187E-2</v>
      </c>
      <c r="D17" s="17">
        <v>4.0775505165462521E-3</v>
      </c>
      <c r="E17" s="17">
        <v>7.4546403183841661E-2</v>
      </c>
      <c r="F17" s="16">
        <v>-1.6131944337566069E-3</v>
      </c>
      <c r="G17" s="16">
        <v>7.1615089674229304E-2</v>
      </c>
      <c r="H17" s="17">
        <v>1.8510733417453891E-3</v>
      </c>
      <c r="I17" s="17">
        <v>7.7053979544518508E-2</v>
      </c>
      <c r="J17" s="16">
        <v>1.1255196969532674E-3</v>
      </c>
      <c r="K17" s="16">
        <v>6.5423809228667987E-2</v>
      </c>
      <c r="L17" s="17">
        <v>2.8978284740093695E-4</v>
      </c>
      <c r="M17" s="17">
        <v>4.8099132408304067E-2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6.0639142563947697E-4</v>
      </c>
      <c r="C18" s="16">
        <v>1.7602123525394368E-2</v>
      </c>
      <c r="D18" s="17">
        <v>4.157992898188297E-4</v>
      </c>
      <c r="E18" s="17">
        <v>1.7269630204843432E-2</v>
      </c>
      <c r="F18" s="16">
        <v>-5.1289774309584593E-4</v>
      </c>
      <c r="G18" s="16">
        <v>1.7635444334618462E-2</v>
      </c>
      <c r="H18" s="17">
        <v>-4.3031091833495894E-5</v>
      </c>
      <c r="I18" s="17">
        <v>1.7333319493999307E-2</v>
      </c>
      <c r="J18" s="16">
        <v>5.4006247625796363E-4</v>
      </c>
      <c r="K18" s="16">
        <v>1.7691740471603108E-2</v>
      </c>
      <c r="L18" s="17">
        <v>-3.1354593327442582E-4</v>
      </c>
      <c r="M18" s="17">
        <v>1.692613566903001E-2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-5.3305693183090782E-6</v>
      </c>
      <c r="C19" s="16">
        <v>1.0062676257326882E-4</v>
      </c>
      <c r="D19" s="17">
        <v>-1.1857530892359007E-5</v>
      </c>
      <c r="E19" s="17">
        <v>1.2815755548301535E-4</v>
      </c>
      <c r="F19" s="16">
        <v>-5.0244347363370432E-6</v>
      </c>
      <c r="G19" s="16">
        <v>1.1748490272888989E-4</v>
      </c>
      <c r="H19" s="17">
        <v>7.9019613050429899E-6</v>
      </c>
      <c r="I19" s="17">
        <v>1.1209644163960463E-4</v>
      </c>
      <c r="J19" s="16">
        <v>-1.1540262244751249E-5</v>
      </c>
      <c r="K19" s="16">
        <v>1.1557270841547653E-4</v>
      </c>
      <c r="L19" s="17">
        <v>6.7752035709969976E-6</v>
      </c>
      <c r="M19" s="17">
        <v>1.022450787475369E-4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76" customFormat="1">
      <c r="A20" s="19" t="s">
        <v>14</v>
      </c>
      <c r="B20" s="16">
        <v>5.4670234227302012E-3</v>
      </c>
      <c r="C20" s="16">
        <v>-1.6624402443473692E-2</v>
      </c>
      <c r="D20" s="17">
        <v>-9.0979290155024511E-3</v>
      </c>
      <c r="E20" s="17">
        <v>-9.2258972214647322E-3</v>
      </c>
      <c r="F20" s="16">
        <v>2.9372600696814608E-3</v>
      </c>
      <c r="G20" s="16">
        <v>-1.2947896143003304E-2</v>
      </c>
      <c r="H20" s="17">
        <v>5.1236601005664063E-4</v>
      </c>
      <c r="I20" s="17">
        <v>-4.4117535631176853E-3</v>
      </c>
      <c r="J20" s="16">
        <v>-2.3345926850994393E-3</v>
      </c>
      <c r="K20" s="16">
        <v>-3.3792535640806086E-3</v>
      </c>
      <c r="L20" s="17">
        <v>3.8151134071100147E-3</v>
      </c>
      <c r="M20" s="17">
        <v>-7.6137251700691766E-3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47"/>
    </row>
    <row r="21" spans="1:28">
      <c r="A21" s="19" t="s">
        <v>15</v>
      </c>
      <c r="B21" s="16">
        <v>1.114550442263003E-4</v>
      </c>
      <c r="C21" s="16">
        <v>3.7764219588282095E-4</v>
      </c>
      <c r="D21" s="17">
        <v>3.5836564339264962E-4</v>
      </c>
      <c r="E21" s="17">
        <v>5.4178615556769387E-4</v>
      </c>
      <c r="F21" s="16">
        <v>-3.7594766664254695E-4</v>
      </c>
      <c r="G21" s="16">
        <v>5.6621670002227943E-4</v>
      </c>
      <c r="H21" s="17">
        <v>-2.744489722710408E-4</v>
      </c>
      <c r="I21" s="17">
        <v>2.9244649281163631E-4</v>
      </c>
      <c r="J21" s="16">
        <v>-5.8553774319701967E-4</v>
      </c>
      <c r="K21" s="16">
        <v>4.1358089414185868E-4</v>
      </c>
      <c r="L21" s="17">
        <v>-4.5820161769244557E-4</v>
      </c>
      <c r="M21" s="17">
        <v>3.7102471352642481E-4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9.0574915861341174E-6</v>
      </c>
      <c r="C22" s="16">
        <v>2.4645881939125177E-3</v>
      </c>
      <c r="D22" s="17">
        <v>1.0414410673336157E-4</v>
      </c>
      <c r="E22" s="17">
        <v>2.3172757530918707E-3</v>
      </c>
      <c r="F22" s="16">
        <v>-1.5518060016348526E-5</v>
      </c>
      <c r="G22" s="16">
        <v>2.4623582167153618E-3</v>
      </c>
      <c r="H22" s="17">
        <v>1.0126655597292777E-4</v>
      </c>
      <c r="I22" s="17">
        <v>1.9105563383692993E-3</v>
      </c>
      <c r="J22" s="16">
        <v>-5.1735408388086855E-5</v>
      </c>
      <c r="K22" s="16">
        <v>1.8145752205445402E-3</v>
      </c>
      <c r="L22" s="17">
        <v>2.013110779758539E-5</v>
      </c>
      <c r="M22" s="17">
        <v>1.774608180033912E-3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5.4028773538298126E-4</v>
      </c>
      <c r="C23" s="16">
        <v>5.98801304841707E-2</v>
      </c>
      <c r="D23" s="17">
        <v>-6.1983931588561916E-4</v>
      </c>
      <c r="E23" s="17">
        <v>5.4847945917735237E-2</v>
      </c>
      <c r="F23" s="16">
        <v>2.3222677979409912E-4</v>
      </c>
      <c r="G23" s="16">
        <v>5.5364348027374249E-2</v>
      </c>
      <c r="H23" s="17">
        <v>6.2698223190382459E-4</v>
      </c>
      <c r="I23" s="17">
        <v>5.5414769691479016E-2</v>
      </c>
      <c r="J23" s="16">
        <v>8.8894670464736948E-4</v>
      </c>
      <c r="K23" s="16">
        <v>5.6789027795686661E-2</v>
      </c>
      <c r="L23" s="17">
        <v>3.2396437088650509E-4</v>
      </c>
      <c r="M23" s="17">
        <v>5.2901411037772801E-2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4.0712398530294527E-6</v>
      </c>
      <c r="C24" s="16">
        <v>1.2426668675911447E-3</v>
      </c>
      <c r="D24" s="17">
        <v>-6.3888823030483654E-6</v>
      </c>
      <c r="E24" s="17">
        <v>1.1622179043515206E-3</v>
      </c>
      <c r="F24" s="16">
        <v>9.5256211741341987E-6</v>
      </c>
      <c r="G24" s="16">
        <v>1.1529784967863664E-3</v>
      </c>
      <c r="H24" s="17">
        <v>3.5574931535323834E-6</v>
      </c>
      <c r="I24" s="17">
        <v>1.1778467966552977E-3</v>
      </c>
      <c r="J24" s="16">
        <v>1.5414182582931584E-5</v>
      </c>
      <c r="K24" s="16">
        <v>1.2095869869403757E-3</v>
      </c>
      <c r="L24" s="17">
        <v>7.0479601922641706E-6</v>
      </c>
      <c r="M24" s="17">
        <v>2.4599233777393044E-3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20" t="s">
        <v>22</v>
      </c>
      <c r="B28" s="21">
        <v>1.992478E-2</v>
      </c>
      <c r="C28" s="22">
        <v>0.99999999999999967</v>
      </c>
      <c r="D28" s="23">
        <v>-1.7979999999999999E-2</v>
      </c>
      <c r="E28" s="24">
        <v>1</v>
      </c>
      <c r="F28" s="21">
        <v>1.9499999999999999E-3</v>
      </c>
      <c r="G28" s="22">
        <v>1.0000000000000004</v>
      </c>
      <c r="H28" s="23">
        <v>1.5730000000000001E-2</v>
      </c>
      <c r="I28" s="24">
        <v>0.99999999999999967</v>
      </c>
      <c r="J28" s="21">
        <v>6.3600000000000002E-3</v>
      </c>
      <c r="K28" s="22">
        <v>1.0000000000000002</v>
      </c>
      <c r="L28" s="23">
        <v>1.272E-2</v>
      </c>
      <c r="M28" s="24">
        <v>0.99999999999999911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>
      <c r="A29" s="20" t="s">
        <v>23</v>
      </c>
      <c r="B29" s="25">
        <v>10854.964</v>
      </c>
      <c r="C29" s="26"/>
      <c r="D29" s="27">
        <v>-9911.8369999999995</v>
      </c>
      <c r="E29" s="26"/>
      <c r="F29" s="25">
        <v>1051.396</v>
      </c>
      <c r="G29" s="26"/>
      <c r="H29" s="27">
        <v>8471.8870000000006</v>
      </c>
      <c r="I29" s="26"/>
      <c r="J29" s="25">
        <v>3465.8989999999999</v>
      </c>
      <c r="K29" s="26"/>
      <c r="L29" s="27">
        <v>6904.6090000000004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5.1850700576381737E-3</v>
      </c>
      <c r="C31" s="16">
        <v>0.70694497533299394</v>
      </c>
      <c r="D31" s="32">
        <v>-2.4067999821211584E-2</v>
      </c>
      <c r="E31" s="32">
        <v>0.69476837011097881</v>
      </c>
      <c r="F31" s="30">
        <v>5.8663615875086074E-3</v>
      </c>
      <c r="G31" s="16">
        <v>0.67474024246283892</v>
      </c>
      <c r="H31" s="32">
        <v>4.2597342974897119E-3</v>
      </c>
      <c r="I31" s="32">
        <v>0.67624166488724047</v>
      </c>
      <c r="J31" s="30">
        <v>4.8693145613797157E-3</v>
      </c>
      <c r="K31" s="16">
        <v>0.69053367266568089</v>
      </c>
      <c r="L31" s="32">
        <v>4.5714272734136826E-3</v>
      </c>
      <c r="M31" s="32">
        <v>0.71338346061278368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1.4739709942361824E-2</v>
      </c>
      <c r="C32" s="16">
        <v>0.29305502466700611</v>
      </c>
      <c r="D32" s="31">
        <v>6.0879998212115798E-3</v>
      </c>
      <c r="E32" s="17">
        <v>0.30523162988902125</v>
      </c>
      <c r="F32" s="30">
        <v>-3.9163615875086035E-3</v>
      </c>
      <c r="G32" s="16">
        <v>0.32525975753716119</v>
      </c>
      <c r="H32" s="31">
        <v>1.1470265702510295E-2</v>
      </c>
      <c r="I32" s="17">
        <v>0.32375833511275937</v>
      </c>
      <c r="J32" s="30">
        <v>1.4906854386202838E-3</v>
      </c>
      <c r="K32" s="16">
        <v>0.30946632733431917</v>
      </c>
      <c r="L32" s="31">
        <v>8.1485727265863221E-3</v>
      </c>
      <c r="M32" s="17">
        <v>0.28661653938721615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>
      <c r="A33" s="20" t="s">
        <v>22</v>
      </c>
      <c r="B33" s="21">
        <v>1.9924779999999996E-2</v>
      </c>
      <c r="C33" s="22">
        <v>1</v>
      </c>
      <c r="D33" s="23">
        <v>-1.7980000000000003E-2</v>
      </c>
      <c r="E33" s="24">
        <v>1</v>
      </c>
      <c r="F33" s="21">
        <v>1.9500000000000038E-3</v>
      </c>
      <c r="G33" s="22">
        <v>1</v>
      </c>
      <c r="H33" s="23">
        <v>1.5730000000000008E-2</v>
      </c>
      <c r="I33" s="24">
        <v>0.99999999999999978</v>
      </c>
      <c r="J33" s="21">
        <v>6.3599999999999993E-3</v>
      </c>
      <c r="K33" s="22">
        <v>1</v>
      </c>
      <c r="L33" s="23">
        <v>1.2720000000000006E-2</v>
      </c>
      <c r="M33" s="24">
        <v>0.99999999999999978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1.6675876797634104E-2</v>
      </c>
      <c r="C35" s="16">
        <v>0.90799201785799455</v>
      </c>
      <c r="D35" s="17">
        <v>-1.0075142208694352E-2</v>
      </c>
      <c r="E35" s="32">
        <v>0.91183234102310218</v>
      </c>
      <c r="F35" s="30">
        <v>8.7174637675381094E-4</v>
      </c>
      <c r="G35" s="16">
        <v>0.9160101931799951</v>
      </c>
      <c r="H35" s="17">
        <v>1.6469872104575921E-2</v>
      </c>
      <c r="I35" s="32">
        <v>0.9094305459887142</v>
      </c>
      <c r="J35" s="30">
        <v>7.2467577238216957E-3</v>
      </c>
      <c r="K35" s="16">
        <v>0.90747377140793528</v>
      </c>
      <c r="L35" s="17">
        <v>1.179802842105388E-2</v>
      </c>
      <c r="M35" s="32">
        <v>0.913772834165541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3.2489032023658953E-3</v>
      </c>
      <c r="C36" s="16">
        <v>9.2007982142005368E-2</v>
      </c>
      <c r="D36" s="31">
        <v>-7.9048577913056542E-3</v>
      </c>
      <c r="E36" s="17">
        <v>8.8167658976897822E-2</v>
      </c>
      <c r="F36" s="30">
        <v>1.0782536232461948E-3</v>
      </c>
      <c r="G36" s="16">
        <v>8.3989806820005036E-2</v>
      </c>
      <c r="H36" s="31">
        <v>-7.3987210457591719E-4</v>
      </c>
      <c r="I36" s="17">
        <v>9.0569454011285702E-2</v>
      </c>
      <c r="J36" s="30">
        <v>-8.8675772382169568E-4</v>
      </c>
      <c r="K36" s="16">
        <v>9.2526228592064719E-2</v>
      </c>
      <c r="L36" s="31">
        <v>9.2197157894612677E-4</v>
      </c>
      <c r="M36" s="17">
        <v>8.6227165834458969E-2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>
      <c r="A37" s="20" t="s">
        <v>22</v>
      </c>
      <c r="B37" s="21">
        <v>1.992478E-2</v>
      </c>
      <c r="C37" s="22">
        <v>0.99999999999999989</v>
      </c>
      <c r="D37" s="23">
        <v>-1.7980000000000006E-2</v>
      </c>
      <c r="E37" s="24">
        <v>1</v>
      </c>
      <c r="F37" s="21">
        <v>1.9500000000000058E-3</v>
      </c>
      <c r="G37" s="22">
        <v>1.0000000000000002</v>
      </c>
      <c r="H37" s="23">
        <v>1.5730000000000004E-2</v>
      </c>
      <c r="I37" s="24">
        <v>0.99999999999999989</v>
      </c>
      <c r="J37" s="21">
        <v>6.3600000000000002E-3</v>
      </c>
      <c r="K37" s="22">
        <v>1</v>
      </c>
      <c r="L37" s="23">
        <v>1.2720000000000006E-2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145"/>
      <c r="B39" s="37"/>
      <c r="C39" s="37"/>
      <c r="D39" s="216"/>
      <c r="E39" s="2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218" t="s">
        <v>182</v>
      </c>
      <c r="C40" s="219"/>
      <c r="D40" s="214" t="s">
        <v>183</v>
      </c>
      <c r="E40" s="220"/>
      <c r="F40" s="218" t="s">
        <v>184</v>
      </c>
      <c r="G40" s="219"/>
      <c r="H40" s="214" t="s">
        <v>184</v>
      </c>
      <c r="I40" s="2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148" t="s">
        <v>1</v>
      </c>
      <c r="C41" s="150" t="s">
        <v>2</v>
      </c>
      <c r="D41" s="151" t="s">
        <v>1</v>
      </c>
      <c r="E41" s="14" t="s">
        <v>2</v>
      </c>
      <c r="F41" s="148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1.6045535903774773E-3</v>
      </c>
      <c r="C42" s="48">
        <v>0.13607203315028241</v>
      </c>
      <c r="D42" s="49">
        <v>3.2042762165784902E-3</v>
      </c>
      <c r="E42" s="49">
        <v>0.11614995739964044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1.0270057903538708E-3</v>
      </c>
      <c r="C43" s="48">
        <v>0.20033229484703574</v>
      </c>
      <c r="D43" s="49">
        <v>3.9526532962745461E-3</v>
      </c>
      <c r="E43" s="49">
        <v>0.21850680850590076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1.4141427030365291E-3</v>
      </c>
      <c r="C46" s="48">
        <v>0.22893557628186778</v>
      </c>
      <c r="D46" s="49">
        <v>9.1141980648677748E-3</v>
      </c>
      <c r="E46" s="49">
        <v>0.23000984656431556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-2.4067685614776702E-4</v>
      </c>
      <c r="C47" s="48">
        <v>1.2931917940732382E-2</v>
      </c>
      <c r="D47" s="49">
        <v>1.827925024969154E-4</v>
      </c>
      <c r="E47" s="49">
        <v>1.1636550311509836E-2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-5.6625920850625899E-3</v>
      </c>
      <c r="C48" s="48">
        <v>0.19125203564483392</v>
      </c>
      <c r="D48" s="49">
        <v>3.6284671368987101E-3</v>
      </c>
      <c r="E48" s="49">
        <v>0.19214403503802266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2.0997754250660569E-3</v>
      </c>
      <c r="C49" s="48">
        <v>9.6619232600403657E-2</v>
      </c>
      <c r="D49" s="49">
        <v>9.4062290478283701E-3</v>
      </c>
      <c r="E49" s="49">
        <v>9.7293904700962039E-2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3.1956426526594164E-3</v>
      </c>
      <c r="C50" s="48">
        <v>6.8378434071210387E-2</v>
      </c>
      <c r="D50" s="49">
        <v>6.5180127889539596E-3</v>
      </c>
      <c r="E50" s="49">
        <v>6.5952037232520286E-2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5.0329696664753391E-4</v>
      </c>
      <c r="C51" s="48">
        <v>1.7502399354952087E-2</v>
      </c>
      <c r="D51" s="49">
        <v>6.9774357584188981E-4</v>
      </c>
      <c r="E51" s="49">
        <v>1.7409732283248113E-2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-2.2250131689636862E-5</v>
      </c>
      <c r="C52" s="48">
        <v>1.1542307359505802E-4</v>
      </c>
      <c r="D52" s="49">
        <v>-1.9041210010024829E-5</v>
      </c>
      <c r="E52" s="49">
        <v>1.1269724159796534E-4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-7.4996578773687194E-4</v>
      </c>
      <c r="C53" s="48">
        <v>-1.2932731935980575E-2</v>
      </c>
      <c r="D53" s="49">
        <v>1.2262798242706795E-3</v>
      </c>
      <c r="E53" s="49">
        <v>-9.0338213508682E-3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9.3574371595663483E-5</v>
      </c>
      <c r="C54" s="48">
        <v>4.9521501715759806E-4</v>
      </c>
      <c r="D54" s="49">
        <v>-1.2238902549160076E-3</v>
      </c>
      <c r="E54" s="49">
        <v>4.2711619199211899E-4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9.6893042655479269E-5</v>
      </c>
      <c r="C55" s="48">
        <v>2.414740721239917E-3</v>
      </c>
      <c r="D55" s="49">
        <v>1.6799697390304256E-4</v>
      </c>
      <c r="E55" s="49">
        <v>2.1239936504445834E-3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1.3378022517093827E-4</v>
      </c>
      <c r="C56" s="48">
        <v>5.6697474809760062E-2</v>
      </c>
      <c r="D56" s="49">
        <v>2.0106257649832471E-3</v>
      </c>
      <c r="E56" s="49">
        <v>5.5866272159036445E-2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6.820093073899986E-6</v>
      </c>
      <c r="C57" s="48">
        <v>1.1859544229096772E-3</v>
      </c>
      <c r="D57" s="49">
        <v>3.3656272028411032E-5</v>
      </c>
      <c r="E57" s="49">
        <v>1.4008700716773351E-3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20" t="s">
        <v>29</v>
      </c>
      <c r="B61" s="50">
        <v>3.5000000000000001E-3</v>
      </c>
      <c r="C61" s="51">
        <v>1</v>
      </c>
      <c r="D61" s="161">
        <v>3.8899999999999997E-2</v>
      </c>
      <c r="E61" s="53">
        <v>0.99999999999999989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20" t="s">
        <v>23</v>
      </c>
      <c r="B62" s="54">
        <v>1994.5230000000004</v>
      </c>
      <c r="C62" s="55"/>
      <c r="D62" s="56">
        <v>20836.918000000001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-1.3252868623393477E-2</v>
      </c>
      <c r="C64" s="48">
        <v>0.69215119596893715</v>
      </c>
      <c r="D64" s="58">
        <v>3.2777726173671695E-4</v>
      </c>
      <c r="E64" s="49">
        <v>0.69276873101208603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1.6752868623393476E-2</v>
      </c>
      <c r="C65" s="48">
        <v>0.30784880403106285</v>
      </c>
      <c r="D65" s="58">
        <v>3.857222273826328E-2</v>
      </c>
      <c r="E65" s="49">
        <v>0.30723126898791392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0" t="s">
        <v>29</v>
      </c>
      <c r="B66" s="50">
        <v>3.5000000000000001E-3</v>
      </c>
      <c r="C66" s="51">
        <v>1</v>
      </c>
      <c r="D66" s="52">
        <v>3.8899999999999997E-2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7.3100768382603487E-3</v>
      </c>
      <c r="C68" s="48">
        <v>0.91194485068703057</v>
      </c>
      <c r="D68" s="58">
        <v>4.348784894934199E-2</v>
      </c>
      <c r="E68" s="49">
        <v>0.91108528393721366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-3.8100768382603486E-3</v>
      </c>
      <c r="C69" s="48">
        <v>8.8055149312969413E-2</v>
      </c>
      <c r="D69" s="58">
        <v>-4.5878489493419924E-3</v>
      </c>
      <c r="E69" s="49">
        <v>8.8914716062786267E-2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20" t="s">
        <v>29</v>
      </c>
      <c r="B70" s="50">
        <v>3.5000000000000001E-3</v>
      </c>
      <c r="C70" s="51">
        <v>1</v>
      </c>
      <c r="D70" s="52">
        <v>3.8899999999999997E-2</v>
      </c>
      <c r="E70" s="53">
        <v>0.99999999999999989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76"/>
    </row>
    <row r="74" spans="1:25">
      <c r="F74" s="76"/>
    </row>
    <row r="75" spans="1:25">
      <c r="F75" s="76"/>
    </row>
    <row r="76" spans="1:25">
      <c r="F76" s="7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209" t="s">
        <v>162</v>
      </c>
      <c r="B1" s="100"/>
      <c r="D1" s="3"/>
    </row>
    <row r="2" spans="1:26" ht="18">
      <c r="A2" s="210" t="s">
        <v>163</v>
      </c>
      <c r="B2" s="212">
        <v>241</v>
      </c>
    </row>
    <row r="3" spans="1:26" ht="18">
      <c r="A3" s="211" t="s">
        <v>164</v>
      </c>
      <c r="B3" s="213" t="s">
        <v>151</v>
      </c>
    </row>
    <row r="4" spans="1:26" ht="18">
      <c r="A4" s="210" t="s">
        <v>165</v>
      </c>
      <c r="B4" s="213" t="s">
        <v>148</v>
      </c>
    </row>
    <row r="5" spans="1:26" ht="18">
      <c r="A5" s="211" t="s">
        <v>166</v>
      </c>
      <c r="B5" s="212">
        <v>2023</v>
      </c>
      <c r="C5" s="211" t="s">
        <v>167</v>
      </c>
      <c r="D5" s="212" t="s">
        <v>169</v>
      </c>
    </row>
    <row r="6" spans="1:26">
      <c r="A6" s="4"/>
      <c r="D6" s="5"/>
    </row>
    <row r="7" spans="1:26" ht="15.75">
      <c r="A7" s="6" t="s">
        <v>0</v>
      </c>
      <c r="B7" s="7" t="s">
        <v>170</v>
      </c>
      <c r="C7" s="8"/>
      <c r="D7" s="9" t="s">
        <v>171</v>
      </c>
      <c r="E7" s="10"/>
      <c r="F7" s="7" t="s">
        <v>172</v>
      </c>
      <c r="G7" s="8"/>
      <c r="H7" s="9" t="s">
        <v>173</v>
      </c>
      <c r="I7" s="10"/>
      <c r="J7" s="7" t="s">
        <v>174</v>
      </c>
      <c r="K7" s="8"/>
      <c r="L7" s="9" t="s">
        <v>175</v>
      </c>
      <c r="M7" s="10"/>
      <c r="N7" s="7" t="s">
        <v>176</v>
      </c>
      <c r="O7" s="8"/>
      <c r="P7" s="9" t="s">
        <v>177</v>
      </c>
      <c r="Q7" s="10"/>
      <c r="R7" s="7" t="s">
        <v>178</v>
      </c>
      <c r="S7" s="8"/>
      <c r="T7" s="9" t="s">
        <v>179</v>
      </c>
      <c r="U7" s="9"/>
      <c r="V7" s="7" t="s">
        <v>180</v>
      </c>
      <c r="W7" s="8"/>
      <c r="X7" s="9" t="s">
        <v>181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2.2061463917679575E-4</v>
      </c>
      <c r="C9" s="16">
        <v>0.18577743010344794</v>
      </c>
      <c r="D9" s="17">
        <v>1.3659902515094358E-3</v>
      </c>
      <c r="E9" s="17">
        <v>0.12007387828162649</v>
      </c>
      <c r="F9" s="16">
        <v>3.0303109937009141E-4</v>
      </c>
      <c r="G9" s="16">
        <v>0.10663020632040233</v>
      </c>
      <c r="H9" s="17">
        <v>1.4173644990384971E-3</v>
      </c>
      <c r="I9" s="17">
        <v>0.106436686678823</v>
      </c>
      <c r="J9" s="16">
        <v>6.382960521916026E-4</v>
      </c>
      <c r="K9" s="16">
        <v>9.3666795075441248E-2</v>
      </c>
      <c r="L9" s="17">
        <v>3.3121625039883237E-4</v>
      </c>
      <c r="M9" s="17">
        <v>0.12651019053014281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56</v>
      </c>
      <c r="B10" s="16">
        <v>1.6461929123777746E-3</v>
      </c>
      <c r="C10" s="16">
        <v>0.18397160089049944</v>
      </c>
      <c r="D10" s="17">
        <v>-3.9504897332180416E-3</v>
      </c>
      <c r="E10" s="17">
        <v>0.19151192024403618</v>
      </c>
      <c r="F10" s="16">
        <v>3.3939152272190621E-3</v>
      </c>
      <c r="G10" s="16">
        <v>0.22595856459761693</v>
      </c>
      <c r="H10" s="17">
        <v>-3.9747146654027206E-4</v>
      </c>
      <c r="I10" s="17">
        <v>0.22124500396329247</v>
      </c>
      <c r="J10" s="16">
        <v>2.461813824308959E-3</v>
      </c>
      <c r="K10" s="16">
        <v>0.22147374532604361</v>
      </c>
      <c r="L10" s="17">
        <v>4.783619874982164E-4</v>
      </c>
      <c r="M10" s="17">
        <v>0.17566678225994908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4.1045484598161144E-3</v>
      </c>
      <c r="C13" s="16">
        <v>0.22971420955830776</v>
      </c>
      <c r="D13" s="17">
        <v>-3.2791938992062014E-3</v>
      </c>
      <c r="E13" s="17">
        <v>0.22195291058558447</v>
      </c>
      <c r="F13" s="16">
        <v>5.9337059978973141E-4</v>
      </c>
      <c r="G13" s="16">
        <v>0.21944867136985069</v>
      </c>
      <c r="H13" s="17">
        <v>3.355327982506204E-3</v>
      </c>
      <c r="I13" s="17">
        <v>0.22122499857684952</v>
      </c>
      <c r="J13" s="16">
        <v>3.0854197703586964E-3</v>
      </c>
      <c r="K13" s="16">
        <v>0.23299275123802271</v>
      </c>
      <c r="L13" s="17">
        <v>9.1181053333730313E-4</v>
      </c>
      <c r="M13" s="17">
        <v>0.24326304341600971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1.0182841976101699E-5</v>
      </c>
      <c r="C14" s="16">
        <v>1.1344705237098707E-2</v>
      </c>
      <c r="D14" s="17">
        <v>-2.5872251429349805E-4</v>
      </c>
      <c r="E14" s="17">
        <v>1.0296619611455756E-2</v>
      </c>
      <c r="F14" s="16">
        <v>7.7890653511554904E-5</v>
      </c>
      <c r="G14" s="16">
        <v>7.0182795627906315E-3</v>
      </c>
      <c r="H14" s="17">
        <v>3.9898329705744629E-5</v>
      </c>
      <c r="I14" s="17">
        <v>6.8087832301700615E-3</v>
      </c>
      <c r="J14" s="16">
        <v>2.0218051920448151E-4</v>
      </c>
      <c r="K14" s="16">
        <v>7.0235037090245244E-3</v>
      </c>
      <c r="L14" s="17">
        <v>4.2491945929293123E-5</v>
      </c>
      <c r="M14" s="17">
        <v>6.7170909681866812E-3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3.0274496853790992E-3</v>
      </c>
      <c r="C15" s="16">
        <v>0.16215251305788239</v>
      </c>
      <c r="D15" s="17">
        <v>-6.9395697939896358E-3</v>
      </c>
      <c r="E15" s="17">
        <v>0.20738894166036259</v>
      </c>
      <c r="F15" s="16">
        <v>-1.7411626743582939E-3</v>
      </c>
      <c r="G15" s="16">
        <v>0.20130918164472009</v>
      </c>
      <c r="H15" s="17">
        <v>5.7523413126344958E-3</v>
      </c>
      <c r="I15" s="17">
        <v>0.1957532686697947</v>
      </c>
      <c r="J15" s="16">
        <v>8.7706995225694408E-5</v>
      </c>
      <c r="K15" s="16">
        <v>0.19086257953550664</v>
      </c>
      <c r="L15" s="17">
        <v>3.4095367699364222E-3</v>
      </c>
      <c r="M15" s="17">
        <v>0.19420690479907754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3.013730893049656E-3</v>
      </c>
      <c r="C16" s="16">
        <v>0.10040943650825454</v>
      </c>
      <c r="D16" s="17">
        <v>1.1149945444244942E-4</v>
      </c>
      <c r="E16" s="17">
        <v>9.2724761477339518E-2</v>
      </c>
      <c r="F16" s="16">
        <v>-9.7177086292114388E-4</v>
      </c>
      <c r="G16" s="16">
        <v>9.6472551397920894E-2</v>
      </c>
      <c r="H16" s="17">
        <v>3.300024028305989E-3</v>
      </c>
      <c r="I16" s="17">
        <v>9.4581052518676378E-2</v>
      </c>
      <c r="J16" s="16">
        <v>-5.6195754620282785E-5</v>
      </c>
      <c r="K16" s="16">
        <v>9.4131455649405671E-2</v>
      </c>
      <c r="L16" s="17">
        <v>3.986987940410025E-3</v>
      </c>
      <c r="M16" s="17">
        <v>0.10997664359180008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1.1962126294646931E-3</v>
      </c>
      <c r="C17" s="16">
        <v>4.9496554002391342E-2</v>
      </c>
      <c r="D17" s="17">
        <v>4.2873401476125938E-3</v>
      </c>
      <c r="E17" s="17">
        <v>7.8080013648948871E-2</v>
      </c>
      <c r="F17" s="16">
        <v>-1.6094772623621574E-3</v>
      </c>
      <c r="G17" s="16">
        <v>7.1863085558948395E-2</v>
      </c>
      <c r="H17" s="17">
        <v>1.827752396910944E-3</v>
      </c>
      <c r="I17" s="17">
        <v>7.6783474740380067E-2</v>
      </c>
      <c r="J17" s="16">
        <v>1.3959015023556425E-3</v>
      </c>
      <c r="K17" s="16">
        <v>7.3074596190288832E-2</v>
      </c>
      <c r="L17" s="17">
        <v>8.1945759668916547E-5</v>
      </c>
      <c r="M17" s="17">
        <v>6.3330246099691637E-2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5.4455668865815158E-5</v>
      </c>
      <c r="C18" s="16">
        <v>1.9977151450607057E-2</v>
      </c>
      <c r="D18" s="17">
        <v>7.7415918896048632E-4</v>
      </c>
      <c r="E18" s="17">
        <v>1.9019914664519175E-2</v>
      </c>
      <c r="F18" s="16">
        <v>-8.8834437281857018E-4</v>
      </c>
      <c r="G18" s="16">
        <v>1.9613793335708188E-2</v>
      </c>
      <c r="H18" s="17">
        <v>4.2756355548070066E-4</v>
      </c>
      <c r="I18" s="17">
        <v>1.8856372376300844E-2</v>
      </c>
      <c r="J18" s="16">
        <v>5.4027823030619083E-4</v>
      </c>
      <c r="K18" s="16">
        <v>1.9776262320727243E-2</v>
      </c>
      <c r="L18" s="17">
        <v>-5.0854906516931662E-4</v>
      </c>
      <c r="M18" s="17">
        <v>1.9462271578924446E-2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-5.2829145258945599E-6</v>
      </c>
      <c r="C19" s="16">
        <v>9.965349290548939E-5</v>
      </c>
      <c r="D19" s="17">
        <v>-1.1768596936258766E-5</v>
      </c>
      <c r="E19" s="17">
        <v>1.2814702917587082E-4</v>
      </c>
      <c r="F19" s="16">
        <v>-5.0096405490859695E-6</v>
      </c>
      <c r="G19" s="16">
        <v>1.1736448667197426E-4</v>
      </c>
      <c r="H19" s="17">
        <v>7.7948091451872933E-6</v>
      </c>
      <c r="I19" s="17">
        <v>1.110573940201959E-4</v>
      </c>
      <c r="J19" s="16">
        <v>-1.1395285410980406E-5</v>
      </c>
      <c r="K19" s="16">
        <v>1.1485750121171712E-4</v>
      </c>
      <c r="L19" s="17">
        <v>6.7245595762190748E-6</v>
      </c>
      <c r="M19" s="17">
        <v>1.0563884378309553E-4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76" customFormat="1">
      <c r="A20" s="19" t="s">
        <v>14</v>
      </c>
      <c r="B20" s="16">
        <v>5.2773115065701719E-3</v>
      </c>
      <c r="C20" s="16">
        <v>-1.511992464973713E-2</v>
      </c>
      <c r="D20" s="17">
        <v>-9.0495203642153646E-3</v>
      </c>
      <c r="E20" s="17">
        <v>-7.7693545874491024E-3</v>
      </c>
      <c r="F20" s="16">
        <v>2.7641496133532662E-3</v>
      </c>
      <c r="G20" s="16">
        <v>-1.5002760432134219E-2</v>
      </c>
      <c r="H20" s="17">
        <v>3.7490823634255867E-4</v>
      </c>
      <c r="I20" s="17">
        <v>-7.5877885263664702E-3</v>
      </c>
      <c r="J20" s="16">
        <v>-2.190650703674015E-3</v>
      </c>
      <c r="K20" s="16">
        <v>-1.1602140732987884E-3</v>
      </c>
      <c r="L20" s="17">
        <v>3.8491755730364566E-3</v>
      </c>
      <c r="M20" s="17">
        <v>-5.9997391527203698E-3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47"/>
    </row>
    <row r="21" spans="1:28">
      <c r="A21" s="19" t="s">
        <v>15</v>
      </c>
      <c r="B21" s="16">
        <v>1.1303144098784781E-4</v>
      </c>
      <c r="C21" s="16">
        <v>3.7847417913894642E-4</v>
      </c>
      <c r="D21" s="17">
        <v>3.6055543194310496E-4</v>
      </c>
      <c r="E21" s="17">
        <v>5.4685986194543659E-4</v>
      </c>
      <c r="F21" s="16">
        <v>-3.7468565933978463E-4</v>
      </c>
      <c r="G21" s="16">
        <v>5.6935568892210753E-4</v>
      </c>
      <c r="H21" s="17">
        <v>-2.7561315148694459E-4</v>
      </c>
      <c r="I21" s="17">
        <v>2.9339449527980717E-4</v>
      </c>
      <c r="J21" s="16">
        <v>-5.824215467866025E-4</v>
      </c>
      <c r="K21" s="16">
        <v>4.1502191583589042E-4</v>
      </c>
      <c r="L21" s="17">
        <v>-4.6157823190803811E-4</v>
      </c>
      <c r="M21" s="17">
        <v>3.9430991456736143E-4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9.1590448537587567E-6</v>
      </c>
      <c r="C22" s="16">
        <v>2.4723646906217875E-3</v>
      </c>
      <c r="D22" s="17">
        <v>1.0465720347767595E-4</v>
      </c>
      <c r="E22" s="17">
        <v>2.3399737408548835E-3</v>
      </c>
      <c r="F22" s="16">
        <v>-1.5540213246883144E-5</v>
      </c>
      <c r="G22" s="16">
        <v>2.4801196982865881E-3</v>
      </c>
      <c r="H22" s="17">
        <v>1.0176309878344831E-4</v>
      </c>
      <c r="I22" s="17">
        <v>1.9145977077306049E-3</v>
      </c>
      <c r="J22" s="16">
        <v>-5.1843549036745184E-5</v>
      </c>
      <c r="K22" s="16">
        <v>1.8270362686635892E-3</v>
      </c>
      <c r="L22" s="17">
        <v>2.0273166799749953E-5</v>
      </c>
      <c r="M22" s="17">
        <v>1.8650949238434857E-3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4.1817952522815233E-4</v>
      </c>
      <c r="C23" s="16">
        <v>6.7443177267762916E-2</v>
      </c>
      <c r="D23" s="17">
        <v>-5.4299748812993115E-4</v>
      </c>
      <c r="E23" s="17">
        <v>6.1973721145157999E-2</v>
      </c>
      <c r="F23" s="16">
        <v>3.952642645413072E-4</v>
      </c>
      <c r="G23" s="16">
        <v>6.1793796176116904E-2</v>
      </c>
      <c r="H23" s="17">
        <v>5.6061415342055379E-4</v>
      </c>
      <c r="I23" s="17">
        <v>6.1900599120882686E-2</v>
      </c>
      <c r="J23" s="16">
        <v>9.2289701626013451E-4</v>
      </c>
      <c r="K23" s="16">
        <v>6.4091973692336199E-2</v>
      </c>
      <c r="L23" s="17">
        <v>1.7428540831863066E-4</v>
      </c>
      <c r="M23" s="17">
        <v>6.1805430117219305E-2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7.4966677991562184E-7</v>
      </c>
      <c r="C24" s="16">
        <v>1.8826542108185502E-3</v>
      </c>
      <c r="D24" s="17">
        <v>8.0607120431869778E-6</v>
      </c>
      <c r="E24" s="17">
        <v>1.7316926364419217E-3</v>
      </c>
      <c r="F24" s="16">
        <v>8.3692278109068514E-6</v>
      </c>
      <c r="G24" s="16">
        <v>1.7277905941786938E-3</v>
      </c>
      <c r="H24" s="17">
        <v>7.732215752898086E-6</v>
      </c>
      <c r="I24" s="17">
        <v>1.6784990541654494E-3</v>
      </c>
      <c r="J24" s="16">
        <v>1.8012929317224838E-5</v>
      </c>
      <c r="K24" s="16">
        <v>1.709635650790783E-3</v>
      </c>
      <c r="L24" s="17">
        <v>7.3174021672901862E-6</v>
      </c>
      <c r="M24" s="17">
        <v>2.6960921095252398E-3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20" t="s">
        <v>22</v>
      </c>
      <c r="B28" s="21">
        <v>1.9086536000000001E-2</v>
      </c>
      <c r="C28" s="22">
        <v>1</v>
      </c>
      <c r="D28" s="23">
        <v>-1.702E-2</v>
      </c>
      <c r="E28" s="24">
        <v>1.0000000000000002</v>
      </c>
      <c r="F28" s="21">
        <v>1.9300000000000001E-3</v>
      </c>
      <c r="G28" s="22">
        <v>1.0000000000000002</v>
      </c>
      <c r="H28" s="23">
        <v>1.6500000000000001E-2</v>
      </c>
      <c r="I28" s="24">
        <v>0.99999999999999922</v>
      </c>
      <c r="J28" s="21">
        <v>6.4599999999999996E-3</v>
      </c>
      <c r="K28" s="22">
        <v>0.99999999999999978</v>
      </c>
      <c r="L28" s="23">
        <v>1.2330000000000001E-2</v>
      </c>
      <c r="M28" s="24">
        <v>1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>
      <c r="A29" s="20" t="s">
        <v>23</v>
      </c>
      <c r="B29" s="25">
        <v>15629.401</v>
      </c>
      <c r="C29" s="26"/>
      <c r="D29" s="27">
        <v>-14201.133</v>
      </c>
      <c r="E29" s="26"/>
      <c r="F29" s="25">
        <v>1583.537</v>
      </c>
      <c r="G29" s="26"/>
      <c r="H29" s="27">
        <v>13501.668</v>
      </c>
      <c r="I29" s="26"/>
      <c r="J29" s="25">
        <v>5338.3019999999997</v>
      </c>
      <c r="K29" s="26"/>
      <c r="L29" s="27">
        <v>10199.708000000001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2.8840609323943067E-3</v>
      </c>
      <c r="C31" s="16">
        <v>0.71821413661990607</v>
      </c>
      <c r="D31" s="32">
        <v>-1.9271054851690603E-2</v>
      </c>
      <c r="E31" s="32">
        <v>0.69190615777756226</v>
      </c>
      <c r="F31" s="30">
        <v>4.1711382160396519E-3</v>
      </c>
      <c r="G31" s="16">
        <v>0.67631264346271536</v>
      </c>
      <c r="H31" s="32">
        <v>6.8960183509699808E-3</v>
      </c>
      <c r="I31" s="32">
        <v>0.67652560978691167</v>
      </c>
      <c r="J31" s="30">
        <v>5.1644790735085279E-3</v>
      </c>
      <c r="K31" s="16">
        <v>0.68426508978513056</v>
      </c>
      <c r="L31" s="32">
        <v>4.1913436795396816E-3</v>
      </c>
      <c r="M31" s="32">
        <v>0.6902676831545963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1.6202475067605693E-2</v>
      </c>
      <c r="C32" s="16">
        <v>0.28178586338009393</v>
      </c>
      <c r="D32" s="31">
        <v>2.2510548516906149E-3</v>
      </c>
      <c r="E32" s="17">
        <v>0.30809384222243769</v>
      </c>
      <c r="F32" s="30">
        <v>-2.2411382160396425E-3</v>
      </c>
      <c r="G32" s="16">
        <v>0.32368735653728442</v>
      </c>
      <c r="H32" s="31">
        <v>9.6039816490300287E-3</v>
      </c>
      <c r="I32" s="17">
        <v>0.32347439021308849</v>
      </c>
      <c r="J32" s="30">
        <v>1.2955209264914702E-3</v>
      </c>
      <c r="K32" s="16">
        <v>0.31573491021486966</v>
      </c>
      <c r="L32" s="31">
        <v>8.1386563204603191E-3</v>
      </c>
      <c r="M32" s="17">
        <v>0.30973231684540381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>
      <c r="A33" s="20" t="s">
        <v>22</v>
      </c>
      <c r="B33" s="21">
        <v>1.9086536000000001E-2</v>
      </c>
      <c r="C33" s="22">
        <v>1</v>
      </c>
      <c r="D33" s="23">
        <v>-1.7019999999999987E-2</v>
      </c>
      <c r="E33" s="24">
        <v>1</v>
      </c>
      <c r="F33" s="21">
        <v>1.9300000000000094E-3</v>
      </c>
      <c r="G33" s="22">
        <v>0.99999999999999978</v>
      </c>
      <c r="H33" s="23">
        <v>1.6500000000000008E-2</v>
      </c>
      <c r="I33" s="24">
        <v>1.0000000000000002</v>
      </c>
      <c r="J33" s="21">
        <v>6.4599999999999979E-3</v>
      </c>
      <c r="K33" s="22">
        <v>1.0000000000000002</v>
      </c>
      <c r="L33" s="23">
        <v>1.2330000000000001E-2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1.6737656545172442E-2</v>
      </c>
      <c r="C35" s="16">
        <v>0.89894322320872966</v>
      </c>
      <c r="D35" s="17">
        <v>-9.6399429073316303E-3</v>
      </c>
      <c r="E35" s="32">
        <v>0.90351417791338073</v>
      </c>
      <c r="F35" s="30">
        <v>1.1905295025382713E-3</v>
      </c>
      <c r="G35" s="16">
        <v>0.91238254381208073</v>
      </c>
      <c r="H35" s="17">
        <v>1.7005299751759132E-2</v>
      </c>
      <c r="I35" s="32">
        <v>0.90741507694652601</v>
      </c>
      <c r="J35" s="30">
        <v>7.2607844885960214E-3</v>
      </c>
      <c r="K35" s="16">
        <v>0.89859237080324472</v>
      </c>
      <c r="L35" s="17">
        <v>1.1774071482758077E-2</v>
      </c>
      <c r="M35" s="32">
        <v>0.90287781915670373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2.3488794548275596E-3</v>
      </c>
      <c r="C36" s="16">
        <v>0.10105677679127045</v>
      </c>
      <c r="D36" s="31">
        <v>-7.3800570926683571E-3</v>
      </c>
      <c r="E36" s="17">
        <v>9.6485822086619225E-2</v>
      </c>
      <c r="F36" s="30">
        <v>7.3947049746173423E-4</v>
      </c>
      <c r="G36" s="16">
        <v>8.7617456187919204E-2</v>
      </c>
      <c r="H36" s="31">
        <v>-5.0529975175912345E-4</v>
      </c>
      <c r="I36" s="17">
        <v>9.2584923053474058E-2</v>
      </c>
      <c r="J36" s="30">
        <v>-8.0078448859602456E-4</v>
      </c>
      <c r="K36" s="16">
        <v>0.10140762919675535</v>
      </c>
      <c r="L36" s="31">
        <v>5.5592851724192531E-4</v>
      </c>
      <c r="M36" s="17">
        <v>9.7122180843296421E-2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>
      <c r="A37" s="20" t="s">
        <v>22</v>
      </c>
      <c r="B37" s="21">
        <v>1.9086536000000001E-2</v>
      </c>
      <c r="C37" s="22">
        <v>1</v>
      </c>
      <c r="D37" s="23">
        <v>-1.7019999999999987E-2</v>
      </c>
      <c r="E37" s="24">
        <v>1</v>
      </c>
      <c r="F37" s="21">
        <v>1.9300000000000055E-3</v>
      </c>
      <c r="G37" s="22">
        <v>0.99999999999999989</v>
      </c>
      <c r="H37" s="23">
        <v>1.6500000000000008E-2</v>
      </c>
      <c r="I37" s="24">
        <v>1</v>
      </c>
      <c r="J37" s="21">
        <v>6.459999999999997E-3</v>
      </c>
      <c r="K37" s="22">
        <v>1</v>
      </c>
      <c r="L37" s="23">
        <v>1.2330000000000002E-2</v>
      </c>
      <c r="M37" s="24">
        <v>1.0000000000000002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145"/>
      <c r="B39" s="37"/>
      <c r="C39" s="37"/>
      <c r="D39" s="216"/>
      <c r="E39" s="2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218" t="s">
        <v>182</v>
      </c>
      <c r="C40" s="219"/>
      <c r="D40" s="214" t="s">
        <v>183</v>
      </c>
      <c r="E40" s="220"/>
      <c r="F40" s="218" t="s">
        <v>184</v>
      </c>
      <c r="G40" s="219"/>
      <c r="H40" s="214" t="s">
        <v>184</v>
      </c>
      <c r="I40" s="2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148" t="s">
        <v>1</v>
      </c>
      <c r="C41" s="150" t="s">
        <v>2</v>
      </c>
      <c r="D41" s="151" t="s">
        <v>1</v>
      </c>
      <c r="E41" s="14" t="s">
        <v>2</v>
      </c>
      <c r="F41" s="148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1.8904182294479099E-3</v>
      </c>
      <c r="C42" s="48">
        <v>0.13749383823515893</v>
      </c>
      <c r="D42" s="49">
        <v>4.2833960904389221E-3</v>
      </c>
      <c r="E42" s="49">
        <v>0.12318253116498064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1.0311133513040049E-3</v>
      </c>
      <c r="C43" s="48">
        <v>0.20048069524405085</v>
      </c>
      <c r="D43" s="49">
        <v>3.6859652178941205E-3</v>
      </c>
      <c r="E43" s="49">
        <v>0.20330460288023963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1.3564725892519635E-3</v>
      </c>
      <c r="C46" s="48">
        <v>0.22370526383791431</v>
      </c>
      <c r="D46" s="49">
        <v>8.8581020863628904E-3</v>
      </c>
      <c r="E46" s="49">
        <v>0.2280994307907708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-1.7277526014754631E-4</v>
      </c>
      <c r="C47" s="48">
        <v>9.553201470448365E-3</v>
      </c>
      <c r="D47" s="49">
        <v>1.1650163903309271E-4</v>
      </c>
      <c r="E47" s="49">
        <v>8.2014970531210599E-3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-5.7093568029238876E-3</v>
      </c>
      <c r="C48" s="48">
        <v>0.19028354545432169</v>
      </c>
      <c r="D48" s="49">
        <v>3.6116225320532627E-3</v>
      </c>
      <c r="E48" s="49">
        <v>0.1919455648945573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2.129494650467348E-3</v>
      </c>
      <c r="C49" s="48">
        <v>9.6535583127838318E-2</v>
      </c>
      <c r="D49" s="49">
        <v>9.4413670474781178E-3</v>
      </c>
      <c r="E49" s="49">
        <v>9.8049316857232838E-2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3.8557269036973369E-3</v>
      </c>
      <c r="C50" s="48">
        <v>6.6479884403429543E-2</v>
      </c>
      <c r="D50" s="49">
        <v>7.2136608780438193E-3</v>
      </c>
      <c r="E50" s="49">
        <v>6.877132837344152E-2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-6.472682148117737E-5</v>
      </c>
      <c r="C51" s="48">
        <v>1.953695315027814E-2</v>
      </c>
      <c r="D51" s="49">
        <v>4.0482250547351124E-4</v>
      </c>
      <c r="E51" s="49">
        <v>1.9450960954464493E-2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-2.2086347148968763E-5</v>
      </c>
      <c r="C52" s="48">
        <v>1.1505500291777815E-4</v>
      </c>
      <c r="D52" s="49">
        <v>-1.8900906943980466E-5</v>
      </c>
      <c r="E52" s="49">
        <v>1.127864579613905E-4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-1.063593227505936E-3</v>
      </c>
      <c r="C53" s="48">
        <v>-1.2630679889773485E-2</v>
      </c>
      <c r="D53" s="49">
        <v>9.5426854951564607E-4</v>
      </c>
      <c r="E53" s="49">
        <v>-8.7732969036176806E-3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9.8654762986814375E-5</v>
      </c>
      <c r="C54" s="48">
        <v>4.9822991000216357E-4</v>
      </c>
      <c r="D54" s="49">
        <v>-1.2202832710819607E-3</v>
      </c>
      <c r="E54" s="49">
        <v>4.3290267594825829E-4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9.7739797477043759E-5</v>
      </c>
      <c r="C55" s="48">
        <v>2.430819376587753E-3</v>
      </c>
      <c r="D55" s="49">
        <v>1.6916052299815871E-4</v>
      </c>
      <c r="E55" s="49">
        <v>2.1498645050001563E-3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2.5613071898964053E-4</v>
      </c>
      <c r="C56" s="48">
        <v>6.373689819634594E-2</v>
      </c>
      <c r="D56" s="49">
        <v>1.9494628096758245E-3</v>
      </c>
      <c r="E56" s="49">
        <v>6.3168116253246004E-2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1.6787455585454274E-5</v>
      </c>
      <c r="C57" s="48">
        <v>1.780712480479722E-3</v>
      </c>
      <c r="D57" s="49">
        <v>5.0854299058568116E-5</v>
      </c>
      <c r="E57" s="49">
        <v>1.9043940426534398E-3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20" t="s">
        <v>29</v>
      </c>
      <c r="B61" s="50">
        <v>3.7000000000000002E-3</v>
      </c>
      <c r="C61" s="51">
        <v>1</v>
      </c>
      <c r="D61" s="161">
        <v>3.95E-2</v>
      </c>
      <c r="E61" s="53">
        <v>0.99999999999999989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20" t="s">
        <v>23</v>
      </c>
      <c r="B62" s="54">
        <v>3011.8050000000003</v>
      </c>
      <c r="C62" s="55"/>
      <c r="D62" s="56">
        <v>32051.483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-1.2340018843522094E-2</v>
      </c>
      <c r="C64" s="48">
        <v>0.69547764595339456</v>
      </c>
      <c r="D64" s="58">
        <v>3.7965224312976886E-3</v>
      </c>
      <c r="E64" s="49">
        <v>0.6895818867644703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1.6040018843522096E-2</v>
      </c>
      <c r="C65" s="48">
        <v>0.30452235404660533</v>
      </c>
      <c r="D65" s="58">
        <v>3.5703477568702312E-2</v>
      </c>
      <c r="E65" s="49">
        <v>0.31041811323552965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0" t="s">
        <v>29</v>
      </c>
      <c r="B66" s="50">
        <v>3.7000000000000002E-3</v>
      </c>
      <c r="C66" s="51">
        <v>0.99999999999999989</v>
      </c>
      <c r="D66" s="52">
        <v>3.95E-2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8.1351510323686149E-3</v>
      </c>
      <c r="C68" s="48">
        <v>0.90494664831139693</v>
      </c>
      <c r="D68" s="58">
        <v>4.4882475646079278E-2</v>
      </c>
      <c r="E68" s="49">
        <v>0.90395420197344423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-4.4351510323686148E-3</v>
      </c>
      <c r="C69" s="48">
        <v>9.5053351688602961E-2</v>
      </c>
      <c r="D69" s="58">
        <v>-5.382475646079278E-3</v>
      </c>
      <c r="E69" s="49">
        <v>9.6045798026555773E-2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20" t="s">
        <v>29</v>
      </c>
      <c r="B70" s="50">
        <v>3.7000000000000002E-3</v>
      </c>
      <c r="C70" s="51">
        <v>0.99999999999999989</v>
      </c>
      <c r="D70" s="52">
        <v>3.95E-2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76"/>
    </row>
    <row r="74" spans="1:25">
      <c r="F74" s="76"/>
    </row>
    <row r="75" spans="1:25">
      <c r="F75" s="76"/>
    </row>
    <row r="76" spans="1:25">
      <c r="F76" s="7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zoomScale="90" zoomScaleNormal="90" workbookViewId="0"/>
  </sheetViews>
  <sheetFormatPr defaultRowHeight="15"/>
  <cols>
    <col min="1" max="1" width="31.28515625" customWidth="1"/>
    <col min="2" max="2" width="19.85546875" customWidth="1" collapsed="1"/>
    <col min="3" max="3" width="19.5703125" customWidth="1"/>
    <col min="4" max="4" width="24.42578125" bestFit="1" customWidth="1"/>
    <col min="5" max="5" width="20" bestFit="1" customWidth="1"/>
    <col min="6" max="6" width="20" bestFit="1" customWidth="1" collapsed="1"/>
    <col min="7" max="7" width="14.140625" customWidth="1"/>
    <col min="8" max="8" width="19.28515625" bestFit="1" customWidth="1"/>
    <col min="9" max="9" width="15.42578125" customWidth="1"/>
    <col min="10" max="10" width="15" bestFit="1" customWidth="1" collapsed="1"/>
    <col min="11" max="12" width="15" bestFit="1" customWidth="1"/>
    <col min="13" max="13" width="20.85546875" bestFit="1" customWidth="1"/>
    <col min="14" max="14" width="15" customWidth="1" collapsed="1"/>
    <col min="15" max="15" width="14.85546875" bestFit="1" customWidth="1"/>
    <col min="16" max="16" width="10.5703125" bestFit="1" customWidth="1"/>
    <col min="17" max="17" width="14.85546875" bestFit="1" customWidth="1"/>
    <col min="18" max="18" width="12" bestFit="1" customWidth="1" collapsed="1"/>
    <col min="19" max="19" width="14.85546875" bestFit="1" customWidth="1"/>
    <col min="20" max="20" width="11.85546875" bestFit="1" customWidth="1"/>
    <col min="21" max="21" width="14.85546875" bestFit="1" customWidth="1"/>
    <col min="22" max="22" width="11" bestFit="1" customWidth="1" collapsed="1"/>
    <col min="23" max="23" width="14.85546875" bestFit="1" customWidth="1"/>
    <col min="24" max="24" width="10.5703125" bestFit="1" customWidth="1"/>
    <col min="25" max="25" width="14.85546875" bestFit="1" customWidth="1"/>
  </cols>
  <sheetData>
    <row r="1" spans="1:26" ht="18">
      <c r="A1" s="209" t="s">
        <v>162</v>
      </c>
      <c r="B1" s="100"/>
      <c r="D1" s="3"/>
    </row>
    <row r="2" spans="1:26" ht="18">
      <c r="A2" s="210" t="s">
        <v>163</v>
      </c>
      <c r="B2" s="212">
        <v>614</v>
      </c>
    </row>
    <row r="3" spans="1:26" ht="18">
      <c r="A3" s="211" t="s">
        <v>164</v>
      </c>
      <c r="B3" s="213" t="s">
        <v>160</v>
      </c>
    </row>
    <row r="4" spans="1:26" ht="18">
      <c r="A4" s="210" t="s">
        <v>165</v>
      </c>
      <c r="B4" s="213" t="s">
        <v>148</v>
      </c>
    </row>
    <row r="5" spans="1:26" ht="18">
      <c r="A5" s="211" t="s">
        <v>166</v>
      </c>
      <c r="B5" s="212">
        <v>2023</v>
      </c>
      <c r="C5" s="211" t="s">
        <v>167</v>
      </c>
      <c r="D5" s="212" t="s">
        <v>169</v>
      </c>
    </row>
    <row r="6" spans="1:26">
      <c r="A6" s="4"/>
      <c r="D6" s="5"/>
    </row>
    <row r="7" spans="1:26" ht="15.75">
      <c r="A7" s="6" t="s">
        <v>0</v>
      </c>
      <c r="B7" s="7" t="s">
        <v>170</v>
      </c>
      <c r="C7" s="8"/>
      <c r="D7" s="9" t="s">
        <v>171</v>
      </c>
      <c r="E7" s="10"/>
      <c r="F7" s="7" t="s">
        <v>172</v>
      </c>
      <c r="G7" s="8"/>
      <c r="H7" s="9" t="s">
        <v>173</v>
      </c>
      <c r="I7" s="10"/>
      <c r="J7" s="7" t="s">
        <v>174</v>
      </c>
      <c r="K7" s="8"/>
      <c r="L7" s="9" t="s">
        <v>175</v>
      </c>
      <c r="M7" s="10"/>
      <c r="N7" s="7" t="s">
        <v>176</v>
      </c>
      <c r="O7" s="8"/>
      <c r="P7" s="9" t="s">
        <v>177</v>
      </c>
      <c r="Q7" s="10"/>
      <c r="R7" s="7" t="s">
        <v>178</v>
      </c>
      <c r="S7" s="8"/>
      <c r="T7" s="9" t="s">
        <v>179</v>
      </c>
      <c r="U7" s="9"/>
      <c r="V7" s="7" t="s">
        <v>180</v>
      </c>
      <c r="W7" s="8"/>
      <c r="X7" s="9" t="s">
        <v>181</v>
      </c>
      <c r="Y7" s="10"/>
    </row>
    <row r="8" spans="1:26" ht="28.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>
      <c r="A9" s="15" t="s">
        <v>3</v>
      </c>
      <c r="B9" s="16">
        <v>3.8500471997895622E-4</v>
      </c>
      <c r="C9" s="16">
        <v>0.11349047321241278</v>
      </c>
      <c r="D9" s="17">
        <v>1.2321225489019781E-3</v>
      </c>
      <c r="E9" s="17">
        <v>8.3064343634200621E-2</v>
      </c>
      <c r="F9" s="16">
        <v>-2.7201447915940194E-4</v>
      </c>
      <c r="G9" s="16">
        <v>6.4729069897001335E-2</v>
      </c>
      <c r="H9" s="17">
        <v>5.6741666981022752E-4</v>
      </c>
      <c r="I9" s="17">
        <v>5.5408063403042315E-2</v>
      </c>
      <c r="J9" s="16">
        <v>2.7204382904113134E-4</v>
      </c>
      <c r="K9" s="16">
        <v>5.588517058755503E-2</v>
      </c>
      <c r="L9" s="17">
        <v>-2.4081069541255148E-5</v>
      </c>
      <c r="M9" s="17">
        <v>4.8186094470158078E-2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>
      <c r="A10" s="15" t="s">
        <v>56</v>
      </c>
      <c r="B10" s="16">
        <v>1.5692902132846147E-3</v>
      </c>
      <c r="C10" s="16">
        <v>0.1921091983148141</v>
      </c>
      <c r="D10" s="17">
        <v>-3.7024649999676134E-3</v>
      </c>
      <c r="E10" s="17">
        <v>0.19026692730673098</v>
      </c>
      <c r="F10" s="16">
        <v>3.2232094528775682E-3</v>
      </c>
      <c r="G10" s="16">
        <v>0.22422316466628892</v>
      </c>
      <c r="H10" s="17">
        <v>-3.6103027400280675E-4</v>
      </c>
      <c r="I10" s="17">
        <v>0.22409845856764804</v>
      </c>
      <c r="J10" s="16">
        <v>2.4413308829590911E-3</v>
      </c>
      <c r="K10" s="16">
        <v>0.21140407894676094</v>
      </c>
      <c r="L10" s="17">
        <v>4.8054090570992221E-4</v>
      </c>
      <c r="M10" s="17">
        <v>0.21148267983523455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>
      <c r="A11" s="19" t="s">
        <v>5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>
      <c r="A12" s="19" t="s">
        <v>6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>
      <c r="A13" s="15" t="s">
        <v>7</v>
      </c>
      <c r="B13" s="16">
        <v>4.9557483262206315E-3</v>
      </c>
      <c r="C13" s="16">
        <v>0.31327968673246864</v>
      </c>
      <c r="D13" s="17">
        <v>-5.139356206027919E-3</v>
      </c>
      <c r="E13" s="17">
        <v>0.28952511975679918</v>
      </c>
      <c r="F13" s="16">
        <v>1.4271045756012665E-3</v>
      </c>
      <c r="G13" s="16">
        <v>0.2891561022320101</v>
      </c>
      <c r="H13" s="17">
        <v>3.9565137458813984E-3</v>
      </c>
      <c r="I13" s="17">
        <v>0.29426003061445849</v>
      </c>
      <c r="J13" s="16">
        <v>4.064690493612068E-3</v>
      </c>
      <c r="K13" s="16">
        <v>0.30146029425420034</v>
      </c>
      <c r="L13" s="17">
        <v>1.1881420484611909E-3</v>
      </c>
      <c r="M13" s="17">
        <v>0.30374421192725715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>
      <c r="A14" s="15" t="s">
        <v>8</v>
      </c>
      <c r="B14" s="16">
        <v>-3.2040744573205878E-5</v>
      </c>
      <c r="C14" s="16">
        <v>4.460954835345983E-3</v>
      </c>
      <c r="D14" s="17">
        <v>-6.405375077655901E-5</v>
      </c>
      <c r="E14" s="17">
        <v>3.9084451034196955E-3</v>
      </c>
      <c r="F14" s="16">
        <v>2.4078988222096011E-5</v>
      </c>
      <c r="G14" s="16">
        <v>2.7315539335311988E-3</v>
      </c>
      <c r="H14" s="17">
        <v>1.1003974281516435E-5</v>
      </c>
      <c r="I14" s="17">
        <v>2.7766493913916925E-3</v>
      </c>
      <c r="J14" s="16">
        <v>1.3900025082507045E-4</v>
      </c>
      <c r="K14" s="16">
        <v>2.7370925150891666E-3</v>
      </c>
      <c r="L14" s="17">
        <v>7.379258010489329E-6</v>
      </c>
      <c r="M14" s="17">
        <v>2.6070919410248342E-3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>
      <c r="A15" s="19" t="s">
        <v>9</v>
      </c>
      <c r="B15" s="16">
        <v>2.9866898940324785E-3</v>
      </c>
      <c r="C15" s="16">
        <v>0.13832097423830747</v>
      </c>
      <c r="D15" s="17">
        <v>-7.0008268333582721E-3</v>
      </c>
      <c r="E15" s="17">
        <v>0.19400376623174012</v>
      </c>
      <c r="F15" s="16">
        <v>-1.7547847409568823E-3</v>
      </c>
      <c r="G15" s="16">
        <v>0.19061313444247671</v>
      </c>
      <c r="H15" s="17">
        <v>5.7363267696198331E-3</v>
      </c>
      <c r="I15" s="17">
        <v>0.18633792933220872</v>
      </c>
      <c r="J15" s="16">
        <v>8.212127318295363E-5</v>
      </c>
      <c r="K15" s="16">
        <v>0.18291674005091224</v>
      </c>
      <c r="L15" s="17">
        <v>3.4048154017271032E-3</v>
      </c>
      <c r="M15" s="17">
        <v>0.1810496112278602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>
      <c r="A16" s="19" t="s">
        <v>10</v>
      </c>
      <c r="B16" s="16">
        <v>2.994995833156234E-3</v>
      </c>
      <c r="C16" s="16">
        <v>0.10489655661343708</v>
      </c>
      <c r="D16" s="17">
        <v>3.9183241751695577E-6</v>
      </c>
      <c r="E16" s="17">
        <v>9.4040531285160378E-2</v>
      </c>
      <c r="F16" s="16">
        <v>-9.2152330320828979E-4</v>
      </c>
      <c r="G16" s="16">
        <v>9.9395704360207962E-2</v>
      </c>
      <c r="H16" s="17">
        <v>3.2682017742784275E-3</v>
      </c>
      <c r="I16" s="17">
        <v>9.7905225382373742E-2</v>
      </c>
      <c r="J16" s="16">
        <v>-1.2504882302956799E-5</v>
      </c>
      <c r="K16" s="16">
        <v>9.8017379468890276E-2</v>
      </c>
      <c r="L16" s="17">
        <v>3.9939011201351651E-3</v>
      </c>
      <c r="M16" s="17">
        <v>0.11207329018122726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>
      <c r="A17" s="19" t="s">
        <v>11</v>
      </c>
      <c r="B17" s="16">
        <v>9.1048403252816704E-4</v>
      </c>
      <c r="C17" s="16">
        <v>5.2608030715170943E-2</v>
      </c>
      <c r="D17" s="17">
        <v>3.4867788662631401E-3</v>
      </c>
      <c r="E17" s="17">
        <v>6.6498478015276238E-2</v>
      </c>
      <c r="F17" s="16">
        <v>-1.138690185003581E-3</v>
      </c>
      <c r="G17" s="16">
        <v>5.6332108241695239E-2</v>
      </c>
      <c r="H17" s="17">
        <v>1.5254930789482318E-3</v>
      </c>
      <c r="I17" s="17">
        <v>6.2080019370079516E-2</v>
      </c>
      <c r="J17" s="16">
        <v>1.2886375727287076E-3</v>
      </c>
      <c r="K17" s="16">
        <v>6.2704625700076996E-2</v>
      </c>
      <c r="L17" s="17">
        <v>1.9751221022941111E-4</v>
      </c>
      <c r="M17" s="17">
        <v>5.9720231815954122E-2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>
      <c r="A18" s="19" t="s">
        <v>12</v>
      </c>
      <c r="B18" s="16">
        <v>-1.1701124061775003E-3</v>
      </c>
      <c r="C18" s="16">
        <v>7.9690291800934857E-2</v>
      </c>
      <c r="D18" s="17">
        <v>3.0875654261519219E-3</v>
      </c>
      <c r="E18" s="17">
        <v>7.1589755037314406E-2</v>
      </c>
      <c r="F18" s="16">
        <v>-1.8957439011491172E-3</v>
      </c>
      <c r="G18" s="16">
        <v>7.5446520787438687E-2</v>
      </c>
      <c r="H18" s="17">
        <v>1.2318002285539933E-3</v>
      </c>
      <c r="I18" s="17">
        <v>7.5844621985554458E-2</v>
      </c>
      <c r="J18" s="16">
        <v>2.1436554663616801E-3</v>
      </c>
      <c r="K18" s="16">
        <v>7.7801954342738663E-2</v>
      </c>
      <c r="L18" s="17">
        <v>-3.0641419273196767E-4</v>
      </c>
      <c r="M18" s="17">
        <v>7.7193445074942788E-2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>
      <c r="A19" s="19" t="s">
        <v>13</v>
      </c>
      <c r="B19" s="16">
        <v>-4.8677231702394892E-6</v>
      </c>
      <c r="C19" s="16">
        <v>9.540392419252643E-5</v>
      </c>
      <c r="D19" s="17">
        <v>-1.1983380273904321E-5</v>
      </c>
      <c r="E19" s="17">
        <v>1.3080088946856457E-4</v>
      </c>
      <c r="F19" s="16">
        <v>-4.8395840173266669E-6</v>
      </c>
      <c r="G19" s="16">
        <v>1.2144310764849176E-4</v>
      </c>
      <c r="H19" s="17">
        <v>7.8536108308617359E-6</v>
      </c>
      <c r="I19" s="17">
        <v>1.1621238548759235E-4</v>
      </c>
      <c r="J19" s="16">
        <v>-1.1936186783381453E-5</v>
      </c>
      <c r="K19" s="16">
        <v>1.2110106796199838E-4</v>
      </c>
      <c r="L19" s="17">
        <v>6.9038942632510726E-6</v>
      </c>
      <c r="M19" s="17">
        <v>1.0744450958751568E-4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76" customFormat="1">
      <c r="A20" s="19" t="s">
        <v>14</v>
      </c>
      <c r="B20" s="16">
        <v>5.1837753115990199E-3</v>
      </c>
      <c r="C20" s="16">
        <v>-9.2531810121856094E-3</v>
      </c>
      <c r="D20" s="17">
        <v>-1.0936205802300966E-2</v>
      </c>
      <c r="E20" s="17">
        <v>-2.3060392580850895E-3</v>
      </c>
      <c r="F20" s="16">
        <v>3.2752751493225979E-3</v>
      </c>
      <c r="G20" s="16">
        <v>-1.2202222523021999E-2</v>
      </c>
      <c r="H20" s="17">
        <v>-3.2978457994626491E-4</v>
      </c>
      <c r="I20" s="17">
        <v>-7.4549442429150993E-3</v>
      </c>
      <c r="J20" s="16">
        <v>-3.1923273888950347E-3</v>
      </c>
      <c r="K20" s="16">
        <v>-1.892882230151522E-3</v>
      </c>
      <c r="L20" s="17">
        <v>4.0196179223977915E-3</v>
      </c>
      <c r="M20" s="17">
        <v>-6.0115275830553818E-3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147"/>
    </row>
    <row r="21" spans="1:28">
      <c r="A21" s="19" t="s">
        <v>15</v>
      </c>
      <c r="B21" s="16">
        <v>1.1357815446143842E-4</v>
      </c>
      <c r="C21" s="16">
        <v>3.8291757420719664E-4</v>
      </c>
      <c r="D21" s="17">
        <v>3.5304029690128448E-4</v>
      </c>
      <c r="E21" s="17">
        <v>5.3581608885705479E-4</v>
      </c>
      <c r="F21" s="16">
        <v>-3.7463697078457265E-4</v>
      </c>
      <c r="G21" s="16">
        <v>5.7031897022031197E-4</v>
      </c>
      <c r="H21" s="17">
        <v>-2.7129233966048134E-4</v>
      </c>
      <c r="I21" s="17">
        <v>2.9295774049928715E-4</v>
      </c>
      <c r="J21" s="16">
        <v>-6.0241181252285343E-4</v>
      </c>
      <c r="K21" s="16">
        <v>4.2192429760086854E-4</v>
      </c>
      <c r="L21" s="17">
        <v>-4.6201891410466069E-4</v>
      </c>
      <c r="M21" s="17">
        <v>3.9521370077901836E-4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>
      <c r="A22" s="19" t="s">
        <v>16</v>
      </c>
      <c r="B22" s="16">
        <v>8.9537353058400187E-6</v>
      </c>
      <c r="C22" s="16">
        <v>2.5245214165349611E-3</v>
      </c>
      <c r="D22" s="17">
        <v>1.0277572916749543E-4</v>
      </c>
      <c r="E22" s="17">
        <v>2.2902934970730421E-3</v>
      </c>
      <c r="F22" s="16">
        <v>-1.5399050341166538E-5</v>
      </c>
      <c r="G22" s="16">
        <v>2.4765282399657157E-3</v>
      </c>
      <c r="H22" s="17">
        <v>1.0002874497801855E-4</v>
      </c>
      <c r="I22" s="17">
        <v>1.915471643183122E-3</v>
      </c>
      <c r="J22" s="16">
        <v>-5.3046477753566878E-5</v>
      </c>
      <c r="K22" s="16">
        <v>1.8498305858600549E-3</v>
      </c>
      <c r="L22" s="17">
        <v>2.0291452138681559E-5</v>
      </c>
      <c r="M22" s="17">
        <v>1.8658343414316881E-3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>
      <c r="A23" s="19" t="s">
        <v>17</v>
      </c>
      <c r="B23" s="16">
        <v>-2.1520205821582793E-5</v>
      </c>
      <c r="C23" s="16">
        <v>5.9584383921599633E-3</v>
      </c>
      <c r="D23" s="17">
        <v>-9.580347196849676E-5</v>
      </c>
      <c r="E23" s="17">
        <v>5.1515366094322893E-3</v>
      </c>
      <c r="F23" s="16">
        <v>-5.6051373700693379E-5</v>
      </c>
      <c r="G23" s="16">
        <v>5.0923409777423826E-3</v>
      </c>
      <c r="H23" s="17">
        <v>1.2239592671016444E-4</v>
      </c>
      <c r="I23" s="17">
        <v>5.0957111239726917E-3</v>
      </c>
      <c r="J23" s="16">
        <v>1.1833805826718351E-4</v>
      </c>
      <c r="K23" s="16">
        <v>5.214859818366625E-3</v>
      </c>
      <c r="L23" s="17">
        <v>3.3656127529044844E-5</v>
      </c>
      <c r="M23" s="17">
        <v>5.1359834547439389E-3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>
      <c r="A24" s="19" t="s">
        <v>18</v>
      </c>
      <c r="B24" s="16">
        <v>1.4865859175147171E-5</v>
      </c>
      <c r="C24" s="16">
        <v>1.4357332421990282E-3</v>
      </c>
      <c r="D24" s="17">
        <v>4.4932531127447376E-6</v>
      </c>
      <c r="E24" s="17">
        <v>1.3002258026124066E-3</v>
      </c>
      <c r="F24" s="16">
        <v>-5.9845777024968628E-6</v>
      </c>
      <c r="G24" s="16">
        <v>1.3142326667951703E-3</v>
      </c>
      <c r="H24" s="17">
        <v>3.5072669716878389E-5</v>
      </c>
      <c r="I24" s="17">
        <v>1.3235933030161149E-3</v>
      </c>
      <c r="J24" s="16">
        <v>3.2408921279907551E-5</v>
      </c>
      <c r="K24" s="16">
        <v>1.357830594137958E-3</v>
      </c>
      <c r="L24" s="17">
        <v>1.9753835775831401E-5</v>
      </c>
      <c r="M24" s="17">
        <v>2.4503951028548368E-3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>
      <c r="A25" s="15" t="s">
        <v>19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>
      <c r="A26" s="15" t="s">
        <v>20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>
      <c r="A27" s="19" t="s">
        <v>21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>
      <c r="A28" s="20" t="s">
        <v>22</v>
      </c>
      <c r="B28" s="21">
        <v>1.7894845E-2</v>
      </c>
      <c r="C28" s="22">
        <v>0.99999999999999989</v>
      </c>
      <c r="D28" s="23">
        <v>-1.8679999999999999E-2</v>
      </c>
      <c r="E28" s="24">
        <v>0.99999999999999967</v>
      </c>
      <c r="F28" s="21">
        <v>1.5100000000000001E-3</v>
      </c>
      <c r="G28" s="22">
        <v>1</v>
      </c>
      <c r="H28" s="23">
        <v>1.5599999999999999E-2</v>
      </c>
      <c r="I28" s="24">
        <v>1.0000000000000007</v>
      </c>
      <c r="J28" s="21">
        <v>6.7099999999999998E-3</v>
      </c>
      <c r="K28" s="22">
        <v>0.99999999999999978</v>
      </c>
      <c r="L28" s="23">
        <v>1.2579999999999999E-2</v>
      </c>
      <c r="M28" s="24">
        <v>1.0000000000000007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>
      <c r="A29" s="20" t="s">
        <v>23</v>
      </c>
      <c r="B29" s="25">
        <v>4873.0389999999998</v>
      </c>
      <c r="C29" s="26"/>
      <c r="D29" s="27">
        <v>-5178.3879999999999</v>
      </c>
      <c r="E29" s="26"/>
      <c r="F29" s="25">
        <v>410.315</v>
      </c>
      <c r="G29" s="26"/>
      <c r="H29" s="27">
        <v>4247.5739999999996</v>
      </c>
      <c r="I29" s="26"/>
      <c r="J29" s="25">
        <v>1855.384</v>
      </c>
      <c r="K29" s="26"/>
      <c r="L29" s="27">
        <v>3503.8919999999998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>
      <c r="A31" s="15" t="s">
        <v>24</v>
      </c>
      <c r="B31" s="30">
        <v>5.2782411694024377E-3</v>
      </c>
      <c r="C31" s="16">
        <v>0.65897529153297163</v>
      </c>
      <c r="D31" s="32">
        <v>-2.6639489760505324E-2</v>
      </c>
      <c r="E31" s="32">
        <v>0.66027292628791856</v>
      </c>
      <c r="F31" s="30">
        <v>6.4740777858153988E-3</v>
      </c>
      <c r="G31" s="16">
        <v>0.64164252810612954</v>
      </c>
      <c r="H31" s="32">
        <v>4.0481404411852485E-3</v>
      </c>
      <c r="I31" s="32">
        <v>0.64256132694698154</v>
      </c>
      <c r="J31" s="30">
        <v>3.3842006731402683E-3</v>
      </c>
      <c r="K31" s="16">
        <v>0.64374987295379671</v>
      </c>
      <c r="L31" s="32">
        <v>6.7191955040238971E-3</v>
      </c>
      <c r="M31" s="32">
        <v>0.64041532524622313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>
      <c r="A32" s="19" t="s">
        <v>25</v>
      </c>
      <c r="B32" s="30">
        <v>1.2616603830597565E-2</v>
      </c>
      <c r="C32" s="16">
        <v>0.3410247084670282</v>
      </c>
      <c r="D32" s="31">
        <v>7.9594897605053307E-3</v>
      </c>
      <c r="E32" s="17">
        <v>0.33972707371208144</v>
      </c>
      <c r="F32" s="30">
        <v>-4.9640777858153944E-3</v>
      </c>
      <c r="G32" s="16">
        <v>0.35835747189387046</v>
      </c>
      <c r="H32" s="31">
        <v>1.1551859558814747E-2</v>
      </c>
      <c r="I32" s="17">
        <v>0.35743867305301863</v>
      </c>
      <c r="J32" s="30">
        <v>3.3257993268597402E-3</v>
      </c>
      <c r="K32" s="16">
        <v>0.35625012704620351</v>
      </c>
      <c r="L32" s="31">
        <v>5.8608044959761194E-3</v>
      </c>
      <c r="M32" s="17">
        <v>0.35958467475377681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>
      <c r="A33" s="20" t="s">
        <v>22</v>
      </c>
      <c r="B33" s="21">
        <v>1.7894845000000003E-2</v>
      </c>
      <c r="C33" s="22">
        <v>0.99999999999999978</v>
      </c>
      <c r="D33" s="23">
        <v>-1.8679999999999995E-2</v>
      </c>
      <c r="E33" s="24">
        <v>1</v>
      </c>
      <c r="F33" s="21">
        <v>1.5100000000000044E-3</v>
      </c>
      <c r="G33" s="22">
        <v>1</v>
      </c>
      <c r="H33" s="23">
        <v>1.5599999999999996E-2</v>
      </c>
      <c r="I33" s="24">
        <v>1.0000000000000002</v>
      </c>
      <c r="J33" s="21">
        <v>6.7100000000000085E-3</v>
      </c>
      <c r="K33" s="22">
        <v>1.0000000000000002</v>
      </c>
      <c r="L33" s="23">
        <v>1.2580000000000017E-2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>
      <c r="A35" s="15" t="s">
        <v>26</v>
      </c>
      <c r="B35" s="30">
        <v>1.6935716297502158E-2</v>
      </c>
      <c r="C35" s="16">
        <v>0.91601243237961583</v>
      </c>
      <c r="D35" s="17">
        <v>-1.191448706081847E-2</v>
      </c>
      <c r="E35" s="32">
        <v>0.92173540906813378</v>
      </c>
      <c r="F35" s="30">
        <v>1.3919381963280748E-3</v>
      </c>
      <c r="G35" s="16">
        <v>0.92787624133926738</v>
      </c>
      <c r="H35" s="17">
        <v>1.6291551520826827E-2</v>
      </c>
      <c r="I35" s="32">
        <v>0.92404343490344654</v>
      </c>
      <c r="J35" s="30">
        <v>7.9106297980396784E-3</v>
      </c>
      <c r="K35" s="16">
        <v>0.91779654814778755</v>
      </c>
      <c r="L35" s="17">
        <v>1.1977635597776634E-2</v>
      </c>
      <c r="M35" s="32">
        <v>0.91884784936480146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>
      <c r="A36" s="19" t="s">
        <v>27</v>
      </c>
      <c r="B36" s="30">
        <v>9.5912870249784306E-4</v>
      </c>
      <c r="C36" s="16">
        <v>8.3987567620384021E-2</v>
      </c>
      <c r="D36" s="31">
        <v>-6.7655129391815212E-3</v>
      </c>
      <c r="E36" s="17">
        <v>7.8264590931866204E-2</v>
      </c>
      <c r="F36" s="30">
        <v>1.1806180367192955E-4</v>
      </c>
      <c r="G36" s="16">
        <v>7.2123758660732715E-2</v>
      </c>
      <c r="H36" s="31">
        <v>-6.9155152082683337E-4</v>
      </c>
      <c r="I36" s="17">
        <v>7.5956565096553449E-2</v>
      </c>
      <c r="J36" s="30">
        <v>-1.2006297980396699E-3</v>
      </c>
      <c r="K36" s="16">
        <v>8.2203451852212589E-2</v>
      </c>
      <c r="L36" s="31">
        <v>6.023644022233798E-4</v>
      </c>
      <c r="M36" s="17">
        <v>8.1152150635198594E-2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>
      <c r="A37" s="20" t="s">
        <v>22</v>
      </c>
      <c r="B37" s="21">
        <v>1.7894845000000003E-2</v>
      </c>
      <c r="C37" s="22">
        <v>0.99999999999999989</v>
      </c>
      <c r="D37" s="23">
        <v>-1.8679999999999992E-2</v>
      </c>
      <c r="E37" s="24">
        <v>1</v>
      </c>
      <c r="F37" s="21">
        <v>1.5100000000000044E-3</v>
      </c>
      <c r="G37" s="22">
        <v>1</v>
      </c>
      <c r="H37" s="23">
        <v>1.5599999999999994E-2</v>
      </c>
      <c r="I37" s="24">
        <v>1</v>
      </c>
      <c r="J37" s="21">
        <v>6.7100000000000085E-3</v>
      </c>
      <c r="K37" s="22">
        <v>1.0000000000000002</v>
      </c>
      <c r="L37" s="23">
        <v>1.2580000000000015E-2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>
      <c r="A39" s="145"/>
      <c r="B39" s="37"/>
      <c r="C39" s="37"/>
      <c r="D39" s="216"/>
      <c r="E39" s="217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6" t="s">
        <v>28</v>
      </c>
      <c r="B40" s="218" t="s">
        <v>182</v>
      </c>
      <c r="C40" s="219"/>
      <c r="D40" s="214" t="s">
        <v>183</v>
      </c>
      <c r="E40" s="220"/>
      <c r="F40" s="218" t="s">
        <v>184</v>
      </c>
      <c r="G40" s="219"/>
      <c r="H40" s="214" t="s">
        <v>184</v>
      </c>
      <c r="I40" s="215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1"/>
      <c r="B41" s="148" t="s">
        <v>1</v>
      </c>
      <c r="C41" s="150" t="s">
        <v>2</v>
      </c>
      <c r="D41" s="151" t="s">
        <v>1</v>
      </c>
      <c r="E41" s="14" t="s">
        <v>2</v>
      </c>
      <c r="F41" s="148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5" t="s">
        <v>3</v>
      </c>
      <c r="B42" s="47">
        <v>1.3451471516503504E-3</v>
      </c>
      <c r="C42" s="48">
        <v>8.7094628914538244E-2</v>
      </c>
      <c r="D42" s="49">
        <v>2.1617577100996252E-3</v>
      </c>
      <c r="E42" s="49">
        <v>7.0127202534061697E-2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9" t="s">
        <v>4</v>
      </c>
      <c r="B43" s="47">
        <v>1.0363753273682115E-3</v>
      </c>
      <c r="C43" s="48">
        <v>0.20219976342927801</v>
      </c>
      <c r="D43" s="49">
        <v>3.6835554442767784E-3</v>
      </c>
      <c r="E43" s="49">
        <v>0.20893075127291291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9" t="s">
        <v>5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9" t="s">
        <v>6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9" t="s">
        <v>7</v>
      </c>
      <c r="B46" s="47">
        <v>1.157508005115906E-3</v>
      </c>
      <c r="C46" s="48">
        <v>0.2973203029070926</v>
      </c>
      <c r="D46" s="49">
        <v>1.0524696775173018E-2</v>
      </c>
      <c r="E46" s="49">
        <v>0.29857090758619897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9" t="s">
        <v>8</v>
      </c>
      <c r="B47" s="47">
        <v>-7.276525223211349E-5</v>
      </c>
      <c r="C47" s="48">
        <v>3.7003179574322926E-3</v>
      </c>
      <c r="D47" s="49">
        <v>8.6010796892997904E-5</v>
      </c>
      <c r="E47" s="49">
        <v>3.2036312866337616E-3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9" t="s">
        <v>9</v>
      </c>
      <c r="B48" s="47">
        <v>-5.8180566204470872E-3</v>
      </c>
      <c r="C48" s="48">
        <v>0.17431262497084143</v>
      </c>
      <c r="D48" s="49">
        <v>3.4437353297140211E-3</v>
      </c>
      <c r="E48" s="49">
        <v>0.17887369258725092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9" t="s">
        <v>10</v>
      </c>
      <c r="B49" s="47">
        <v>2.0544969976984445E-3</v>
      </c>
      <c r="C49" s="48">
        <v>9.9444264086268483E-2</v>
      </c>
      <c r="D49" s="49">
        <v>9.3728257505524635E-3</v>
      </c>
      <c r="E49" s="49">
        <v>0.10105478121521612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9" t="s">
        <v>11</v>
      </c>
      <c r="B50" s="47">
        <v>3.2448918539305367E-3</v>
      </c>
      <c r="C50" s="48">
        <v>5.847953899071414E-2</v>
      </c>
      <c r="D50" s="49">
        <v>6.2929229695174753E-3</v>
      </c>
      <c r="E50" s="49">
        <v>5.9990582309708849E-2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9" t="s">
        <v>12</v>
      </c>
      <c r="B51" s="47">
        <v>-8.3933057494584856E-7</v>
      </c>
      <c r="C51" s="48">
        <v>7.5575522541895979E-2</v>
      </c>
      <c r="D51" s="49">
        <v>3.1006749103585861E-3</v>
      </c>
      <c r="E51" s="49">
        <v>7.626109817148731E-2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9" t="s">
        <v>13</v>
      </c>
      <c r="B52" s="47">
        <v>-2.1714019112238816E-5</v>
      </c>
      <c r="C52" s="48">
        <v>1.1588264043652758E-4</v>
      </c>
      <c r="D52" s="49">
        <v>-1.8845934008994827E-5</v>
      </c>
      <c r="E52" s="49">
        <v>1.154009807244482E-4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9" t="s">
        <v>14</v>
      </c>
      <c r="B53" s="47">
        <v>-2.5512683860904996E-3</v>
      </c>
      <c r="C53" s="48">
        <v>-7.9204809310975659E-3</v>
      </c>
      <c r="D53" s="49">
        <v>-2.0710303736543234E-3</v>
      </c>
      <c r="E53" s="49">
        <v>-6.5201328082357844E-3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9" t="s">
        <v>15</v>
      </c>
      <c r="B54" s="47">
        <v>9.1746216944266139E-5</v>
      </c>
      <c r="C54" s="48">
        <v>4.9635087776152113E-4</v>
      </c>
      <c r="D54" s="49">
        <v>-1.2433437903102372E-3</v>
      </c>
      <c r="E54" s="49">
        <v>4.3319139536062296E-4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9" t="s">
        <v>16</v>
      </c>
      <c r="B55" s="47">
        <v>9.5837336994341731E-5</v>
      </c>
      <c r="C55" s="48">
        <v>2.430447717857906E-3</v>
      </c>
      <c r="D55" s="49">
        <v>1.6404364095692003E-4</v>
      </c>
      <c r="E55" s="49">
        <v>2.153746620674764E-3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9" t="s">
        <v>17</v>
      </c>
      <c r="B56" s="47">
        <v>-1.7446031708272469E-4</v>
      </c>
      <c r="C56" s="48">
        <v>5.4007719931115456E-3</v>
      </c>
      <c r="D56" s="49">
        <v>1.0207187431646191E-4</v>
      </c>
      <c r="E56" s="49">
        <v>5.2748117294029824E-3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9" t="s">
        <v>18</v>
      </c>
      <c r="B57" s="47">
        <v>1.3101035837553076E-5</v>
      </c>
      <c r="C57" s="48">
        <v>1.3500639038688683E-3</v>
      </c>
      <c r="D57" s="49">
        <v>1.0092489611520279E-4</v>
      </c>
      <c r="E57" s="49">
        <v>1.5303351186025859E-3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9" t="s">
        <v>19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9" t="s">
        <v>20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9" t="s">
        <v>21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20" t="s">
        <v>29</v>
      </c>
      <c r="B61" s="50">
        <v>4.0000000000000002E-4</v>
      </c>
      <c r="C61" s="51">
        <v>1</v>
      </c>
      <c r="D61" s="161">
        <v>3.5700000000000003E-2</v>
      </c>
      <c r="E61" s="53">
        <v>1.0000000000000004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20" t="s">
        <v>23</v>
      </c>
      <c r="B62" s="54">
        <v>104.96599999999984</v>
      </c>
      <c r="C62" s="55"/>
      <c r="D62" s="56">
        <v>9711.8159999999989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5" t="s">
        <v>24</v>
      </c>
      <c r="B64" s="57">
        <v>-1.5166985159676072E-2</v>
      </c>
      <c r="C64" s="48">
        <v>0.65363024864233987</v>
      </c>
      <c r="D64" s="58">
        <v>-1.1673201725109772E-3</v>
      </c>
      <c r="E64" s="49">
        <v>0.64793621184567018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9" t="s">
        <v>25</v>
      </c>
      <c r="B65" s="47">
        <v>1.5566985159676071E-2</v>
      </c>
      <c r="C65" s="48">
        <v>0.34636975135766002</v>
      </c>
      <c r="D65" s="58">
        <v>3.686732017251098E-2</v>
      </c>
      <c r="E65" s="49">
        <v>0.35206378815432982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0" t="s">
        <v>29</v>
      </c>
      <c r="B66" s="50">
        <v>4.0000000000000002E-4</v>
      </c>
      <c r="C66" s="51">
        <v>0.99999999999999989</v>
      </c>
      <c r="D66" s="52">
        <v>3.5700000000000003E-2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5" t="s">
        <v>26</v>
      </c>
      <c r="B68" s="57">
        <v>6.2180954352786255E-3</v>
      </c>
      <c r="C68" s="48">
        <v>0.92187469426233903</v>
      </c>
      <c r="D68" s="58">
        <v>4.3045800379171606E-2</v>
      </c>
      <c r="E68" s="49">
        <v>0.9210519858671754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9" t="s">
        <v>27</v>
      </c>
      <c r="B69" s="57">
        <v>-5.8180954352786253E-3</v>
      </c>
      <c r="C69" s="48">
        <v>7.812530573766098E-2</v>
      </c>
      <c r="D69" s="58">
        <v>-7.3458003791716034E-3</v>
      </c>
      <c r="E69" s="49">
        <v>7.8948014132824609E-2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20" t="s">
        <v>29</v>
      </c>
      <c r="B70" s="50">
        <v>4.0000000000000002E-4</v>
      </c>
      <c r="C70" s="51">
        <v>1</v>
      </c>
      <c r="D70" s="52">
        <v>3.5700000000000003E-2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76"/>
    </row>
    <row r="74" spans="1:25">
      <c r="F74" s="76"/>
    </row>
    <row r="75" spans="1:25">
      <c r="F75" s="76"/>
    </row>
    <row r="76" spans="1:25">
      <c r="F76" s="7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A1:BA214"/>
  <sheetViews>
    <sheetView showGridLines="0" rightToLeft="1" topLeftCell="B11" zoomScale="90" zoomScaleNormal="90" workbookViewId="0">
      <selection activeCell="R53" sqref="R53"/>
    </sheetView>
  </sheetViews>
  <sheetFormatPr defaultRowHeight="15" outlineLevelRow="2" outlineLevelCol="1"/>
  <cols>
    <col min="1" max="1" width="23.140625" hidden="1" customWidth="1" outlineLevel="1"/>
    <col min="2" max="2" width="31.28515625" customWidth="1" collapsed="1"/>
    <col min="3" max="3" width="17.42578125" hidden="1" customWidth="1" outlineLevel="1"/>
    <col min="4" max="4" width="15.85546875" hidden="1" customWidth="1" outlineLevel="1"/>
    <col min="5" max="5" width="19.85546875" customWidth="1" collapsed="1"/>
    <col min="6" max="6" width="19.5703125" customWidth="1"/>
    <col min="7" max="7" width="18.42578125" style="76" hidden="1" customWidth="1" outlineLevel="1"/>
    <col min="8" max="8" width="15.85546875" style="76" hidden="1" customWidth="1" outlineLevel="1"/>
    <col min="9" max="9" width="24.42578125" bestFit="1" customWidth="1" collapsed="1"/>
    <col min="10" max="10" width="20" bestFit="1" customWidth="1"/>
    <col min="11" max="11" width="18.42578125" style="76" hidden="1" customWidth="1" outlineLevel="1"/>
    <col min="12" max="12" width="16.42578125" style="76" hidden="1" customWidth="1" outlineLevel="1"/>
    <col min="13" max="13" width="20" bestFit="1" customWidth="1" collapsed="1"/>
    <col min="14" max="14" width="14.140625" customWidth="1"/>
    <col min="15" max="15" width="18.42578125" style="76" hidden="1" customWidth="1" outlineLevel="1"/>
    <col min="16" max="16" width="16.42578125" style="76" hidden="1" customWidth="1" outlineLevel="1"/>
    <col min="17" max="17" width="19.28515625" bestFit="1" customWidth="1" collapsed="1"/>
    <col min="18" max="18" width="15.42578125" customWidth="1"/>
    <col min="19" max="19" width="16" style="76" hidden="1" customWidth="1" outlineLevel="1"/>
    <col min="20" max="20" width="12.42578125" style="76" hidden="1" customWidth="1" outlineLevel="1"/>
    <col min="21" max="21" width="15" bestFit="1" customWidth="1" collapsed="1"/>
    <col min="22" max="22" width="15" bestFit="1" customWidth="1"/>
    <col min="23" max="23" width="16" style="76" hidden="1" customWidth="1" outlineLevel="1"/>
    <col min="24" max="24" width="12.42578125" style="76" hidden="1" customWidth="1" outlineLevel="1"/>
    <col min="25" max="25" width="15" bestFit="1" customWidth="1" collapsed="1"/>
    <col min="26" max="26" width="20.85546875" bestFit="1" customWidth="1"/>
    <col min="27" max="27" width="16" style="76" hidden="1" customWidth="1" outlineLevel="1"/>
    <col min="28" max="28" width="11.28515625" style="76" hidden="1" customWidth="1" outlineLevel="1"/>
    <col min="29" max="29" width="15" customWidth="1" collapsed="1"/>
    <col min="30" max="30" width="14.85546875" bestFit="1" customWidth="1"/>
    <col min="31" max="31" width="16" style="76" hidden="1" customWidth="1" outlineLevel="1"/>
    <col min="32" max="32" width="12.42578125" style="76" hidden="1" customWidth="1" outlineLevel="1"/>
    <col min="33" max="33" width="10.5703125" bestFit="1" customWidth="1" collapsed="1"/>
    <col min="34" max="34" width="14.85546875" bestFit="1" customWidth="1"/>
    <col min="35" max="35" width="16" style="76" hidden="1" customWidth="1" outlineLevel="1"/>
    <col min="36" max="36" width="12.42578125" style="76" hidden="1" customWidth="1" outlineLevel="1"/>
    <col min="37" max="37" width="12" bestFit="1" customWidth="1" collapsed="1"/>
    <col min="38" max="38" width="14.85546875" bestFit="1" customWidth="1"/>
    <col min="39" max="39" width="16" style="76" hidden="1" customWidth="1" outlineLevel="1"/>
    <col min="40" max="40" width="12.42578125" style="76" hidden="1" customWidth="1" outlineLevel="1"/>
    <col min="41" max="41" width="11.85546875" bestFit="1" customWidth="1" collapsed="1"/>
    <col min="42" max="42" width="14.85546875" bestFit="1" customWidth="1"/>
    <col min="43" max="43" width="16" style="76" hidden="1" customWidth="1" outlineLevel="1"/>
    <col min="44" max="44" width="12.42578125" style="76" hidden="1" customWidth="1" outlineLevel="1"/>
    <col min="45" max="45" width="11" bestFit="1" customWidth="1" collapsed="1"/>
    <col min="46" max="46" width="14.85546875" bestFit="1" customWidth="1"/>
    <col min="47" max="47" width="16" style="76" hidden="1" customWidth="1" outlineLevel="1"/>
    <col min="48" max="48" width="12.42578125" style="76" hidden="1" customWidth="1" outlineLevel="1"/>
    <col min="49" max="49" width="10.5703125" bestFit="1" customWidth="1" collapsed="1"/>
    <col min="50" max="50" width="14.85546875" bestFit="1" customWidth="1"/>
  </cols>
  <sheetData>
    <row r="1" spans="1:50" hidden="1" outlineLevel="1">
      <c r="A1">
        <v>1000</v>
      </c>
      <c r="B1" s="62" t="s">
        <v>30</v>
      </c>
      <c r="C1" t="s">
        <v>97</v>
      </c>
      <c r="D1" s="62" t="s">
        <v>133</v>
      </c>
      <c r="E1" s="62" t="s">
        <v>32</v>
      </c>
      <c r="F1" s="66" t="s">
        <v>34</v>
      </c>
      <c r="G1" s="76" t="str">
        <f ca="1">"106 -"&amp;" "&amp;I2</f>
        <v>106 - 2023</v>
      </c>
      <c r="H1" s="113"/>
      <c r="I1" s="62" t="s">
        <v>32</v>
      </c>
      <c r="K1" s="71"/>
      <c r="L1" s="71"/>
      <c r="O1" s="71"/>
      <c r="P1" s="71"/>
      <c r="R1" s="62"/>
      <c r="S1" s="71"/>
      <c r="T1" s="71"/>
      <c r="V1" s="62"/>
      <c r="W1" s="71"/>
      <c r="X1" s="71"/>
      <c r="AA1" s="71"/>
      <c r="AB1" s="71"/>
      <c r="AE1" s="71"/>
      <c r="AF1" s="71"/>
      <c r="AG1" s="62"/>
      <c r="AI1" s="71"/>
      <c r="AJ1" s="71"/>
      <c r="AM1" s="71"/>
      <c r="AN1" s="71"/>
      <c r="AQ1" s="71"/>
      <c r="AR1" s="71"/>
      <c r="AU1" s="71"/>
      <c r="AV1" s="71"/>
    </row>
    <row r="2" spans="1:50" hidden="1" outlineLevel="1">
      <c r="B2" s="62" t="s">
        <v>31</v>
      </c>
      <c r="D2" s="62" t="s">
        <v>134</v>
      </c>
      <c r="E2" s="68" t="s">
        <v>37</v>
      </c>
      <c r="F2" s="66" t="s">
        <v>43</v>
      </c>
      <c r="G2" s="71" t="s">
        <v>137</v>
      </c>
      <c r="H2" s="71"/>
      <c r="I2" s="62">
        <f ca="1">#REF!</f>
        <v>2023</v>
      </c>
      <c r="K2" s="129"/>
      <c r="L2" s="71"/>
      <c r="M2" s="89" t="s">
        <v>61</v>
      </c>
      <c r="O2" s="71"/>
      <c r="P2" s="71"/>
      <c r="Q2" s="62"/>
      <c r="R2" s="62"/>
      <c r="S2" s="71"/>
      <c r="T2" s="71"/>
      <c r="U2" s="62"/>
      <c r="V2" s="62"/>
      <c r="W2" s="71"/>
      <c r="X2" s="71"/>
      <c r="Y2" s="62"/>
      <c r="Z2" s="62"/>
      <c r="AA2" s="71"/>
      <c r="AB2" s="71"/>
      <c r="AD2" s="62"/>
      <c r="AE2" s="71"/>
      <c r="AF2" s="71"/>
      <c r="AG2" s="62"/>
      <c r="AI2" s="71"/>
      <c r="AJ2" s="71"/>
      <c r="AM2" s="71"/>
      <c r="AN2" s="71"/>
      <c r="AQ2" s="71"/>
      <c r="AR2" s="71"/>
      <c r="AU2" s="71"/>
      <c r="AV2" s="71"/>
    </row>
    <row r="3" spans="1:50" hidden="1" outlineLevel="1">
      <c r="B3" s="62" t="s">
        <v>40</v>
      </c>
      <c r="D3" s="62" t="s">
        <v>135</v>
      </c>
      <c r="E3" s="68" t="s">
        <v>38</v>
      </c>
      <c r="F3" s="66" t="s">
        <v>35</v>
      </c>
      <c r="G3" s="71" t="s">
        <v>138</v>
      </c>
      <c r="H3" s="71"/>
      <c r="I3" s="205" t="s">
        <v>152</v>
      </c>
      <c r="K3" s="129"/>
      <c r="L3" s="71"/>
      <c r="O3" s="71"/>
      <c r="P3" s="71"/>
      <c r="Q3" s="62"/>
      <c r="R3" s="62"/>
      <c r="S3" s="71"/>
      <c r="T3" s="71"/>
      <c r="U3" s="62"/>
      <c r="V3" s="62"/>
      <c r="W3" s="71"/>
      <c r="X3" s="71"/>
      <c r="Y3" s="62"/>
      <c r="Z3" s="62"/>
      <c r="AA3" s="71"/>
      <c r="AB3" s="71"/>
      <c r="AD3" s="62"/>
      <c r="AE3" s="71"/>
      <c r="AF3" s="71"/>
      <c r="AG3" s="62"/>
      <c r="AI3" s="71"/>
      <c r="AJ3" s="71"/>
      <c r="AM3" s="71"/>
      <c r="AN3" s="71"/>
      <c r="AQ3" s="71"/>
      <c r="AR3" s="71"/>
      <c r="AU3" s="71"/>
      <c r="AV3" s="71"/>
    </row>
    <row r="4" spans="1:50" ht="24.75" hidden="1" outlineLevel="1">
      <c r="B4" s="62" t="s">
        <v>41</v>
      </c>
      <c r="D4" s="62" t="s">
        <v>136</v>
      </c>
      <c r="E4" s="68" t="s">
        <v>39</v>
      </c>
      <c r="F4" s="66" t="s">
        <v>36</v>
      </c>
      <c r="G4" s="71" t="s">
        <v>139</v>
      </c>
      <c r="H4" s="72"/>
      <c r="I4" s="204" t="s">
        <v>147</v>
      </c>
      <c r="K4" s="129"/>
      <c r="L4" s="72"/>
      <c r="O4" s="72"/>
      <c r="P4" s="72"/>
      <c r="Q4" s="62"/>
      <c r="R4" s="62"/>
      <c r="S4" s="72"/>
      <c r="T4" s="72"/>
      <c r="U4" s="62"/>
      <c r="V4" s="62"/>
      <c r="W4" s="72"/>
      <c r="X4" s="72"/>
      <c r="Y4" s="62"/>
      <c r="Z4" s="62"/>
      <c r="AA4" s="72"/>
      <c r="AB4" s="72"/>
      <c r="AD4" s="62"/>
      <c r="AE4" s="72"/>
      <c r="AF4" s="72"/>
      <c r="AG4" s="62"/>
      <c r="AI4" s="72"/>
      <c r="AJ4" s="72"/>
      <c r="AM4" s="72"/>
      <c r="AN4" s="72"/>
      <c r="AQ4" s="72"/>
      <c r="AR4" s="72"/>
      <c r="AU4" s="72"/>
      <c r="AV4" s="72"/>
    </row>
    <row r="5" spans="1:50" hidden="1" outlineLevel="1">
      <c r="B5" s="62" t="s">
        <v>42</v>
      </c>
      <c r="D5" s="62" t="s">
        <v>146</v>
      </c>
      <c r="E5" s="1"/>
      <c r="F5" s="67" t="s">
        <v>34</v>
      </c>
      <c r="G5" s="146" t="s">
        <v>140</v>
      </c>
      <c r="H5" s="73"/>
      <c r="I5" s="62" t="s">
        <v>60</v>
      </c>
      <c r="K5" s="130"/>
      <c r="L5" s="73"/>
      <c r="N5" s="1"/>
      <c r="O5" s="73"/>
      <c r="P5" s="73"/>
      <c r="Q5" s="1"/>
      <c r="R5" s="1"/>
      <c r="S5" s="73"/>
      <c r="T5" s="73"/>
      <c r="U5" s="1"/>
      <c r="V5" s="1"/>
      <c r="W5" s="73"/>
      <c r="X5" s="73"/>
      <c r="Y5" s="1"/>
      <c r="AA5" s="73"/>
      <c r="AB5" s="73"/>
      <c r="AD5" s="1"/>
      <c r="AE5" s="73"/>
      <c r="AF5" s="73"/>
      <c r="AG5" s="1"/>
      <c r="AH5" s="1"/>
      <c r="AI5" s="73"/>
      <c r="AJ5" s="73"/>
      <c r="AK5" s="1"/>
      <c r="AL5" s="1"/>
      <c r="AM5" s="73"/>
      <c r="AN5" s="73"/>
      <c r="AO5" s="1"/>
      <c r="AP5" s="1"/>
      <c r="AQ5" s="73"/>
      <c r="AR5" s="73"/>
      <c r="AS5" s="1"/>
      <c r="AT5" s="1"/>
      <c r="AU5" s="73"/>
      <c r="AV5" s="73"/>
      <c r="AW5" s="1"/>
      <c r="AX5" s="1"/>
    </row>
    <row r="6" spans="1:50" hidden="1" outlineLevel="1">
      <c r="E6" s="1"/>
      <c r="F6" s="67" t="s">
        <v>168</v>
      </c>
      <c r="G6" s="73">
        <v>106</v>
      </c>
      <c r="H6" s="73"/>
      <c r="I6" s="1"/>
      <c r="J6" s="1"/>
      <c r="K6" s="73"/>
      <c r="L6" s="73"/>
      <c r="N6" s="1"/>
      <c r="O6" s="73"/>
      <c r="P6" s="73"/>
      <c r="Q6" s="1"/>
      <c r="R6" s="1"/>
      <c r="S6" s="73"/>
      <c r="T6" s="73"/>
      <c r="U6" s="1"/>
      <c r="V6" s="1"/>
      <c r="W6" s="73"/>
      <c r="X6" s="73"/>
      <c r="Y6" s="1"/>
      <c r="AA6" s="73"/>
      <c r="AB6" s="73"/>
      <c r="AD6" s="1"/>
      <c r="AE6" s="73"/>
      <c r="AF6" s="73"/>
      <c r="AG6" s="1"/>
      <c r="AH6" s="1"/>
      <c r="AI6" s="73"/>
      <c r="AJ6" s="73"/>
      <c r="AK6" s="1"/>
      <c r="AL6" s="1"/>
      <c r="AM6" s="73"/>
      <c r="AN6" s="73"/>
      <c r="AO6" s="1"/>
      <c r="AP6" s="1"/>
      <c r="AQ6" s="73"/>
      <c r="AR6" s="73"/>
      <c r="AS6" s="1"/>
      <c r="AT6" s="1"/>
      <c r="AU6" s="73"/>
      <c r="AV6" s="73"/>
      <c r="AW6" s="1"/>
      <c r="AX6" s="1"/>
    </row>
    <row r="7" spans="1:50" hidden="1" outlineLevel="1">
      <c r="E7" s="1"/>
      <c r="F7" s="67" t="s">
        <v>74</v>
      </c>
      <c r="G7" s="73"/>
      <c r="H7" s="73"/>
      <c r="I7" s="1"/>
      <c r="J7" s="1"/>
      <c r="K7" s="73"/>
      <c r="L7" s="73"/>
      <c r="M7" s="1"/>
      <c r="N7" s="1"/>
      <c r="O7" s="73"/>
      <c r="P7" s="73"/>
      <c r="Q7" s="1"/>
      <c r="R7" s="1"/>
      <c r="S7" s="73"/>
      <c r="T7" s="73"/>
      <c r="U7" s="1"/>
      <c r="V7" s="1"/>
      <c r="W7" s="73"/>
      <c r="X7" s="73"/>
      <c r="Y7" s="1"/>
      <c r="AA7" s="73"/>
      <c r="AB7" s="73"/>
      <c r="AC7" s="1"/>
      <c r="AD7" s="1"/>
      <c r="AE7" s="73"/>
      <c r="AF7" s="73"/>
      <c r="AG7" s="1"/>
      <c r="AH7" s="1"/>
      <c r="AI7" s="73"/>
      <c r="AJ7" s="73"/>
      <c r="AK7" s="1"/>
      <c r="AL7" s="1"/>
      <c r="AM7" s="73"/>
      <c r="AN7" s="73"/>
      <c r="AO7" s="1"/>
      <c r="AP7" s="1"/>
      <c r="AQ7" s="73"/>
      <c r="AR7" s="73"/>
      <c r="AS7" s="1"/>
      <c r="AT7" s="1"/>
      <c r="AU7" s="73"/>
      <c r="AV7" s="73"/>
      <c r="AW7" s="1"/>
      <c r="AX7" s="1"/>
    </row>
    <row r="8" spans="1:50" hidden="1" outlineLevel="1">
      <c r="C8" s="18"/>
      <c r="E8" s="93" t="s">
        <v>62</v>
      </c>
      <c r="F8" s="94"/>
      <c r="G8" s="95"/>
      <c r="H8" s="95"/>
      <c r="I8" s="94" t="s">
        <v>63</v>
      </c>
      <c r="J8" s="94"/>
      <c r="K8" s="95"/>
      <c r="L8" s="95"/>
      <c r="M8" s="96" t="s">
        <v>64</v>
      </c>
      <c r="N8" s="94"/>
      <c r="O8" s="95"/>
      <c r="P8" s="95"/>
      <c r="Q8" s="94" t="s">
        <v>65</v>
      </c>
      <c r="R8" s="94"/>
      <c r="S8" s="95"/>
      <c r="T8" s="95"/>
      <c r="U8" s="94" t="s">
        <v>66</v>
      </c>
      <c r="V8" s="94"/>
      <c r="W8" s="95"/>
      <c r="X8" s="95"/>
      <c r="Y8" s="94" t="s">
        <v>67</v>
      </c>
      <c r="Z8" s="97"/>
      <c r="AA8" s="95"/>
      <c r="AB8" s="95"/>
      <c r="AC8" s="97" t="s">
        <v>68</v>
      </c>
      <c r="AD8" s="94"/>
      <c r="AE8" s="95"/>
      <c r="AF8" s="95"/>
      <c r="AG8" s="94" t="s">
        <v>69</v>
      </c>
      <c r="AH8" s="94"/>
      <c r="AI8" s="95"/>
      <c r="AJ8" s="95"/>
      <c r="AK8" s="94" t="s">
        <v>70</v>
      </c>
      <c r="AL8" s="94"/>
      <c r="AM8" s="95"/>
      <c r="AN8" s="95"/>
      <c r="AO8" s="94" t="s">
        <v>71</v>
      </c>
      <c r="AP8" s="94"/>
      <c r="AQ8" s="95"/>
      <c r="AR8" s="95"/>
      <c r="AS8" s="94" t="s">
        <v>72</v>
      </c>
      <c r="AT8" s="94"/>
      <c r="AU8" s="95"/>
      <c r="AV8" s="95"/>
      <c r="AW8" s="94" t="s">
        <v>73</v>
      </c>
      <c r="AX8" s="94"/>
    </row>
    <row r="9" spans="1:50" s="61" customFormat="1" ht="12.75" hidden="1" outlineLevel="1">
      <c r="E9" s="65" t="s">
        <v>33</v>
      </c>
      <c r="F9" s="65"/>
      <c r="G9" s="75"/>
      <c r="H9" s="75"/>
      <c r="I9" s="65" t="s">
        <v>44</v>
      </c>
      <c r="J9" s="65"/>
      <c r="K9" s="75"/>
      <c r="L9" s="75"/>
      <c r="M9" s="61" t="s">
        <v>45</v>
      </c>
      <c r="N9" s="65"/>
      <c r="O9" s="75"/>
      <c r="P9" s="75"/>
      <c r="Q9" s="65" t="s">
        <v>46</v>
      </c>
      <c r="R9" s="65"/>
      <c r="S9" s="75"/>
      <c r="T9" s="75"/>
      <c r="U9" s="65" t="s">
        <v>47</v>
      </c>
      <c r="V9" s="65"/>
      <c r="W9" s="75"/>
      <c r="X9" s="75"/>
      <c r="Y9" s="65" t="s">
        <v>48</v>
      </c>
      <c r="AA9" s="75"/>
      <c r="AB9" s="75"/>
      <c r="AC9" s="61" t="s">
        <v>49</v>
      </c>
      <c r="AD9" s="65"/>
      <c r="AE9" s="75"/>
      <c r="AF9" s="75"/>
      <c r="AG9" s="65" t="s">
        <v>50</v>
      </c>
      <c r="AH9" s="65"/>
      <c r="AI9" s="75"/>
      <c r="AJ9" s="75"/>
      <c r="AK9" s="65" t="s">
        <v>51</v>
      </c>
      <c r="AL9" s="65"/>
      <c r="AM9" s="75"/>
      <c r="AN9" s="75"/>
      <c r="AO9" s="65" t="s">
        <v>52</v>
      </c>
      <c r="AP9" s="65"/>
      <c r="AQ9" s="75"/>
      <c r="AR9" s="75"/>
      <c r="AS9" s="65" t="s">
        <v>53</v>
      </c>
      <c r="AT9" s="65"/>
      <c r="AU9" s="75"/>
      <c r="AV9" s="75"/>
      <c r="AW9" s="65" t="s">
        <v>54</v>
      </c>
      <c r="AX9" s="65"/>
    </row>
    <row r="10" spans="1:50" hidden="1" outlineLevel="1">
      <c r="E10" s="1">
        <v>31</v>
      </c>
      <c r="F10" s="1"/>
      <c r="G10" s="74"/>
      <c r="H10" s="74"/>
      <c r="I10" s="1">
        <v>28</v>
      </c>
      <c r="J10" s="1"/>
      <c r="K10" s="74"/>
      <c r="L10" s="74"/>
      <c r="M10">
        <v>31</v>
      </c>
      <c r="N10" s="1"/>
      <c r="O10" s="74"/>
      <c r="P10" s="74"/>
      <c r="Q10" s="1">
        <v>30</v>
      </c>
      <c r="R10" s="1"/>
      <c r="S10" s="74"/>
      <c r="T10" s="74"/>
      <c r="U10" s="1">
        <v>31</v>
      </c>
      <c r="V10" s="1"/>
      <c r="W10" s="74"/>
      <c r="X10" s="74"/>
      <c r="Y10" s="1">
        <v>30</v>
      </c>
      <c r="AA10" s="74"/>
      <c r="AB10" s="74"/>
      <c r="AC10">
        <v>31</v>
      </c>
      <c r="AD10" s="1"/>
      <c r="AE10" s="74"/>
      <c r="AF10" s="74"/>
      <c r="AG10" s="1">
        <v>31</v>
      </c>
      <c r="AH10" s="1"/>
      <c r="AI10" s="74"/>
      <c r="AJ10" s="74"/>
      <c r="AK10" s="1">
        <v>30</v>
      </c>
      <c r="AL10" s="1"/>
      <c r="AM10" s="74"/>
      <c r="AN10" s="74"/>
      <c r="AO10" s="1">
        <v>31</v>
      </c>
      <c r="AP10" s="1"/>
      <c r="AQ10" s="74"/>
      <c r="AR10" s="74"/>
      <c r="AS10" s="1">
        <v>30</v>
      </c>
      <c r="AT10" s="1"/>
      <c r="AU10" s="74"/>
      <c r="AV10" s="74"/>
      <c r="AW10" s="1">
        <v>31</v>
      </c>
      <c r="AX10" s="1"/>
    </row>
    <row r="11" spans="1:50" ht="18" collapsed="1">
      <c r="B11" s="209" t="s">
        <v>162</v>
      </c>
      <c r="C11" s="2"/>
      <c r="D11" s="2"/>
      <c r="E11" s="100"/>
      <c r="I11" s="3"/>
    </row>
    <row r="12" spans="1:50" ht="18">
      <c r="B12" s="210" t="s">
        <v>163</v>
      </c>
      <c r="C12" s="2"/>
      <c r="D12" s="2"/>
      <c r="E12" s="212">
        <v>684</v>
      </c>
    </row>
    <row r="13" spans="1:50" ht="18">
      <c r="B13" s="211" t="s">
        <v>164</v>
      </c>
      <c r="C13" s="2"/>
      <c r="D13" s="2"/>
      <c r="E13" s="213" t="s">
        <v>161</v>
      </c>
    </row>
    <row r="14" spans="1:50" ht="18">
      <c r="B14" s="210" t="s">
        <v>165</v>
      </c>
      <c r="C14" s="2"/>
      <c r="D14" s="2"/>
      <c r="E14" s="213" t="s">
        <v>148</v>
      </c>
    </row>
    <row r="15" spans="1:50" ht="18">
      <c r="B15" s="211" t="s">
        <v>166</v>
      </c>
      <c r="C15" s="2"/>
      <c r="D15" s="2"/>
      <c r="E15" s="212">
        <f ca="1">#REF!</f>
        <v>2023</v>
      </c>
      <c r="F15" s="211" t="s">
        <v>167</v>
      </c>
      <c r="I15" s="212" t="str">
        <f ca="1">#REF!</f>
        <v>30.06.23</v>
      </c>
    </row>
    <row r="16" spans="1:50" ht="18">
      <c r="B16" s="2"/>
      <c r="C16" s="2"/>
      <c r="D16" s="2"/>
      <c r="E16" s="100"/>
    </row>
    <row r="17" spans="1:51" ht="15.75">
      <c r="B17" s="6" t="s">
        <v>0</v>
      </c>
      <c r="C17" s="7" t="str">
        <f ca="1">"ינואר"&amp;" "&amp;$I$2</f>
        <v>ינואר 2023</v>
      </c>
      <c r="D17" s="7" t="str">
        <f ca="1">"ינואר"&amp;" "&amp;$I$2</f>
        <v>ינואר 2023</v>
      </c>
      <c r="E17" s="7" t="str">
        <f ca="1">"ינואר"&amp;" "&amp;$I$2</f>
        <v>ינואר 2023</v>
      </c>
      <c r="F17" s="8"/>
      <c r="G17" s="9" t="str">
        <f ca="1">"פברואר"&amp;" "&amp;$I$2</f>
        <v>פברואר 2023</v>
      </c>
      <c r="H17" s="9" t="str">
        <f ca="1">"פברואר"&amp;" "&amp;$I$2</f>
        <v>פברואר 2023</v>
      </c>
      <c r="I17" s="9" t="str">
        <f ca="1">"פברואר"&amp;" "&amp;$I$2</f>
        <v>פברואר 2023</v>
      </c>
      <c r="J17" s="10"/>
      <c r="K17" s="7" t="str">
        <f ca="1">"מרץ"&amp;" "&amp;$I$2</f>
        <v>מרץ 2023</v>
      </c>
      <c r="L17" s="7" t="str">
        <f ca="1">"מרץ"&amp;" "&amp;$I$2</f>
        <v>מרץ 2023</v>
      </c>
      <c r="M17" s="7" t="str">
        <f ca="1">"מרץ"&amp;" "&amp;$I$2</f>
        <v>מרץ 2023</v>
      </c>
      <c r="N17" s="8"/>
      <c r="O17" s="9" t="str">
        <f ca="1">"אפריל"&amp;" "&amp;$I$2</f>
        <v>אפריל 2023</v>
      </c>
      <c r="P17" s="9" t="str">
        <f ca="1">"אפריל"&amp;" "&amp;$I$2</f>
        <v>אפריל 2023</v>
      </c>
      <c r="Q17" s="9" t="str">
        <f ca="1">"אפריל"&amp;" "&amp;$I$2</f>
        <v>אפריל 2023</v>
      </c>
      <c r="R17" s="10"/>
      <c r="S17" s="7" t="str">
        <f ca="1">"מאי"&amp;" "&amp;$I$2</f>
        <v>מאי 2023</v>
      </c>
      <c r="T17" s="7" t="str">
        <f ca="1">"מאי"&amp;" "&amp;$I$2</f>
        <v>מאי 2023</v>
      </c>
      <c r="U17" s="7" t="str">
        <f ca="1">"מאי"&amp;" "&amp;$I$2</f>
        <v>מאי 2023</v>
      </c>
      <c r="V17" s="8"/>
      <c r="W17" s="9" t="str">
        <f ca="1">"יוני"&amp;" "&amp;$I$2</f>
        <v>יוני 2023</v>
      </c>
      <c r="X17" s="9" t="str">
        <f ca="1">"יוני"&amp;" "&amp;$I$2</f>
        <v>יוני 2023</v>
      </c>
      <c r="Y17" s="9" t="str">
        <f ca="1">"יוני"&amp;" "&amp;$I$2</f>
        <v>יוני 2023</v>
      </c>
      <c r="Z17" s="10"/>
      <c r="AA17" s="7" t="str">
        <f ca="1">"יולי"&amp;" "&amp;$I$2</f>
        <v>יולי 2023</v>
      </c>
      <c r="AB17" s="7" t="str">
        <f ca="1">"יולי"&amp;" "&amp;$I$2</f>
        <v>יולי 2023</v>
      </c>
      <c r="AC17" s="7" t="str">
        <f ca="1">"יולי"&amp;" "&amp;$I$2</f>
        <v>יולי 2023</v>
      </c>
      <c r="AD17" s="8"/>
      <c r="AE17" s="9" t="str">
        <f ca="1">"אוגוסט"&amp;" "&amp;$I$2</f>
        <v>אוגוסט 2023</v>
      </c>
      <c r="AF17" s="9" t="str">
        <f ca="1">"אוגוסט"&amp;" "&amp;$I$2</f>
        <v>אוגוסט 2023</v>
      </c>
      <c r="AG17" s="9" t="str">
        <f ca="1">"אוגוסט"&amp;" "&amp;$I$2</f>
        <v>אוגוסט 2023</v>
      </c>
      <c r="AH17" s="10"/>
      <c r="AI17" s="7" t="str">
        <f ca="1">"ספטמבר"&amp;" "&amp;$I$2</f>
        <v>ספטמבר 2023</v>
      </c>
      <c r="AJ17" s="7" t="str">
        <f ca="1">"ספטמבר"&amp;" "&amp;$I$2</f>
        <v>ספטמבר 2023</v>
      </c>
      <c r="AK17" s="7" t="str">
        <f ca="1">"ספטמבר"&amp;" "&amp;$I$2</f>
        <v>ספטמבר 2023</v>
      </c>
      <c r="AL17" s="8"/>
      <c r="AM17" s="9" t="str">
        <f ca="1">"אוקטובר"&amp;" "&amp;$I$2</f>
        <v>אוקטובר 2023</v>
      </c>
      <c r="AN17" s="125" t="str">
        <f ca="1">"אוקטובר"&amp;" "&amp;$I$2</f>
        <v>אוקטובר 2023</v>
      </c>
      <c r="AO17" s="9" t="str">
        <f ca="1">"אוקטובר"&amp;" "&amp;$I$2</f>
        <v>אוקטובר 2023</v>
      </c>
      <c r="AP17" s="9"/>
      <c r="AQ17" s="126" t="str">
        <f ca="1">"נובמבר"&amp;" "&amp;$I$2</f>
        <v>נובמבר 2023</v>
      </c>
      <c r="AR17" s="7" t="str">
        <f ca="1">"נובמבר"&amp;" "&amp;$I$2</f>
        <v>נובמבר 2023</v>
      </c>
      <c r="AS17" s="7" t="str">
        <f ca="1">"נובמבר"&amp;" "&amp;$I$2</f>
        <v>נובמבר 2023</v>
      </c>
      <c r="AT17" s="8"/>
      <c r="AU17" s="9" t="str">
        <f ca="1">"דצמבר"&amp;" "&amp;$I$2</f>
        <v>דצמבר 2023</v>
      </c>
      <c r="AV17" s="9" t="str">
        <f ca="1">"דצמבר"&amp;" "&amp;$I$2</f>
        <v>דצמבר 2023</v>
      </c>
      <c r="AW17" s="9" t="str">
        <f ca="1">"דצמבר"&amp;" "&amp;$I$2</f>
        <v>דצמבר 2023</v>
      </c>
      <c r="AX17" s="10"/>
    </row>
    <row r="18" spans="1:51" ht="28.5">
      <c r="B18" s="11"/>
      <c r="C18" s="70" t="s">
        <v>75</v>
      </c>
      <c r="D18" s="86" t="s">
        <v>55</v>
      </c>
      <c r="E18" s="43" t="s" vm="1">
        <v>1</v>
      </c>
      <c r="F18" s="44" t="s" vm="2">
        <v>2</v>
      </c>
      <c r="G18" s="70" t="s">
        <v>75</v>
      </c>
      <c r="H18" s="86" t="s">
        <v>55</v>
      </c>
      <c r="I18" s="45" t="s" vm="1">
        <v>1</v>
      </c>
      <c r="J18" s="46" t="s" vm="2">
        <v>2</v>
      </c>
      <c r="K18" s="70" t="s">
        <v>75</v>
      </c>
      <c r="L18" s="86" t="s">
        <v>55</v>
      </c>
      <c r="M18" s="43" t="s" vm="1">
        <v>1</v>
      </c>
      <c r="N18" s="44" t="s" vm="2">
        <v>2</v>
      </c>
      <c r="O18" s="70" t="s">
        <v>75</v>
      </c>
      <c r="P18" s="86" t="s">
        <v>55</v>
      </c>
      <c r="Q18" s="45" t="s" vm="1">
        <v>1</v>
      </c>
      <c r="R18" s="46" t="s" vm="2">
        <v>2</v>
      </c>
      <c r="S18" s="70" t="s">
        <v>75</v>
      </c>
      <c r="T18" s="86" t="s">
        <v>55</v>
      </c>
      <c r="U18" s="43" t="s" vm="1">
        <v>1</v>
      </c>
      <c r="V18" s="44" t="s" vm="2">
        <v>2</v>
      </c>
      <c r="W18" s="70" t="s">
        <v>75</v>
      </c>
      <c r="X18" s="86" t="s">
        <v>55</v>
      </c>
      <c r="Y18" s="45" t="s" vm="1">
        <v>1</v>
      </c>
      <c r="Z18" s="46" t="s" vm="2">
        <v>2</v>
      </c>
      <c r="AA18" s="70" t="s">
        <v>75</v>
      </c>
      <c r="AB18" s="86" t="s">
        <v>55</v>
      </c>
      <c r="AC18" s="43" t="s" vm="1">
        <v>1</v>
      </c>
      <c r="AD18" s="44" t="s" vm="2">
        <v>2</v>
      </c>
      <c r="AE18" s="70" t="s">
        <v>75</v>
      </c>
      <c r="AF18" s="86" t="s">
        <v>55</v>
      </c>
      <c r="AG18" s="45" t="s" vm="1">
        <v>1</v>
      </c>
      <c r="AH18" s="46" t="s" vm="2">
        <v>2</v>
      </c>
      <c r="AI18" s="70" t="s">
        <v>75</v>
      </c>
      <c r="AJ18" s="86" t="s">
        <v>55</v>
      </c>
      <c r="AK18" s="43" t="s" vm="1">
        <v>1</v>
      </c>
      <c r="AL18" s="44" t="s" vm="2">
        <v>2</v>
      </c>
      <c r="AM18" s="70" t="s">
        <v>75</v>
      </c>
      <c r="AN18" s="86" t="s">
        <v>55</v>
      </c>
      <c r="AO18" s="45" t="s" vm="1">
        <v>1</v>
      </c>
      <c r="AP18" s="46" t="s" vm="2">
        <v>2</v>
      </c>
      <c r="AQ18" s="70" t="s">
        <v>75</v>
      </c>
      <c r="AR18" s="86" t="s">
        <v>55</v>
      </c>
      <c r="AS18" s="43" t="s" vm="1">
        <v>1</v>
      </c>
      <c r="AT18" s="44" t="s" vm="2">
        <v>2</v>
      </c>
      <c r="AU18" s="70" t="s">
        <v>75</v>
      </c>
      <c r="AV18" s="86" t="s">
        <v>55</v>
      </c>
      <c r="AW18" s="45" t="s" vm="1">
        <v>1</v>
      </c>
      <c r="AX18" s="46" t="s" vm="2">
        <v>2</v>
      </c>
    </row>
    <row r="19" spans="1:51" hidden="1" outlineLevel="1">
      <c r="B19" s="4"/>
      <c r="C19" s="70">
        <f ca="1">_xll.DBRW("canaf:YLD_Components",$B$1,$B$2,$E$1,$F$6,$I$1,$I$2,$E$9,$I$3,$I$4,$A20)</f>
        <v>104266.26999999999</v>
      </c>
      <c r="D19" s="101">
        <f ca="1">_xll.DBRW("canaf:YLD_Components",$B$1,$B$2,$E$1,$F$2,$I$1,$I$2,$E$9,$I$3,$I$4,$A20)</f>
        <v>0</v>
      </c>
      <c r="E19" s="103">
        <f ca="1">IFERROR((D19/$D$40)*$D$39,0)</f>
        <v>0</v>
      </c>
      <c r="F19" s="102"/>
      <c r="G19" s="86">
        <f ca="1">_xll.DBRW("canaf:YLD_Components",$B$1,$B$2,$E$1,$F$6,$I$1,$I$2,$I$9,$I$3,$I$4,$A20)</f>
        <v>329048.03000000003</v>
      </c>
      <c r="H19" s="101">
        <f ca="1">_xll.DBRW("canaf:YLD_Components",$B$1,$B$2,$E$1,$F$2,$I$1,$I$2,$I$9,$I$3,$I$4,$A20)</f>
        <v>0</v>
      </c>
      <c r="I19" s="103">
        <f ca="1">IFERROR((H19/$H$40)*$H$39,0)</f>
        <v>0</v>
      </c>
      <c r="J19" s="46"/>
      <c r="K19" s="70">
        <f ca="1">_xll.DBRW("canaf:YLD_Components",$B$1,$B$2,$E$1,$F$6,$I$1,$I$2,$M$9,$I$3,$I$4,$A20)</f>
        <v>324620.32</v>
      </c>
      <c r="L19" s="101">
        <f ca="1">_xll.DBRW("canaf:YLD_Components",$B$1,$B$2,$E$1,$F$2,$I$1,$I$2,$M$9,$I$3,$I$4,$A20)</f>
        <v>0</v>
      </c>
      <c r="M19" s="103">
        <f ca="1">IFERROR((L19/$L$40)*$L$39,0)</f>
        <v>0</v>
      </c>
      <c r="N19" s="102"/>
      <c r="O19" s="86">
        <f ca="1">_xll.DBRW("canaf:YLD_Components",$B$1,$B$2,$E$1,$F$6,$I$1,$I$2,$Q$9,$I$3,$I$4,$A20)</f>
        <v>43080.729999999996</v>
      </c>
      <c r="P19" s="101">
        <f ca="1">_xll.DBRW("canaf:YLD_Components",$B$1,$B$2,$E$1,$F$2,$I$1,$I$2,$Q$9,$I$3,$I$4,$A20)</f>
        <v>0</v>
      </c>
      <c r="Q19" s="103">
        <f ca="1">IFERROR((P19/$P$40)*$P$39,0)</f>
        <v>0</v>
      </c>
      <c r="R19" s="46"/>
      <c r="S19" s="70">
        <f ca="1">_xll.DBRW("canaf:YLD_Components",$B$1,$B$2,$E$1,$F$6,$I$1,$I$2,$U$9,$I$3,$I$4,$A20)</f>
        <v>125194.34</v>
      </c>
      <c r="T19" s="101">
        <f ca="1">_xll.DBRW("canaf:YLD_Components",$B$1,$B$2,$E$1,$F$2,$I$1,$I$2,$U$9,$I$3,$I$4,$A20)</f>
        <v>0</v>
      </c>
      <c r="U19" s="103">
        <f ca="1">IFERROR((T19/$T$40)*$T$39,0)</f>
        <v>0</v>
      </c>
      <c r="V19" s="102"/>
      <c r="W19" s="86">
        <f ca="1">_xll.DBRW("canaf:YLD_Components",$B$1,$B$2,$E$1,$F$6,$I$1,$I$2,$Y$9,$I$3,$I$4,$A20)</f>
        <v>137809.21</v>
      </c>
      <c r="X19" s="101">
        <f ca="1">_xll.DBRW("canaf:YLD_Components",$B$1,$B$2,$E$1,$F$2,$I$1,$I$2,$Y$9,$I$3,$I$4,$A20)</f>
        <v>0</v>
      </c>
      <c r="Y19" s="103">
        <f ca="1">IFERROR((X19/$X$40)*$X$39,0)</f>
        <v>0</v>
      </c>
      <c r="Z19" s="46"/>
      <c r="AA19" s="70">
        <f ca="1">_xll.DBRW("canaf:YLD_Components",$B$1,$B$2,$E$1,$F$6,$I$1,$I$2,$AC$9,$I$3,$I$4,$A20)</f>
        <v>0</v>
      </c>
      <c r="AB19" s="101">
        <f ca="1">_xll.DBRW("canaf:YLD_Components",$B$1,$B$2,$E$1,$F$2,$I$1,$I$2,$AC$9,$I$3,$I$4,$A20)</f>
        <v>0</v>
      </c>
      <c r="AC19" s="103">
        <f ca="1">IFERROR((AB19/$AB$40)*$AB$39,0)</f>
        <v>0</v>
      </c>
      <c r="AD19" s="102"/>
      <c r="AE19" s="86">
        <f ca="1">_xll.DBRW("canaf:YLD_Components",$B$1,$B$2,$E$1,$F$6,$I$1,$I$2,$AG$9,$I$3,$I$4,$A20)</f>
        <v>0</v>
      </c>
      <c r="AF19" s="101">
        <f ca="1">_xll.DBRW("canaf:YLD_Components",$B$1,$B$2,$E$1,$F$2,$I$1,$I$2,$AG$9,$I$3,$I$4,$A20)</f>
        <v>0</v>
      </c>
      <c r="AG19" s="103">
        <f ca="1">IFERROR((AF19/$AF$40)*$AF$39,0)</f>
        <v>0</v>
      </c>
      <c r="AH19" s="46"/>
      <c r="AI19" s="70">
        <f ca="1">_xll.DBRW("canaf:YLD_Components",$B$1,$B$2,$E$1,$F$6,$I$1,$I$2,$AK$9,$I$3,$I$4,$A20)</f>
        <v>0</v>
      </c>
      <c r="AJ19" s="101">
        <f ca="1">_xll.DBRW("canaf:YLD_Components",$B$1,$B$2,$E$1,$F$2,$I$1,$I$2,$AK$9,$I$3,$I$4,$A20)</f>
        <v>0</v>
      </c>
      <c r="AK19" s="103">
        <f ca="1">IFERROR((AJ19/$AJ$40)*$AJ$39,0)</f>
        <v>0</v>
      </c>
      <c r="AL19" s="102"/>
      <c r="AM19" s="86">
        <f ca="1">_xll.DBRW("canaf:YLD_Components",$B$1,$B$2,$E$1,$F$6,$I$1,$I$2,$AO$9,$I$3,$I$4,$A20)</f>
        <v>0</v>
      </c>
      <c r="AN19" s="101">
        <f ca="1">_xll.DBRW("canaf:YLD_Components",$B$1,$B$2,$E$1,$F$2,$I$1,$I$2,$AO$9,$I$3,$I$4,$A20)</f>
        <v>0</v>
      </c>
      <c r="AO19" s="103">
        <f ca="1">IFERROR((AN19/$AN$40)*$AN$39,0)</f>
        <v>0</v>
      </c>
      <c r="AP19" s="46"/>
      <c r="AQ19" s="70">
        <f ca="1">_xll.DBRW("canaf:YLD_Components",$B$1,$B$2,$E$1,$F$6,$I$1,$I$2,$AS$9,$I$3,$I$4,$A20)</f>
        <v>0</v>
      </c>
      <c r="AR19" s="101">
        <f ca="1">_xll.DBRW("canaf:YLD_Components",$B$1,$B$2,$E$1,$F$2,$I$1,$I$2,$AS$9,$I$3,$I$4,$A20)</f>
        <v>0</v>
      </c>
      <c r="AS19" s="103">
        <f ca="1">IFERROR((AR19/$AR$40)*$AR$39,0)</f>
        <v>0</v>
      </c>
      <c r="AT19" s="102"/>
      <c r="AU19" s="86">
        <f ca="1">_xll.DBRW("canaf:YLD_Components",$B$1,$B$2,$E$1,$F$6,$I$1,$I$2,$AW$9,$I$3,$I$4,$A20)</f>
        <v>0</v>
      </c>
      <c r="AV19" s="101">
        <f ca="1">_xll.DBRW("canaf:YLD_Components",$B$1,$B$2,$E$1,$F$2,$I$1,$I$2,$AW$9,$I$3,$I$4,$A20)</f>
        <v>0</v>
      </c>
      <c r="AW19" s="103">
        <f ca="1">IFERROR((AV19/$AV$40)*$AV$39,0)</f>
        <v>0</v>
      </c>
      <c r="AX19" s="46"/>
    </row>
    <row r="20" spans="1:51" collapsed="1">
      <c r="A20" s="62" t="s">
        <v>3</v>
      </c>
      <c r="B20" s="15" t="s">
        <v>3</v>
      </c>
      <c r="C20" s="69">
        <f ca="1">C40-SUM(C21:C38)</f>
        <v>-12366828.470000001</v>
      </c>
      <c r="D20" s="69">
        <f ca="1">D40-SUM(D21:D38)</f>
        <v>269.53000000001339</v>
      </c>
      <c r="E20" s="16">
        <f ca="1">E39-SUM(E21:E38)</f>
        <v>1.9860787502313376E-5</v>
      </c>
      <c r="F20" s="16">
        <f ca="1">_xll.DBRW("canaf:YLD_Components",$B$1,$B$2,$E$1,$F$7,$I$1,$I$2,$E$9,$I$3,$I$4,$A20)</f>
        <v>8.3606349060579739E-3</v>
      </c>
      <c r="G20" s="87">
        <f ca="1">G40-SUM(G21:G38)</f>
        <v>-12015936.460000001</v>
      </c>
      <c r="H20" s="69">
        <f ca="1">H40-SUM(H21:H38)</f>
        <v>806.54000000003725</v>
      </c>
      <c r="I20" s="17">
        <f ca="1">I39-SUM(I21:I38)</f>
        <v>6.6425009214991781E-5</v>
      </c>
      <c r="J20" s="17">
        <f ca="1">_xll.DBRW("canaf:YLD_Components",$B$1,$B$2,$E$1,$F$7,$I$1,$I$2,$I$9,$I$3,$I$4,$A20)</f>
        <v>2.6654389907621506E-2</v>
      </c>
      <c r="K20" s="69">
        <f ca="1">K40-SUM(K21:K38)</f>
        <v>-11370162.49</v>
      </c>
      <c r="L20" s="69">
        <f ca="1">L40-SUM(L21:L38)</f>
        <v>3145.8399999999965</v>
      </c>
      <c r="M20" s="16">
        <f ca="1">M39-SUM(M21:M38)</f>
        <v>2.7806809222102186E-4</v>
      </c>
      <c r="N20" s="16">
        <f ca="1">_xll.DBRW("canaf:YLD_Components",$B$1,$B$2,$E$1,$F$7,$I$1,$I$2,$M$9,$I$3,$I$4,$A20)</f>
        <v>2.7757704035548478E-2</v>
      </c>
      <c r="O20" s="87">
        <f ca="1">O40-SUM(O21:O38)</f>
        <v>-11414388.559999999</v>
      </c>
      <c r="P20" s="69">
        <f ca="1">P40-SUM(P21:P38)</f>
        <v>420.63999999999214</v>
      </c>
      <c r="Q20" s="17">
        <f ca="1">Q39-SUM(Q21:Q38)</f>
        <v>3.7391426786292405E-5</v>
      </c>
      <c r="R20" s="17">
        <f ca="1">_xll.DBRW("canaf:YLD_Components",$B$1,$B$2,$E$1,$F$7,$I$1,$I$2,$Q$9,$I$3,$I$4,$A20)</f>
        <v>3.7600563361405259E-3</v>
      </c>
      <c r="S20" s="69">
        <f ca="1">S40-SUM(S21:S38)</f>
        <v>-11389477.359999999</v>
      </c>
      <c r="T20" s="69">
        <f ca="1">T40-SUM(T21:T38)</f>
        <v>375.70999999999913</v>
      </c>
      <c r="U20" s="16">
        <f ca="1">U39-SUM(U21:U38)</f>
        <v>3.3196655940550233E-5</v>
      </c>
      <c r="V20" s="16">
        <f ca="1">_xll.DBRW("canaf:YLD_Components",$B$1,$B$2,$E$1,$F$7,$I$1,$I$2,$U$9,$I$3,$I$4,$A20)</f>
        <v>1.0872593093557327E-2</v>
      </c>
      <c r="W20" s="87">
        <f ca="1">W40-SUM(W21:W38)</f>
        <v>-11428503.77</v>
      </c>
      <c r="X20" s="69">
        <f ca="1">X40-SUM(X21:X38)</f>
        <v>6.6199999999953434</v>
      </c>
      <c r="Y20" s="17">
        <f ca="1">Y39-SUM(Y21:Y38)</f>
        <v>5.8323952032909854E-7</v>
      </c>
      <c r="Z20" s="17">
        <f ca="1">_xll.DBRW("canaf:YLD_Components",$B$1,$B$2,$E$1,$F$7,$I$1,$I$2,$Y$9,$I$3,$I$4,$A20)</f>
        <v>1.1914705251214809E-2</v>
      </c>
      <c r="AA20" s="69">
        <f ca="1">AA40-SUM(AA21:AA38)</f>
        <v>0</v>
      </c>
      <c r="AB20" s="69">
        <f ca="1">AB40-SUM(AB21:AB38)</f>
        <v>0</v>
      </c>
      <c r="AC20" s="16">
        <f ca="1">AC39-SUM(AC21:AC38)</f>
        <v>0</v>
      </c>
      <c r="AD20" s="16">
        <f ca="1">_xll.DBRW("canaf:YLD_Components",$B$1,$B$2,$E$1,$F$7,$I$1,$I$2,$AC$9,$I$3,$I$4,$A20)</f>
        <v>0</v>
      </c>
      <c r="AE20" s="87">
        <f ca="1">AE40-SUM(AE21:AE38)</f>
        <v>0</v>
      </c>
      <c r="AF20" s="69">
        <f ca="1">AF40-SUM(AF21:AF38)</f>
        <v>0</v>
      </c>
      <c r="AG20" s="17">
        <f ca="1">AG39-SUM(AG21:AG38)</f>
        <v>0</v>
      </c>
      <c r="AH20" s="17">
        <f ca="1">_xll.DBRW("canaf:YLD_Components",$B$1,$B$2,$E$1,$F$7,$I$1,$I$2,$AG$9,$I$3,$I$4,$A20)</f>
        <v>0</v>
      </c>
      <c r="AI20" s="69">
        <f ca="1">AI40-SUM(AI21:AI38)</f>
        <v>0</v>
      </c>
      <c r="AJ20" s="69">
        <f ca="1">AJ40-SUM(AJ21:AJ38)</f>
        <v>0</v>
      </c>
      <c r="AK20" s="16">
        <f ca="1">AK39-SUM(AK21:AK38)</f>
        <v>0</v>
      </c>
      <c r="AL20" s="16">
        <f ca="1">_xll.DBRW("canaf:YLD_Components",$B$1,$B$2,$E$1,$F$7,$I$1,$I$2,$AK$9,$I$3,$I$4,$A20)</f>
        <v>0</v>
      </c>
      <c r="AM20" s="87">
        <f ca="1">AM40-SUM(AM21:AM38)</f>
        <v>0</v>
      </c>
      <c r="AN20" s="69">
        <f ca="1">AN40-SUM(AN21:AN38)</f>
        <v>0</v>
      </c>
      <c r="AO20" s="17">
        <f ca="1">AO39-SUM(AO21:AO38)</f>
        <v>0</v>
      </c>
      <c r="AP20" s="17">
        <f ca="1">_xll.DBRW("canaf:YLD_Components",$B$1,$B$2,$E$1,$F$7,$I$1,$I$2,$AO$9,$I$3,$I$4,$A20)</f>
        <v>0</v>
      </c>
      <c r="AQ20" s="69">
        <f ca="1">AQ40-SUM(AQ21:AQ38)</f>
        <v>0</v>
      </c>
      <c r="AR20" s="69">
        <f ca="1">AR40-SUM(AR21:AR38)</f>
        <v>0</v>
      </c>
      <c r="AS20" s="16">
        <f ca="1">AS39-SUM(AS21:AS38)</f>
        <v>0</v>
      </c>
      <c r="AT20" s="16">
        <f ca="1">_xll.DBRW("canaf:YLD_Components",$B$1,$B$2,$E$1,$F$7,$I$1,$I$2,$AS$9,$I$3,$I$4,$A20)</f>
        <v>0</v>
      </c>
      <c r="AU20" s="87">
        <f ca="1">AU40-SUM(AU21:AU38)</f>
        <v>0</v>
      </c>
      <c r="AV20" s="69">
        <f ca="1">AV40-SUM(AV21:AV38)</f>
        <v>0</v>
      </c>
      <c r="AW20" s="17">
        <f ca="1">AW39-SUM(AW21:AW38)</f>
        <v>0</v>
      </c>
      <c r="AX20" s="17">
        <f ca="1">_xll.DBRW("canaf:YLD_Components",$B$1,$B$2,$E$1,$F$7,$I$1,$I$2,$AW$9,$I$3,$I$4,$A20)</f>
        <v>0</v>
      </c>
      <c r="AY20" s="18"/>
    </row>
    <row r="21" spans="1:51">
      <c r="A21" s="62" t="s">
        <v>56</v>
      </c>
      <c r="B21" s="15" t="s">
        <v>56</v>
      </c>
      <c r="C21" s="69">
        <f ca="1">_xll.DBRW("canaf:YLD_Components",$B$1,$B$2,$E$1,$F$6,$I$1,$I$2,$E$9,$I$3,$I$4,$A21)</f>
        <v>8675517.0600000005</v>
      </c>
      <c r="D21" s="69">
        <f ca="1">_xll.DBRW("canaf:YLD_Components",$B$1,$B$2,$E$1,$F$2,$I$1,$I$2,$E$9,$I$3,$I$4,$A21)</f>
        <v>108285.12999999999</v>
      </c>
      <c r="E21" s="16">
        <f ca="1">IFERROR((D21/$D$40)*$D$39,0)</f>
        <v>7.9791784090462968E-3</v>
      </c>
      <c r="F21" s="16">
        <f ca="1">_xll.DBRW("canaf:YLD_Components",$B$1,$B$2,$E$1,$F$7,$I$1,$I$2,$E$9,$I$3,$I$4,$A21)</f>
        <v>0.69565000033028379</v>
      </c>
      <c r="G21" s="87">
        <f ca="1">_xll.DBRW("canaf:YLD_Components",$B$1,$B$2,$E$1,$F$6,$I$1,$I$2,$I$9,$I$3,$I$4,$A21)</f>
        <v>8447464.5899999999</v>
      </c>
      <c r="H21" s="69">
        <f ca="1">_xll.DBRW("canaf:YLD_Components",$B$1,$B$2,$E$1,$F$2,$I$1,$I$2,$I$9,$I$3,$I$4,$A21)</f>
        <v>-150790.01999999999</v>
      </c>
      <c r="I21" s="17">
        <f ca="1">IFERROR((H21/$H$40)*$H$39,0)</f>
        <v>-1.2418762204018599E-2</v>
      </c>
      <c r="J21" s="17">
        <f ca="1">_xll.DBRW("canaf:YLD_Components",$B$1,$B$2,$E$1,$F$7,$I$1,$I$2,$I$9,$I$3,$I$4,$A21)</f>
        <v>0.68428312703372218</v>
      </c>
      <c r="K21" s="69">
        <f ca="1">_xll.DBRW("canaf:YLD_Components",$B$1,$B$2,$E$1,$F$6,$I$1,$I$2,$M$9,$I$3,$I$4,$A21)</f>
        <v>7986909.8200000003</v>
      </c>
      <c r="L21" s="69">
        <f ca="1">_xll.DBRW("canaf:YLD_Components",$B$1,$B$2,$E$1,$F$2,$I$1,$I$2,$M$9,$I$3,$I$4,$A21)</f>
        <v>111362.91</v>
      </c>
      <c r="M21" s="16">
        <f ca="1">IFERROR((L21/$L$40)*$L$39,0)</f>
        <v>9.8436258448875869E-3</v>
      </c>
      <c r="N21" s="16">
        <f ca="1">_xll.DBRW("canaf:YLD_Components",$B$1,$B$2,$E$1,$F$7,$I$1,$I$2,$M$9,$I$3,$I$4,$A21)</f>
        <v>0.68294640009650598</v>
      </c>
      <c r="O21" s="87">
        <f ca="1">_xll.DBRW("canaf:YLD_Components",$B$1,$B$2,$E$1,$F$6,$I$1,$I$2,$Q$9,$I$3,$I$4,$A21)</f>
        <v>8036319.7799999993</v>
      </c>
      <c r="P21" s="69">
        <f ca="1">_xll.DBRW("canaf:YLD_Components",$B$1,$B$2,$E$1,$F$2,$I$1,$I$2,$Q$9,$I$3,$I$4,$A21)</f>
        <v>-1911.0200000000002</v>
      </c>
      <c r="Q21" s="17">
        <f ca="1">IFERROR((P21/$P$40)*$P$39,0)</f>
        <v>-1.6987391692930155E-4</v>
      </c>
      <c r="R21" s="17">
        <f ca="1">_xll.DBRW("canaf:YLD_Components",$B$1,$B$2,$E$1,$F$7,$I$1,$I$2,$Q$9,$I$3,$I$4,$A21)</f>
        <v>0.70140443553394838</v>
      </c>
      <c r="S21" s="69">
        <f ca="1">_xll.DBRW("canaf:YLD_Components",$B$1,$B$2,$E$1,$F$6,$I$1,$I$2,$U$9,$I$3,$I$4,$A21)</f>
        <v>7949946.7599999998</v>
      </c>
      <c r="T21" s="69">
        <f ca="1">_xll.DBRW("canaf:YLD_Components",$B$1,$B$2,$E$1,$F$2,$I$1,$I$2,$U$9,$I$3,$I$4,$A21)</f>
        <v>60786.66</v>
      </c>
      <c r="U21" s="16">
        <f ca="1">IFERROR((T21/$T$40)*$T$39,0)</f>
        <v>5.3709345979484078E-3</v>
      </c>
      <c r="V21" s="16">
        <f ca="1">_xll.DBRW("canaf:YLD_Components",$B$1,$B$2,$E$1,$F$7,$I$1,$I$2,$U$9,$I$3,$I$4,$A21)</f>
        <v>0.69041888185140354</v>
      </c>
      <c r="W21" s="87">
        <f ca="1">_xll.DBRW("canaf:YLD_Components",$B$1,$B$2,$E$1,$F$6,$I$1,$I$2,$Y$9,$I$3,$I$4,$A21)</f>
        <v>7994511.8700000001</v>
      </c>
      <c r="X21" s="69">
        <f ca="1">_xll.DBRW("canaf:YLD_Components",$B$1,$B$2,$E$1,$F$2,$I$1,$I$2,$Y$9,$I$3,$I$4,$A21)</f>
        <v>5373.5000000000009</v>
      </c>
      <c r="Y21" s="17">
        <f ca="1">IFERROR((X21/$X$40)*$X$39,0)</f>
        <v>4.7341957137363221E-4</v>
      </c>
      <c r="Z21" s="17">
        <f ca="1">_xll.DBRW("canaf:YLD_Components",$B$1,$B$2,$E$1,$F$7,$I$1,$I$2,$Y$9,$I$3,$I$4,$A21)</f>
        <v>0.69118930845324589</v>
      </c>
      <c r="AA21" s="69">
        <f ca="1">_xll.DBRW("canaf:YLD_Components",$B$1,$B$2,$E$1,$F$6,$I$1,$I$2,$AC$9,$I$3,$I$4,$A21)</f>
        <v>0</v>
      </c>
      <c r="AB21" s="69">
        <f ca="1">_xll.DBRW("canaf:YLD_Components",$B$1,$B$2,$E$1,$F$2,$I$1,$I$2,$AC$9,$I$3,$I$4,$A21)</f>
        <v>0</v>
      </c>
      <c r="AC21" s="16">
        <f ca="1">IFERROR((AB21/$AB$40)*$AB$39,0)</f>
        <v>0</v>
      </c>
      <c r="AD21" s="16">
        <f ca="1">_xll.DBRW("canaf:YLD_Components",$B$1,$B$2,$E$1,$F$7,$I$1,$I$2,$AC$9,$I$3,$I$4,$A21)</f>
        <v>0</v>
      </c>
      <c r="AE21" s="87">
        <f ca="1">_xll.DBRW("canaf:YLD_Components",$B$1,$B$2,$E$1,$F$6,$I$1,$I$2,$AG$9,$I$3,$I$4,$A21)</f>
        <v>0</v>
      </c>
      <c r="AF21" s="69">
        <f ca="1">_xll.DBRW("canaf:YLD_Components",$B$1,$B$2,$E$1,$F$2,$I$1,$I$2,$AG$9,$I$3,$I$4,$A21)</f>
        <v>0</v>
      </c>
      <c r="AG21" s="17">
        <f ca="1">IFERROR((AF21/$AF$40)*$AF$39,0)</f>
        <v>0</v>
      </c>
      <c r="AH21" s="17">
        <f ca="1">_xll.DBRW("canaf:YLD_Components",$B$1,$B$2,$E$1,$F$7,$I$1,$I$2,$AG$9,$I$3,$I$4,$A21)</f>
        <v>0</v>
      </c>
      <c r="AI21" s="69">
        <f ca="1">_xll.DBRW("canaf:YLD_Components",$B$1,$B$2,$E$1,$F$6,$I$1,$I$2,$AK$9,$I$3,$I$4,$A21)</f>
        <v>0</v>
      </c>
      <c r="AJ21" s="69">
        <f ca="1">_xll.DBRW("canaf:YLD_Components",$B$1,$B$2,$E$1,$F$2,$I$1,$I$2,$AK$9,$I$3,$I$4,$A21)</f>
        <v>0</v>
      </c>
      <c r="AK21" s="16">
        <f ca="1">IFERROR((AJ21/$AJ$40)*$AJ$39,0)</f>
        <v>0</v>
      </c>
      <c r="AL21" s="16">
        <f ca="1">_xll.DBRW("canaf:YLD_Components",$B$1,$B$2,$E$1,$F$7,$I$1,$I$2,$AK$9,$I$3,$I$4,$A21)</f>
        <v>0</v>
      </c>
      <c r="AM21" s="87">
        <f ca="1">_xll.DBRW("canaf:YLD_Components",$B$1,$B$2,$E$1,$F$6,$I$1,$I$2,$AO$9,$I$3,$I$4,$A21)</f>
        <v>0</v>
      </c>
      <c r="AN21" s="69">
        <f ca="1">_xll.DBRW("canaf:YLD_Components",$B$1,$B$2,$E$1,$F$2,$I$1,$I$2,$AO$9,$I$3,$I$4,$A21)</f>
        <v>0</v>
      </c>
      <c r="AO21" s="17">
        <f ca="1">IFERROR((AN21/$AN$40)*$AN$39,0)</f>
        <v>0</v>
      </c>
      <c r="AP21" s="17">
        <f ca="1">_xll.DBRW("canaf:YLD_Components",$B$1,$B$2,$E$1,$F$7,$I$1,$I$2,$AO$9,$I$3,$I$4,$A21)</f>
        <v>0</v>
      </c>
      <c r="AQ21" s="69">
        <f ca="1">_xll.DBRW("canaf:YLD_Components",$B$1,$B$2,$E$1,$F$6,$I$1,$I$2,$AS$9,$I$3,$I$4,$A21)</f>
        <v>0</v>
      </c>
      <c r="AR21" s="69">
        <f ca="1">_xll.DBRW("canaf:YLD_Components",$B$1,$B$2,$E$1,$F$2,$I$1,$I$2,$AS$9,$I$3,$I$4,$A21)</f>
        <v>0</v>
      </c>
      <c r="AS21" s="16">
        <f ca="1">IFERROR((AR21/$AR$40)*$AR$39,0)</f>
        <v>0</v>
      </c>
      <c r="AT21" s="16">
        <f ca="1">_xll.DBRW("canaf:YLD_Components",$B$1,$B$2,$E$1,$F$7,$I$1,$I$2,$AS$9,$I$3,$I$4,$A21)</f>
        <v>0</v>
      </c>
      <c r="AU21" s="87">
        <f ca="1">_xll.DBRW("canaf:YLD_Components",$B$1,$B$2,$E$1,$F$6,$I$1,$I$2,$AW$9,$I$3,$I$4,$A21)</f>
        <v>0</v>
      </c>
      <c r="AV21" s="69">
        <f ca="1">_xll.DBRW("canaf:YLD_Components",$B$1,$B$2,$E$1,$F$2,$I$1,$I$2,$AW$9,$I$3,$I$4,$A21)</f>
        <v>0</v>
      </c>
      <c r="AW21" s="17">
        <f ca="1">IFERROR((AV21/$AV$40)*$AV$39,0)</f>
        <v>0</v>
      </c>
      <c r="AX21" s="17">
        <f ca="1">_xll.DBRW("canaf:YLD_Components",$B$1,$B$2,$E$1,$F$7,$I$1,$I$2,$AW$9,$I$3,$I$4,$A21)</f>
        <v>0</v>
      </c>
      <c r="AY21" s="18"/>
    </row>
    <row r="22" spans="1:51">
      <c r="A22" s="62" t="s">
        <v>5</v>
      </c>
      <c r="B22" s="19" t="s">
        <v>5</v>
      </c>
      <c r="C22" s="69">
        <f ca="1">_xll.DBRW("canaf:YLD_Components",$B$1,$B$2,$E$1,$F$6,$I$1,$I$2,$E$9,$I$3,$I$4,$A22)</f>
        <v>0</v>
      </c>
      <c r="D22" s="69">
        <f ca="1">_xll.DBRW("canaf:YLD_Components",$B$1,$B$2,$E$1,$F$2,$I$1,$I$2,$E$9,$I$3,$I$4,$A22)</f>
        <v>0</v>
      </c>
      <c r="E22" s="16">
        <f t="shared" ref="E22:E38" ca="1" si="0">IFERROR((D22/$D$40)*$D$39,0)</f>
        <v>0</v>
      </c>
      <c r="F22" s="16">
        <f ca="1">_xll.DBRW("canaf:YLD_Components",$B$1,$B$2,$E$1,$F$7,$I$1,$I$2,$E$9,$I$3,$I$4,$A22)</f>
        <v>0</v>
      </c>
      <c r="G22" s="87">
        <f ca="1">_xll.DBRW("canaf:YLD_Components",$B$1,$B$2,$E$1,$F$6,$I$1,$I$2,$I$9,$I$3,$I$4,$A22)</f>
        <v>0</v>
      </c>
      <c r="H22" s="69">
        <f ca="1">_xll.DBRW("canaf:YLD_Components",$B$1,$B$2,$E$1,$F$2,$I$1,$I$2,$I$9,$I$3,$I$4,$A22)</f>
        <v>0</v>
      </c>
      <c r="I22" s="17">
        <f t="shared" ref="I22:I38" ca="1" si="1">IFERROR((H22/$H$40)*$H$39,0)</f>
        <v>0</v>
      </c>
      <c r="J22" s="17">
        <f ca="1">_xll.DBRW("canaf:YLD_Components",$B$1,$B$2,$E$1,$F$7,$I$1,$I$2,$I$9,$I$3,$I$4,$A22)</f>
        <v>0</v>
      </c>
      <c r="K22" s="69">
        <f ca="1">_xll.DBRW("canaf:YLD_Components",$B$1,$B$2,$E$1,$F$6,$I$1,$I$2,$M$9,$I$3,$I$4,$A22)</f>
        <v>0</v>
      </c>
      <c r="L22" s="69">
        <f ca="1">_xll.DBRW("canaf:YLD_Components",$B$1,$B$2,$E$1,$F$2,$I$1,$I$2,$M$9,$I$3,$I$4,$A22)</f>
        <v>0</v>
      </c>
      <c r="M22" s="16">
        <f t="shared" ref="M22:M38" ca="1" si="2">IFERROR((L22/$L$40)*$L$39,0)</f>
        <v>0</v>
      </c>
      <c r="N22" s="16">
        <f ca="1">_xll.DBRW("canaf:YLD_Components",$B$1,$B$2,$E$1,$F$7,$I$1,$I$2,$M$9,$I$3,$I$4,$A22)</f>
        <v>0</v>
      </c>
      <c r="O22" s="87">
        <f ca="1">_xll.DBRW("canaf:YLD_Components",$B$1,$B$2,$E$1,$F$6,$I$1,$I$2,$Q$9,$I$3,$I$4,$A22)</f>
        <v>0</v>
      </c>
      <c r="P22" s="69">
        <f ca="1">_xll.DBRW("canaf:YLD_Components",$B$1,$B$2,$E$1,$F$2,$I$1,$I$2,$Q$9,$I$3,$I$4,$A22)</f>
        <v>0</v>
      </c>
      <c r="Q22" s="17">
        <f t="shared" ref="Q22:Q38" ca="1" si="3">IFERROR((P22/$P$40)*$P$39,0)</f>
        <v>0</v>
      </c>
      <c r="R22" s="17">
        <f ca="1">_xll.DBRW("canaf:YLD_Components",$B$1,$B$2,$E$1,$F$7,$I$1,$I$2,$Q$9,$I$3,$I$4,$A22)</f>
        <v>0</v>
      </c>
      <c r="S22" s="69">
        <f ca="1">_xll.DBRW("canaf:YLD_Components",$B$1,$B$2,$E$1,$F$6,$I$1,$I$2,$U$9,$I$3,$I$4,$A22)</f>
        <v>0</v>
      </c>
      <c r="T22" s="69">
        <f ca="1">_xll.DBRW("canaf:YLD_Components",$B$1,$B$2,$E$1,$F$2,$I$1,$I$2,$U$9,$I$3,$I$4,$A22)</f>
        <v>0</v>
      </c>
      <c r="U22" s="16">
        <f t="shared" ref="U22:U38" ca="1" si="4">IFERROR((T22/$T$40)*$T$39,0)</f>
        <v>0</v>
      </c>
      <c r="V22" s="16">
        <f ca="1">_xll.DBRW("canaf:YLD_Components",$B$1,$B$2,$E$1,$F$7,$I$1,$I$2,$U$9,$I$3,$I$4,$A22)</f>
        <v>0</v>
      </c>
      <c r="W22" s="87">
        <f ca="1">_xll.DBRW("canaf:YLD_Components",$B$1,$B$2,$E$1,$F$6,$I$1,$I$2,$Y$9,$I$3,$I$4,$A22)</f>
        <v>0</v>
      </c>
      <c r="X22" s="69">
        <f ca="1">_xll.DBRW("canaf:YLD_Components",$B$1,$B$2,$E$1,$F$2,$I$1,$I$2,$Y$9,$I$3,$I$4,$A22)</f>
        <v>0</v>
      </c>
      <c r="Y22" s="17">
        <f t="shared" ref="Y22:Y38" ca="1" si="5">IFERROR((X22/$X$40)*$X$39,0)</f>
        <v>0</v>
      </c>
      <c r="Z22" s="17">
        <f ca="1">_xll.DBRW("canaf:YLD_Components",$B$1,$B$2,$E$1,$F$7,$I$1,$I$2,$Y$9,$I$3,$I$4,$A22)</f>
        <v>0</v>
      </c>
      <c r="AA22" s="69">
        <f ca="1">_xll.DBRW("canaf:YLD_Components",$B$1,$B$2,$E$1,$F$6,$I$1,$I$2,$AC$9,$I$3,$I$4,$A22)</f>
        <v>0</v>
      </c>
      <c r="AB22" s="69">
        <f ca="1">_xll.DBRW("canaf:YLD_Components",$B$1,$B$2,$E$1,$F$2,$I$1,$I$2,$AC$9,$I$3,$I$4,$A22)</f>
        <v>0</v>
      </c>
      <c r="AC22" s="16">
        <f t="shared" ref="AC22:AC38" ca="1" si="6">IFERROR((AB22/$AB$40)*$AB$39,0)</f>
        <v>0</v>
      </c>
      <c r="AD22" s="16">
        <f ca="1">_xll.DBRW("canaf:YLD_Components",$B$1,$B$2,$E$1,$F$7,$I$1,$I$2,$AC$9,$I$3,$I$4,$A22)</f>
        <v>0</v>
      </c>
      <c r="AE22" s="87">
        <f ca="1">_xll.DBRW("canaf:YLD_Components",$B$1,$B$2,$E$1,$F$6,$I$1,$I$2,$AG$9,$I$3,$I$4,$A22)</f>
        <v>0</v>
      </c>
      <c r="AF22" s="69">
        <f ca="1">_xll.DBRW("canaf:YLD_Components",$B$1,$B$2,$E$1,$F$2,$I$1,$I$2,$AG$9,$I$3,$I$4,$A22)</f>
        <v>0</v>
      </c>
      <c r="AG22" s="17">
        <f t="shared" ref="AG22:AG38" ca="1" si="7">IFERROR((AF22/$AF$40)*$AF$39,0)</f>
        <v>0</v>
      </c>
      <c r="AH22" s="17">
        <f ca="1">_xll.DBRW("canaf:YLD_Components",$B$1,$B$2,$E$1,$F$7,$I$1,$I$2,$AG$9,$I$3,$I$4,$A22)</f>
        <v>0</v>
      </c>
      <c r="AI22" s="69">
        <f ca="1">_xll.DBRW("canaf:YLD_Components",$B$1,$B$2,$E$1,$F$6,$I$1,$I$2,$AK$9,$I$3,$I$4,$A22)</f>
        <v>0</v>
      </c>
      <c r="AJ22" s="69">
        <f ca="1">_xll.DBRW("canaf:YLD_Components",$B$1,$B$2,$E$1,$F$2,$I$1,$I$2,$AK$9,$I$3,$I$4,$A22)</f>
        <v>0</v>
      </c>
      <c r="AK22" s="16">
        <f t="shared" ref="AK22:AK38" ca="1" si="8">IFERROR((AJ22/$AJ$40)*$AJ$39,0)</f>
        <v>0</v>
      </c>
      <c r="AL22" s="16">
        <f ca="1">_xll.DBRW("canaf:YLD_Components",$B$1,$B$2,$E$1,$F$7,$I$1,$I$2,$AK$9,$I$3,$I$4,$A22)</f>
        <v>0</v>
      </c>
      <c r="AM22" s="87">
        <f ca="1">_xll.DBRW("canaf:YLD_Components",$B$1,$B$2,$E$1,$F$6,$I$1,$I$2,$AO$9,$I$3,$I$4,$A22)</f>
        <v>0</v>
      </c>
      <c r="AN22" s="69">
        <f ca="1">_xll.DBRW("canaf:YLD_Components",$B$1,$B$2,$E$1,$F$2,$I$1,$I$2,$AO$9,$I$3,$I$4,$A22)</f>
        <v>0</v>
      </c>
      <c r="AO22" s="17">
        <f t="shared" ref="AO22:AO38" ca="1" si="9">IFERROR((AN22/$AN$40)*$AN$39,0)</f>
        <v>0</v>
      </c>
      <c r="AP22" s="17">
        <f ca="1">_xll.DBRW("canaf:YLD_Components",$B$1,$B$2,$E$1,$F$7,$I$1,$I$2,$AO$9,$I$3,$I$4,$A22)</f>
        <v>0</v>
      </c>
      <c r="AQ22" s="69">
        <f ca="1">_xll.DBRW("canaf:YLD_Components",$B$1,$B$2,$E$1,$F$6,$I$1,$I$2,$AS$9,$I$3,$I$4,$A22)</f>
        <v>0</v>
      </c>
      <c r="AR22" s="69">
        <f ca="1">_xll.DBRW("canaf:YLD_Components",$B$1,$B$2,$E$1,$F$2,$I$1,$I$2,$AS$9,$I$3,$I$4,$A22)</f>
        <v>0</v>
      </c>
      <c r="AS22" s="16">
        <f t="shared" ref="AS22:AS38" ca="1" si="10">IFERROR((AR22/$AR$40)*$AR$39,0)</f>
        <v>0</v>
      </c>
      <c r="AT22" s="16">
        <f ca="1">_xll.DBRW("canaf:YLD_Components",$B$1,$B$2,$E$1,$F$7,$I$1,$I$2,$AS$9,$I$3,$I$4,$A22)</f>
        <v>0</v>
      </c>
      <c r="AU22" s="87">
        <f ca="1">_xll.DBRW("canaf:YLD_Components",$B$1,$B$2,$E$1,$F$6,$I$1,$I$2,$AW$9,$I$3,$I$4,$A22)</f>
        <v>0</v>
      </c>
      <c r="AV22" s="69">
        <f ca="1">_xll.DBRW("canaf:YLD_Components",$B$1,$B$2,$E$1,$F$2,$I$1,$I$2,$AW$9,$I$3,$I$4,$A22)</f>
        <v>0</v>
      </c>
      <c r="AW22" s="17">
        <f t="shared" ref="AW22:AW38" ca="1" si="11">IFERROR((AV22/$AV$40)*$AV$39,0)</f>
        <v>0</v>
      </c>
      <c r="AX22" s="17">
        <f ca="1">_xll.DBRW("canaf:YLD_Components",$B$1,$B$2,$E$1,$F$7,$I$1,$I$2,$AW$9,$I$3,$I$4,$A22)</f>
        <v>0</v>
      </c>
      <c r="AY22" s="18"/>
    </row>
    <row r="23" spans="1:51">
      <c r="A23" s="62" t="s">
        <v>6</v>
      </c>
      <c r="B23" s="19" t="s">
        <v>6</v>
      </c>
      <c r="C23" s="69">
        <f ca="1">_xll.DBRW("canaf:YLD_Components",$B$1,$B$2,$E$1,$F$6,$I$1,$I$2,$E$9,$I$3,$I$4,$A23)</f>
        <v>0</v>
      </c>
      <c r="D23" s="69">
        <f ca="1">_xll.DBRW("canaf:YLD_Components",$B$1,$B$2,$E$1,$F$2,$I$1,$I$2,$E$9,$I$3,$I$4,$A23)</f>
        <v>0</v>
      </c>
      <c r="E23" s="16">
        <f t="shared" ca="1" si="0"/>
        <v>0</v>
      </c>
      <c r="F23" s="16">
        <f ca="1">_xll.DBRW("canaf:YLD_Components",$B$1,$B$2,$E$1,$F$7,$I$1,$I$2,$E$9,$I$3,$I$4,$A23)</f>
        <v>0</v>
      </c>
      <c r="G23" s="87">
        <f ca="1">_xll.DBRW("canaf:YLD_Components",$B$1,$B$2,$E$1,$F$6,$I$1,$I$2,$I$9,$I$3,$I$4,$A23)</f>
        <v>0</v>
      </c>
      <c r="H23" s="69">
        <f ca="1">_xll.DBRW("canaf:YLD_Components",$B$1,$B$2,$E$1,$F$2,$I$1,$I$2,$I$9,$I$3,$I$4,$A23)</f>
        <v>0</v>
      </c>
      <c r="I23" s="17">
        <f t="shared" ca="1" si="1"/>
        <v>0</v>
      </c>
      <c r="J23" s="17">
        <f ca="1">_xll.DBRW("canaf:YLD_Components",$B$1,$B$2,$E$1,$F$7,$I$1,$I$2,$I$9,$I$3,$I$4,$A23)</f>
        <v>0</v>
      </c>
      <c r="K23" s="69">
        <f ca="1">_xll.DBRW("canaf:YLD_Components",$B$1,$B$2,$E$1,$F$6,$I$1,$I$2,$M$9,$I$3,$I$4,$A23)</f>
        <v>0</v>
      </c>
      <c r="L23" s="69">
        <f ca="1">_xll.DBRW("canaf:YLD_Components",$B$1,$B$2,$E$1,$F$2,$I$1,$I$2,$M$9,$I$3,$I$4,$A23)</f>
        <v>0</v>
      </c>
      <c r="M23" s="16">
        <f t="shared" ca="1" si="2"/>
        <v>0</v>
      </c>
      <c r="N23" s="16">
        <f ca="1">_xll.DBRW("canaf:YLD_Components",$B$1,$B$2,$E$1,$F$7,$I$1,$I$2,$M$9,$I$3,$I$4,$A23)</f>
        <v>0</v>
      </c>
      <c r="O23" s="87">
        <f ca="1">_xll.DBRW("canaf:YLD_Components",$B$1,$B$2,$E$1,$F$6,$I$1,$I$2,$Q$9,$I$3,$I$4,$A23)</f>
        <v>0</v>
      </c>
      <c r="P23" s="69">
        <f ca="1">_xll.DBRW("canaf:YLD_Components",$B$1,$B$2,$E$1,$F$2,$I$1,$I$2,$Q$9,$I$3,$I$4,$A23)</f>
        <v>0</v>
      </c>
      <c r="Q23" s="17">
        <f t="shared" ca="1" si="3"/>
        <v>0</v>
      </c>
      <c r="R23" s="17">
        <f ca="1">_xll.DBRW("canaf:YLD_Components",$B$1,$B$2,$E$1,$F$7,$I$1,$I$2,$Q$9,$I$3,$I$4,$A23)</f>
        <v>0</v>
      </c>
      <c r="S23" s="69">
        <f ca="1">_xll.DBRW("canaf:YLD_Components",$B$1,$B$2,$E$1,$F$6,$I$1,$I$2,$U$9,$I$3,$I$4,$A23)</f>
        <v>0</v>
      </c>
      <c r="T23" s="69">
        <f ca="1">_xll.DBRW("canaf:YLD_Components",$B$1,$B$2,$E$1,$F$2,$I$1,$I$2,$U$9,$I$3,$I$4,$A23)</f>
        <v>0</v>
      </c>
      <c r="U23" s="16">
        <f t="shared" ca="1" si="4"/>
        <v>0</v>
      </c>
      <c r="V23" s="16">
        <f ca="1">_xll.DBRW("canaf:YLD_Components",$B$1,$B$2,$E$1,$F$7,$I$1,$I$2,$U$9,$I$3,$I$4,$A23)</f>
        <v>0</v>
      </c>
      <c r="W23" s="87">
        <f ca="1">_xll.DBRW("canaf:YLD_Components",$B$1,$B$2,$E$1,$F$6,$I$1,$I$2,$Y$9,$I$3,$I$4,$A23)</f>
        <v>0</v>
      </c>
      <c r="X23" s="69">
        <f ca="1">_xll.DBRW("canaf:YLD_Components",$B$1,$B$2,$E$1,$F$2,$I$1,$I$2,$Y$9,$I$3,$I$4,$A23)</f>
        <v>0</v>
      </c>
      <c r="Y23" s="17">
        <f t="shared" ca="1" si="5"/>
        <v>0</v>
      </c>
      <c r="Z23" s="17">
        <f ca="1">_xll.DBRW("canaf:YLD_Components",$B$1,$B$2,$E$1,$F$7,$I$1,$I$2,$Y$9,$I$3,$I$4,$A23)</f>
        <v>0</v>
      </c>
      <c r="AA23" s="69">
        <f ca="1">_xll.DBRW("canaf:YLD_Components",$B$1,$B$2,$E$1,$F$6,$I$1,$I$2,$AC$9,$I$3,$I$4,$A23)</f>
        <v>0</v>
      </c>
      <c r="AB23" s="69">
        <f ca="1">_xll.DBRW("canaf:YLD_Components",$B$1,$B$2,$E$1,$F$2,$I$1,$I$2,$AC$9,$I$3,$I$4,$A23)</f>
        <v>0</v>
      </c>
      <c r="AC23" s="16">
        <f t="shared" ca="1" si="6"/>
        <v>0</v>
      </c>
      <c r="AD23" s="16">
        <f ca="1">_xll.DBRW("canaf:YLD_Components",$B$1,$B$2,$E$1,$F$7,$I$1,$I$2,$AC$9,$I$3,$I$4,$A23)</f>
        <v>0</v>
      </c>
      <c r="AE23" s="87">
        <f ca="1">_xll.DBRW("canaf:YLD_Components",$B$1,$B$2,$E$1,$F$6,$I$1,$I$2,$AG$9,$I$3,$I$4,$A23)</f>
        <v>0</v>
      </c>
      <c r="AF23" s="69">
        <f ca="1">_xll.DBRW("canaf:YLD_Components",$B$1,$B$2,$E$1,$F$2,$I$1,$I$2,$AG$9,$I$3,$I$4,$A23)</f>
        <v>0</v>
      </c>
      <c r="AG23" s="17">
        <f t="shared" ca="1" si="7"/>
        <v>0</v>
      </c>
      <c r="AH23" s="17">
        <f ca="1">_xll.DBRW("canaf:YLD_Components",$B$1,$B$2,$E$1,$F$7,$I$1,$I$2,$AG$9,$I$3,$I$4,$A23)</f>
        <v>0</v>
      </c>
      <c r="AI23" s="69">
        <f ca="1">_xll.DBRW("canaf:YLD_Components",$B$1,$B$2,$E$1,$F$6,$I$1,$I$2,$AK$9,$I$3,$I$4,$A23)</f>
        <v>0</v>
      </c>
      <c r="AJ23" s="69">
        <f ca="1">_xll.DBRW("canaf:YLD_Components",$B$1,$B$2,$E$1,$F$2,$I$1,$I$2,$AK$9,$I$3,$I$4,$A23)</f>
        <v>0</v>
      </c>
      <c r="AK23" s="16">
        <f t="shared" ca="1" si="8"/>
        <v>0</v>
      </c>
      <c r="AL23" s="16">
        <f ca="1">_xll.DBRW("canaf:YLD_Components",$B$1,$B$2,$E$1,$F$7,$I$1,$I$2,$AK$9,$I$3,$I$4,$A23)</f>
        <v>0</v>
      </c>
      <c r="AM23" s="87">
        <f ca="1">_xll.DBRW("canaf:YLD_Components",$B$1,$B$2,$E$1,$F$6,$I$1,$I$2,$AO$9,$I$3,$I$4,$A23)</f>
        <v>0</v>
      </c>
      <c r="AN23" s="69">
        <f ca="1">_xll.DBRW("canaf:YLD_Components",$B$1,$B$2,$E$1,$F$2,$I$1,$I$2,$AO$9,$I$3,$I$4,$A23)</f>
        <v>0</v>
      </c>
      <c r="AO23" s="17">
        <f t="shared" ca="1" si="9"/>
        <v>0</v>
      </c>
      <c r="AP23" s="17">
        <f ca="1">_xll.DBRW("canaf:YLD_Components",$B$1,$B$2,$E$1,$F$7,$I$1,$I$2,$AO$9,$I$3,$I$4,$A23)</f>
        <v>0</v>
      </c>
      <c r="AQ23" s="69">
        <f ca="1">_xll.DBRW("canaf:YLD_Components",$B$1,$B$2,$E$1,$F$6,$I$1,$I$2,$AS$9,$I$3,$I$4,$A23)</f>
        <v>0</v>
      </c>
      <c r="AR23" s="69">
        <f ca="1">_xll.DBRW("canaf:YLD_Components",$B$1,$B$2,$E$1,$F$2,$I$1,$I$2,$AS$9,$I$3,$I$4,$A23)</f>
        <v>0</v>
      </c>
      <c r="AS23" s="16">
        <f t="shared" ca="1" si="10"/>
        <v>0</v>
      </c>
      <c r="AT23" s="16">
        <f ca="1">_xll.DBRW("canaf:YLD_Components",$B$1,$B$2,$E$1,$F$7,$I$1,$I$2,$AS$9,$I$3,$I$4,$A23)</f>
        <v>0</v>
      </c>
      <c r="AU23" s="87">
        <f ca="1">_xll.DBRW("canaf:YLD_Components",$B$1,$B$2,$E$1,$F$6,$I$1,$I$2,$AW$9,$I$3,$I$4,$A23)</f>
        <v>0</v>
      </c>
      <c r="AV23" s="69">
        <f ca="1">_xll.DBRW("canaf:YLD_Components",$B$1,$B$2,$E$1,$F$2,$I$1,$I$2,$AW$9,$I$3,$I$4,$A23)</f>
        <v>0</v>
      </c>
      <c r="AW23" s="17">
        <f t="shared" ca="1" si="11"/>
        <v>0</v>
      </c>
      <c r="AX23" s="17">
        <f ca="1">_xll.DBRW("canaf:YLD_Components",$B$1,$B$2,$E$1,$F$7,$I$1,$I$2,$AW$9,$I$3,$I$4,$A23)</f>
        <v>0</v>
      </c>
      <c r="AY23" s="18"/>
    </row>
    <row r="24" spans="1:51">
      <c r="A24" s="62" t="s">
        <v>57</v>
      </c>
      <c r="B24" s="15" t="s">
        <v>7</v>
      </c>
      <c r="C24" s="69">
        <f ca="1">_xll.DBRW("canaf:YLD_Components",$B$1,$B$2,$E$1,$F$6,$I$1,$I$2,$E$9,$I$3,$I$4,$A24)</f>
        <v>0</v>
      </c>
      <c r="D24" s="69">
        <f ca="1">_xll.DBRW("canaf:YLD_Components",$B$1,$B$2,$E$1,$F$2,$I$1,$I$2,$E$9,$I$3,$I$4,$A24)</f>
        <v>0</v>
      </c>
      <c r="E24" s="16">
        <f t="shared" ca="1" si="0"/>
        <v>0</v>
      </c>
      <c r="F24" s="16">
        <f ca="1">_xll.DBRW("canaf:YLD_Components",$B$1,$B$2,$E$1,$F$7,$I$1,$I$2,$E$9,$I$3,$I$4,$A24)</f>
        <v>0</v>
      </c>
      <c r="G24" s="87">
        <f ca="1">_xll.DBRW("canaf:YLD_Components",$B$1,$B$2,$E$1,$F$6,$I$1,$I$2,$I$9,$I$3,$I$4,$A24)</f>
        <v>0</v>
      </c>
      <c r="H24" s="69">
        <f ca="1">_xll.DBRW("canaf:YLD_Components",$B$1,$B$2,$E$1,$F$2,$I$1,$I$2,$I$9,$I$3,$I$4,$A24)</f>
        <v>0</v>
      </c>
      <c r="I24" s="17">
        <f t="shared" ca="1" si="1"/>
        <v>0</v>
      </c>
      <c r="J24" s="17">
        <f ca="1">_xll.DBRW("canaf:YLD_Components",$B$1,$B$2,$E$1,$F$7,$I$1,$I$2,$I$9,$I$3,$I$4,$A24)</f>
        <v>0</v>
      </c>
      <c r="K24" s="69">
        <f ca="1">_xll.DBRW("canaf:YLD_Components",$B$1,$B$2,$E$1,$F$6,$I$1,$I$2,$M$9,$I$3,$I$4,$A24)</f>
        <v>0</v>
      </c>
      <c r="L24" s="69">
        <f ca="1">_xll.DBRW("canaf:YLD_Components",$B$1,$B$2,$E$1,$F$2,$I$1,$I$2,$M$9,$I$3,$I$4,$A24)</f>
        <v>0</v>
      </c>
      <c r="M24" s="16">
        <f t="shared" ca="1" si="2"/>
        <v>0</v>
      </c>
      <c r="N24" s="16">
        <f ca="1">_xll.DBRW("canaf:YLD_Components",$B$1,$B$2,$E$1,$F$7,$I$1,$I$2,$M$9,$I$3,$I$4,$A24)</f>
        <v>0</v>
      </c>
      <c r="O24" s="87">
        <f ca="1">_xll.DBRW("canaf:YLD_Components",$B$1,$B$2,$E$1,$F$6,$I$1,$I$2,$Q$9,$I$3,$I$4,$A24)</f>
        <v>0</v>
      </c>
      <c r="P24" s="69">
        <f ca="1">_xll.DBRW("canaf:YLD_Components",$B$1,$B$2,$E$1,$F$2,$I$1,$I$2,$Q$9,$I$3,$I$4,$A24)</f>
        <v>0</v>
      </c>
      <c r="Q24" s="17">
        <f t="shared" ca="1" si="3"/>
        <v>0</v>
      </c>
      <c r="R24" s="17">
        <f ca="1">_xll.DBRW("canaf:YLD_Components",$B$1,$B$2,$E$1,$F$7,$I$1,$I$2,$Q$9,$I$3,$I$4,$A24)</f>
        <v>0</v>
      </c>
      <c r="S24" s="69">
        <f ca="1">_xll.DBRW("canaf:YLD_Components",$B$1,$B$2,$E$1,$F$6,$I$1,$I$2,$U$9,$I$3,$I$4,$A24)</f>
        <v>0</v>
      </c>
      <c r="T24" s="69">
        <f ca="1">_xll.DBRW("canaf:YLD_Components",$B$1,$B$2,$E$1,$F$2,$I$1,$I$2,$U$9,$I$3,$I$4,$A24)</f>
        <v>0</v>
      </c>
      <c r="U24" s="16">
        <f t="shared" ca="1" si="4"/>
        <v>0</v>
      </c>
      <c r="V24" s="16">
        <f ca="1">_xll.DBRW("canaf:YLD_Components",$B$1,$B$2,$E$1,$F$7,$I$1,$I$2,$U$9,$I$3,$I$4,$A24)</f>
        <v>0</v>
      </c>
      <c r="W24" s="87">
        <f ca="1">_xll.DBRW("canaf:YLD_Components",$B$1,$B$2,$E$1,$F$6,$I$1,$I$2,$Y$9,$I$3,$I$4,$A24)</f>
        <v>0</v>
      </c>
      <c r="X24" s="69">
        <f ca="1">_xll.DBRW("canaf:YLD_Components",$B$1,$B$2,$E$1,$F$2,$I$1,$I$2,$Y$9,$I$3,$I$4,$A24)</f>
        <v>0</v>
      </c>
      <c r="Y24" s="17">
        <f t="shared" ca="1" si="5"/>
        <v>0</v>
      </c>
      <c r="Z24" s="17">
        <f ca="1">_xll.DBRW("canaf:YLD_Components",$B$1,$B$2,$E$1,$F$7,$I$1,$I$2,$Y$9,$I$3,$I$4,$A24)</f>
        <v>0</v>
      </c>
      <c r="AA24" s="69">
        <f ca="1">_xll.DBRW("canaf:YLD_Components",$B$1,$B$2,$E$1,$F$6,$I$1,$I$2,$AC$9,$I$3,$I$4,$A24)</f>
        <v>0</v>
      </c>
      <c r="AB24" s="69">
        <f ca="1">_xll.DBRW("canaf:YLD_Components",$B$1,$B$2,$E$1,$F$2,$I$1,$I$2,$AC$9,$I$3,$I$4,$A24)</f>
        <v>0</v>
      </c>
      <c r="AC24" s="16">
        <f t="shared" ca="1" si="6"/>
        <v>0</v>
      </c>
      <c r="AD24" s="16">
        <f ca="1">_xll.DBRW("canaf:YLD_Components",$B$1,$B$2,$E$1,$F$7,$I$1,$I$2,$AC$9,$I$3,$I$4,$A24)</f>
        <v>0</v>
      </c>
      <c r="AE24" s="87">
        <f ca="1">_xll.DBRW("canaf:YLD_Components",$B$1,$B$2,$E$1,$F$6,$I$1,$I$2,$AG$9,$I$3,$I$4,$A24)</f>
        <v>0</v>
      </c>
      <c r="AF24" s="69">
        <f ca="1">_xll.DBRW("canaf:YLD_Components",$B$1,$B$2,$E$1,$F$2,$I$1,$I$2,$AG$9,$I$3,$I$4,$A24)</f>
        <v>0</v>
      </c>
      <c r="AG24" s="17">
        <f t="shared" ca="1" si="7"/>
        <v>0</v>
      </c>
      <c r="AH24" s="17">
        <f ca="1">_xll.DBRW("canaf:YLD_Components",$B$1,$B$2,$E$1,$F$7,$I$1,$I$2,$AG$9,$I$3,$I$4,$A24)</f>
        <v>0</v>
      </c>
      <c r="AI24" s="69">
        <f ca="1">_xll.DBRW("canaf:YLD_Components",$B$1,$B$2,$E$1,$F$6,$I$1,$I$2,$AK$9,$I$3,$I$4,$A24)</f>
        <v>0</v>
      </c>
      <c r="AJ24" s="69">
        <f ca="1">_xll.DBRW("canaf:YLD_Components",$B$1,$B$2,$E$1,$F$2,$I$1,$I$2,$AK$9,$I$3,$I$4,$A24)</f>
        <v>0</v>
      </c>
      <c r="AK24" s="16">
        <f t="shared" ca="1" si="8"/>
        <v>0</v>
      </c>
      <c r="AL24" s="16">
        <f ca="1">_xll.DBRW("canaf:YLD_Components",$B$1,$B$2,$E$1,$F$7,$I$1,$I$2,$AK$9,$I$3,$I$4,$A24)</f>
        <v>0</v>
      </c>
      <c r="AM24" s="87">
        <f ca="1">_xll.DBRW("canaf:YLD_Components",$B$1,$B$2,$E$1,$F$6,$I$1,$I$2,$AO$9,$I$3,$I$4,$A24)</f>
        <v>0</v>
      </c>
      <c r="AN24" s="69">
        <f ca="1">_xll.DBRW("canaf:YLD_Components",$B$1,$B$2,$E$1,$F$2,$I$1,$I$2,$AO$9,$I$3,$I$4,$A24)</f>
        <v>0</v>
      </c>
      <c r="AO24" s="17">
        <f t="shared" ca="1" si="9"/>
        <v>0</v>
      </c>
      <c r="AP24" s="17">
        <f ca="1">_xll.DBRW("canaf:YLD_Components",$B$1,$B$2,$E$1,$F$7,$I$1,$I$2,$AO$9,$I$3,$I$4,$A24)</f>
        <v>0</v>
      </c>
      <c r="AQ24" s="69">
        <f ca="1">_xll.DBRW("canaf:YLD_Components",$B$1,$B$2,$E$1,$F$6,$I$1,$I$2,$AS$9,$I$3,$I$4,$A24)</f>
        <v>0</v>
      </c>
      <c r="AR24" s="69">
        <f ca="1">_xll.DBRW("canaf:YLD_Components",$B$1,$B$2,$E$1,$F$2,$I$1,$I$2,$AS$9,$I$3,$I$4,$A24)</f>
        <v>0</v>
      </c>
      <c r="AS24" s="16">
        <f t="shared" ca="1" si="10"/>
        <v>0</v>
      </c>
      <c r="AT24" s="16">
        <f ca="1">_xll.DBRW("canaf:YLD_Components",$B$1,$B$2,$E$1,$F$7,$I$1,$I$2,$AS$9,$I$3,$I$4,$A24)</f>
        <v>0</v>
      </c>
      <c r="AU24" s="87">
        <f ca="1">_xll.DBRW("canaf:YLD_Components",$B$1,$B$2,$E$1,$F$6,$I$1,$I$2,$AW$9,$I$3,$I$4,$A24)</f>
        <v>0</v>
      </c>
      <c r="AV24" s="69">
        <f ca="1">_xll.DBRW("canaf:YLD_Components",$B$1,$B$2,$E$1,$F$2,$I$1,$I$2,$AW$9,$I$3,$I$4,$A24)</f>
        <v>0</v>
      </c>
      <c r="AW24" s="17">
        <f t="shared" ca="1" si="11"/>
        <v>0</v>
      </c>
      <c r="AX24" s="17">
        <f ca="1">_xll.DBRW("canaf:YLD_Components",$B$1,$B$2,$E$1,$F$7,$I$1,$I$2,$AW$9,$I$3,$I$4,$A24)</f>
        <v>0</v>
      </c>
      <c r="AY24" s="18"/>
    </row>
    <row r="25" spans="1:51">
      <c r="A25" s="62" t="s">
        <v>58</v>
      </c>
      <c r="B25" s="15" t="s">
        <v>8</v>
      </c>
      <c r="C25" s="69">
        <f ca="1">_xll.DBRW("canaf:YLD_Components",$B$1,$B$2,$E$1,$F$6,$I$1,$I$2,$E$9,$I$3,$I$4,$A25)</f>
        <v>0</v>
      </c>
      <c r="D25" s="69">
        <f ca="1">_xll.DBRW("canaf:YLD_Components",$B$1,$B$2,$E$1,$F$2,$I$1,$I$2,$E$9,$I$3,$I$4,$A25)</f>
        <v>0</v>
      </c>
      <c r="E25" s="16">
        <f t="shared" ca="1" si="0"/>
        <v>0</v>
      </c>
      <c r="F25" s="16">
        <f ca="1">_xll.DBRW("canaf:YLD_Components",$B$1,$B$2,$E$1,$F$7,$I$1,$I$2,$E$9,$I$3,$I$4,$A25)</f>
        <v>0</v>
      </c>
      <c r="G25" s="87">
        <f ca="1">_xll.DBRW("canaf:YLD_Components",$B$1,$B$2,$E$1,$F$6,$I$1,$I$2,$I$9,$I$3,$I$4,$A25)</f>
        <v>0</v>
      </c>
      <c r="H25" s="69">
        <f ca="1">_xll.DBRW("canaf:YLD_Components",$B$1,$B$2,$E$1,$F$2,$I$1,$I$2,$I$9,$I$3,$I$4,$A25)</f>
        <v>0</v>
      </c>
      <c r="I25" s="17">
        <f t="shared" ca="1" si="1"/>
        <v>0</v>
      </c>
      <c r="J25" s="17">
        <f ca="1">_xll.DBRW("canaf:YLD_Components",$B$1,$B$2,$E$1,$F$7,$I$1,$I$2,$I$9,$I$3,$I$4,$A25)</f>
        <v>0</v>
      </c>
      <c r="K25" s="69">
        <f ca="1">_xll.DBRW("canaf:YLD_Components",$B$1,$B$2,$E$1,$F$6,$I$1,$I$2,$M$9,$I$3,$I$4,$A25)</f>
        <v>0</v>
      </c>
      <c r="L25" s="69">
        <f ca="1">_xll.DBRW("canaf:YLD_Components",$B$1,$B$2,$E$1,$F$2,$I$1,$I$2,$M$9,$I$3,$I$4,$A25)</f>
        <v>0</v>
      </c>
      <c r="M25" s="16">
        <f t="shared" ca="1" si="2"/>
        <v>0</v>
      </c>
      <c r="N25" s="16">
        <f ca="1">_xll.DBRW("canaf:YLD_Components",$B$1,$B$2,$E$1,$F$7,$I$1,$I$2,$M$9,$I$3,$I$4,$A25)</f>
        <v>0</v>
      </c>
      <c r="O25" s="87">
        <f ca="1">_xll.DBRW("canaf:YLD_Components",$B$1,$B$2,$E$1,$F$6,$I$1,$I$2,$Q$9,$I$3,$I$4,$A25)</f>
        <v>0</v>
      </c>
      <c r="P25" s="69">
        <f ca="1">_xll.DBRW("canaf:YLD_Components",$B$1,$B$2,$E$1,$F$2,$I$1,$I$2,$Q$9,$I$3,$I$4,$A25)</f>
        <v>0</v>
      </c>
      <c r="Q25" s="17">
        <f t="shared" ca="1" si="3"/>
        <v>0</v>
      </c>
      <c r="R25" s="17">
        <f ca="1">_xll.DBRW("canaf:YLD_Components",$B$1,$B$2,$E$1,$F$7,$I$1,$I$2,$Q$9,$I$3,$I$4,$A25)</f>
        <v>0</v>
      </c>
      <c r="S25" s="69">
        <f ca="1">_xll.DBRW("canaf:YLD_Components",$B$1,$B$2,$E$1,$F$6,$I$1,$I$2,$U$9,$I$3,$I$4,$A25)</f>
        <v>0</v>
      </c>
      <c r="T25" s="69">
        <f ca="1">_xll.DBRW("canaf:YLD_Components",$B$1,$B$2,$E$1,$F$2,$I$1,$I$2,$U$9,$I$3,$I$4,$A25)</f>
        <v>0</v>
      </c>
      <c r="U25" s="16">
        <f t="shared" ca="1" si="4"/>
        <v>0</v>
      </c>
      <c r="V25" s="16">
        <f ca="1">_xll.DBRW("canaf:YLD_Components",$B$1,$B$2,$E$1,$F$7,$I$1,$I$2,$U$9,$I$3,$I$4,$A25)</f>
        <v>0</v>
      </c>
      <c r="W25" s="87">
        <f ca="1">_xll.DBRW("canaf:YLD_Components",$B$1,$B$2,$E$1,$F$6,$I$1,$I$2,$Y$9,$I$3,$I$4,$A25)</f>
        <v>0</v>
      </c>
      <c r="X25" s="69">
        <f ca="1">_xll.DBRW("canaf:YLD_Components",$B$1,$B$2,$E$1,$F$2,$I$1,$I$2,$Y$9,$I$3,$I$4,$A25)</f>
        <v>0</v>
      </c>
      <c r="Y25" s="17">
        <f t="shared" ca="1" si="5"/>
        <v>0</v>
      </c>
      <c r="Z25" s="17">
        <f ca="1">_xll.DBRW("canaf:YLD_Components",$B$1,$B$2,$E$1,$F$7,$I$1,$I$2,$Y$9,$I$3,$I$4,$A25)</f>
        <v>0</v>
      </c>
      <c r="AA25" s="69">
        <f ca="1">_xll.DBRW("canaf:YLD_Components",$B$1,$B$2,$E$1,$F$6,$I$1,$I$2,$AC$9,$I$3,$I$4,$A25)</f>
        <v>0</v>
      </c>
      <c r="AB25" s="69">
        <f ca="1">_xll.DBRW("canaf:YLD_Components",$B$1,$B$2,$E$1,$F$2,$I$1,$I$2,$AC$9,$I$3,$I$4,$A25)</f>
        <v>0</v>
      </c>
      <c r="AC25" s="16">
        <f t="shared" ca="1" si="6"/>
        <v>0</v>
      </c>
      <c r="AD25" s="16">
        <f ca="1">_xll.DBRW("canaf:YLD_Components",$B$1,$B$2,$E$1,$F$7,$I$1,$I$2,$AC$9,$I$3,$I$4,$A25)</f>
        <v>0</v>
      </c>
      <c r="AE25" s="87">
        <f ca="1">_xll.DBRW("canaf:YLD_Components",$B$1,$B$2,$E$1,$F$6,$I$1,$I$2,$AG$9,$I$3,$I$4,$A25)</f>
        <v>0</v>
      </c>
      <c r="AF25" s="69">
        <f ca="1">_xll.DBRW("canaf:YLD_Components",$B$1,$B$2,$E$1,$F$2,$I$1,$I$2,$AG$9,$I$3,$I$4,$A25)</f>
        <v>0</v>
      </c>
      <c r="AG25" s="17">
        <f t="shared" ca="1" si="7"/>
        <v>0</v>
      </c>
      <c r="AH25" s="17">
        <f ca="1">_xll.DBRW("canaf:YLD_Components",$B$1,$B$2,$E$1,$F$7,$I$1,$I$2,$AG$9,$I$3,$I$4,$A25)</f>
        <v>0</v>
      </c>
      <c r="AI25" s="69">
        <f ca="1">_xll.DBRW("canaf:YLD_Components",$B$1,$B$2,$E$1,$F$6,$I$1,$I$2,$AK$9,$I$3,$I$4,$A25)</f>
        <v>0</v>
      </c>
      <c r="AJ25" s="69">
        <f ca="1">_xll.DBRW("canaf:YLD_Components",$B$1,$B$2,$E$1,$F$2,$I$1,$I$2,$AK$9,$I$3,$I$4,$A25)</f>
        <v>0</v>
      </c>
      <c r="AK25" s="16">
        <f t="shared" ca="1" si="8"/>
        <v>0</v>
      </c>
      <c r="AL25" s="16">
        <f ca="1">_xll.DBRW("canaf:YLD_Components",$B$1,$B$2,$E$1,$F$7,$I$1,$I$2,$AK$9,$I$3,$I$4,$A25)</f>
        <v>0</v>
      </c>
      <c r="AM25" s="87">
        <f ca="1">_xll.DBRW("canaf:YLD_Components",$B$1,$B$2,$E$1,$F$6,$I$1,$I$2,$AO$9,$I$3,$I$4,$A25)</f>
        <v>0</v>
      </c>
      <c r="AN25" s="69">
        <f ca="1">_xll.DBRW("canaf:YLD_Components",$B$1,$B$2,$E$1,$F$2,$I$1,$I$2,$AO$9,$I$3,$I$4,$A25)</f>
        <v>0</v>
      </c>
      <c r="AO25" s="17">
        <f t="shared" ca="1" si="9"/>
        <v>0</v>
      </c>
      <c r="AP25" s="17">
        <f ca="1">_xll.DBRW("canaf:YLD_Components",$B$1,$B$2,$E$1,$F$7,$I$1,$I$2,$AO$9,$I$3,$I$4,$A25)</f>
        <v>0</v>
      </c>
      <c r="AQ25" s="69">
        <f ca="1">_xll.DBRW("canaf:YLD_Components",$B$1,$B$2,$E$1,$F$6,$I$1,$I$2,$AS$9,$I$3,$I$4,$A25)</f>
        <v>0</v>
      </c>
      <c r="AR25" s="69">
        <f ca="1">_xll.DBRW("canaf:YLD_Components",$B$1,$B$2,$E$1,$F$2,$I$1,$I$2,$AS$9,$I$3,$I$4,$A25)</f>
        <v>0</v>
      </c>
      <c r="AS25" s="16">
        <f t="shared" ca="1" si="10"/>
        <v>0</v>
      </c>
      <c r="AT25" s="16">
        <f ca="1">_xll.DBRW("canaf:YLD_Components",$B$1,$B$2,$E$1,$F$7,$I$1,$I$2,$AS$9,$I$3,$I$4,$A25)</f>
        <v>0</v>
      </c>
      <c r="AU25" s="87">
        <f ca="1">_xll.DBRW("canaf:YLD_Components",$B$1,$B$2,$E$1,$F$6,$I$1,$I$2,$AW$9,$I$3,$I$4,$A25)</f>
        <v>0</v>
      </c>
      <c r="AV25" s="69">
        <f ca="1">_xll.DBRW("canaf:YLD_Components",$B$1,$B$2,$E$1,$F$2,$I$1,$I$2,$AW$9,$I$3,$I$4,$A25)</f>
        <v>0</v>
      </c>
      <c r="AW25" s="17">
        <f t="shared" ca="1" si="11"/>
        <v>0</v>
      </c>
      <c r="AX25" s="17">
        <f ca="1">_xll.DBRW("canaf:YLD_Components",$B$1,$B$2,$E$1,$F$7,$I$1,$I$2,$AW$9,$I$3,$I$4,$A25)</f>
        <v>0</v>
      </c>
      <c r="AY25" s="18"/>
    </row>
    <row r="26" spans="1:51">
      <c r="A26" s="62" t="s">
        <v>9</v>
      </c>
      <c r="B26" s="19" t="s">
        <v>9</v>
      </c>
      <c r="C26" s="69">
        <f ca="1">_xll.DBRW("canaf:YLD_Components",$B$1,$B$2,$E$1,$F$6,$I$1,$I$2,$E$9,$I$3,$I$4,$A26)</f>
        <v>0</v>
      </c>
      <c r="D26" s="69">
        <f ca="1">_xll.DBRW("canaf:YLD_Components",$B$1,$B$2,$E$1,$F$2,$I$1,$I$2,$E$9,$I$3,$I$4,$A26)</f>
        <v>0</v>
      </c>
      <c r="E26" s="16">
        <f t="shared" ca="1" si="0"/>
        <v>0</v>
      </c>
      <c r="F26" s="16">
        <f ca="1">_xll.DBRW("canaf:YLD_Components",$B$1,$B$2,$E$1,$F$7,$I$1,$I$2,$E$9,$I$3,$I$4,$A26)</f>
        <v>0</v>
      </c>
      <c r="G26" s="87">
        <f ca="1">_xll.DBRW("canaf:YLD_Components",$B$1,$B$2,$E$1,$F$6,$I$1,$I$2,$I$9,$I$3,$I$4,$A26)</f>
        <v>0</v>
      </c>
      <c r="H26" s="69">
        <f ca="1">_xll.DBRW("canaf:YLD_Components",$B$1,$B$2,$E$1,$F$2,$I$1,$I$2,$I$9,$I$3,$I$4,$A26)</f>
        <v>0</v>
      </c>
      <c r="I26" s="17">
        <f t="shared" ca="1" si="1"/>
        <v>0</v>
      </c>
      <c r="J26" s="17">
        <f ca="1">_xll.DBRW("canaf:YLD_Components",$B$1,$B$2,$E$1,$F$7,$I$1,$I$2,$I$9,$I$3,$I$4,$A26)</f>
        <v>0</v>
      </c>
      <c r="K26" s="69">
        <f ca="1">_xll.DBRW("canaf:YLD_Components",$B$1,$B$2,$E$1,$F$6,$I$1,$I$2,$M$9,$I$3,$I$4,$A26)</f>
        <v>0</v>
      </c>
      <c r="L26" s="69">
        <f ca="1">_xll.DBRW("canaf:YLD_Components",$B$1,$B$2,$E$1,$F$2,$I$1,$I$2,$M$9,$I$3,$I$4,$A26)</f>
        <v>0</v>
      </c>
      <c r="M26" s="16">
        <f t="shared" ca="1" si="2"/>
        <v>0</v>
      </c>
      <c r="N26" s="16">
        <f ca="1">_xll.DBRW("canaf:YLD_Components",$B$1,$B$2,$E$1,$F$7,$I$1,$I$2,$M$9,$I$3,$I$4,$A26)</f>
        <v>0</v>
      </c>
      <c r="O26" s="87">
        <f ca="1">_xll.DBRW("canaf:YLD_Components",$B$1,$B$2,$E$1,$F$6,$I$1,$I$2,$Q$9,$I$3,$I$4,$A26)</f>
        <v>0</v>
      </c>
      <c r="P26" s="69">
        <f ca="1">_xll.DBRW("canaf:YLD_Components",$B$1,$B$2,$E$1,$F$2,$I$1,$I$2,$Q$9,$I$3,$I$4,$A26)</f>
        <v>0</v>
      </c>
      <c r="Q26" s="17">
        <f t="shared" ca="1" si="3"/>
        <v>0</v>
      </c>
      <c r="R26" s="17">
        <f ca="1">_xll.DBRW("canaf:YLD_Components",$B$1,$B$2,$E$1,$F$7,$I$1,$I$2,$Q$9,$I$3,$I$4,$A26)</f>
        <v>0</v>
      </c>
      <c r="S26" s="69">
        <f ca="1">_xll.DBRW("canaf:YLD_Components",$B$1,$B$2,$E$1,$F$6,$I$1,$I$2,$U$9,$I$3,$I$4,$A26)</f>
        <v>0</v>
      </c>
      <c r="T26" s="69">
        <f ca="1">_xll.DBRW("canaf:YLD_Components",$B$1,$B$2,$E$1,$F$2,$I$1,$I$2,$U$9,$I$3,$I$4,$A26)</f>
        <v>0</v>
      </c>
      <c r="U26" s="16">
        <f t="shared" ca="1" si="4"/>
        <v>0</v>
      </c>
      <c r="V26" s="16">
        <f ca="1">_xll.DBRW("canaf:YLD_Components",$B$1,$B$2,$E$1,$F$7,$I$1,$I$2,$U$9,$I$3,$I$4,$A26)</f>
        <v>0</v>
      </c>
      <c r="W26" s="87">
        <f ca="1">_xll.DBRW("canaf:YLD_Components",$B$1,$B$2,$E$1,$F$6,$I$1,$I$2,$Y$9,$I$3,$I$4,$A26)</f>
        <v>0</v>
      </c>
      <c r="X26" s="69">
        <f ca="1">_xll.DBRW("canaf:YLD_Components",$B$1,$B$2,$E$1,$F$2,$I$1,$I$2,$Y$9,$I$3,$I$4,$A26)</f>
        <v>0</v>
      </c>
      <c r="Y26" s="17">
        <f t="shared" ca="1" si="5"/>
        <v>0</v>
      </c>
      <c r="Z26" s="17">
        <f ca="1">_xll.DBRW("canaf:YLD_Components",$B$1,$B$2,$E$1,$F$7,$I$1,$I$2,$Y$9,$I$3,$I$4,$A26)</f>
        <v>0</v>
      </c>
      <c r="AA26" s="69">
        <f ca="1">_xll.DBRW("canaf:YLD_Components",$B$1,$B$2,$E$1,$F$6,$I$1,$I$2,$AC$9,$I$3,$I$4,$A26)</f>
        <v>0</v>
      </c>
      <c r="AB26" s="69">
        <f ca="1">_xll.DBRW("canaf:YLD_Components",$B$1,$B$2,$E$1,$F$2,$I$1,$I$2,$AC$9,$I$3,$I$4,$A26)</f>
        <v>0</v>
      </c>
      <c r="AC26" s="16">
        <f t="shared" ca="1" si="6"/>
        <v>0</v>
      </c>
      <c r="AD26" s="16">
        <f ca="1">_xll.DBRW("canaf:YLD_Components",$B$1,$B$2,$E$1,$F$7,$I$1,$I$2,$AC$9,$I$3,$I$4,$A26)</f>
        <v>0</v>
      </c>
      <c r="AE26" s="87">
        <f ca="1">_xll.DBRW("canaf:YLD_Components",$B$1,$B$2,$E$1,$F$6,$I$1,$I$2,$AG$9,$I$3,$I$4,$A26)</f>
        <v>0</v>
      </c>
      <c r="AF26" s="69">
        <f ca="1">_xll.DBRW("canaf:YLD_Components",$B$1,$B$2,$E$1,$F$2,$I$1,$I$2,$AG$9,$I$3,$I$4,$A26)</f>
        <v>0</v>
      </c>
      <c r="AG26" s="17">
        <f t="shared" ca="1" si="7"/>
        <v>0</v>
      </c>
      <c r="AH26" s="17">
        <f ca="1">_xll.DBRW("canaf:YLD_Components",$B$1,$B$2,$E$1,$F$7,$I$1,$I$2,$AG$9,$I$3,$I$4,$A26)</f>
        <v>0</v>
      </c>
      <c r="AI26" s="69">
        <f ca="1">_xll.DBRW("canaf:YLD_Components",$B$1,$B$2,$E$1,$F$6,$I$1,$I$2,$AK$9,$I$3,$I$4,$A26)</f>
        <v>0</v>
      </c>
      <c r="AJ26" s="69">
        <f ca="1">_xll.DBRW("canaf:YLD_Components",$B$1,$B$2,$E$1,$F$2,$I$1,$I$2,$AK$9,$I$3,$I$4,$A26)</f>
        <v>0</v>
      </c>
      <c r="AK26" s="16">
        <f t="shared" ca="1" si="8"/>
        <v>0</v>
      </c>
      <c r="AL26" s="16">
        <f ca="1">_xll.DBRW("canaf:YLD_Components",$B$1,$B$2,$E$1,$F$7,$I$1,$I$2,$AK$9,$I$3,$I$4,$A26)</f>
        <v>0</v>
      </c>
      <c r="AM26" s="87">
        <f ca="1">_xll.DBRW("canaf:YLD_Components",$B$1,$B$2,$E$1,$F$6,$I$1,$I$2,$AO$9,$I$3,$I$4,$A26)</f>
        <v>0</v>
      </c>
      <c r="AN26" s="69">
        <f ca="1">_xll.DBRW("canaf:YLD_Components",$B$1,$B$2,$E$1,$F$2,$I$1,$I$2,$AO$9,$I$3,$I$4,$A26)</f>
        <v>0</v>
      </c>
      <c r="AO26" s="17">
        <f t="shared" ca="1" si="9"/>
        <v>0</v>
      </c>
      <c r="AP26" s="17">
        <f ca="1">_xll.DBRW("canaf:YLD_Components",$B$1,$B$2,$E$1,$F$7,$I$1,$I$2,$AO$9,$I$3,$I$4,$A26)</f>
        <v>0</v>
      </c>
      <c r="AQ26" s="69">
        <f ca="1">_xll.DBRW("canaf:YLD_Components",$B$1,$B$2,$E$1,$F$6,$I$1,$I$2,$AS$9,$I$3,$I$4,$A26)</f>
        <v>0</v>
      </c>
      <c r="AR26" s="69">
        <f ca="1">_xll.DBRW("canaf:YLD_Components",$B$1,$B$2,$E$1,$F$2,$I$1,$I$2,$AS$9,$I$3,$I$4,$A26)</f>
        <v>0</v>
      </c>
      <c r="AS26" s="16">
        <f t="shared" ca="1" si="10"/>
        <v>0</v>
      </c>
      <c r="AT26" s="16">
        <f ca="1">_xll.DBRW("canaf:YLD_Components",$B$1,$B$2,$E$1,$F$7,$I$1,$I$2,$AS$9,$I$3,$I$4,$A26)</f>
        <v>0</v>
      </c>
      <c r="AU26" s="87">
        <f ca="1">_xll.DBRW("canaf:YLD_Components",$B$1,$B$2,$E$1,$F$6,$I$1,$I$2,$AW$9,$I$3,$I$4,$A26)</f>
        <v>0</v>
      </c>
      <c r="AV26" s="69">
        <f ca="1">_xll.DBRW("canaf:YLD_Components",$B$1,$B$2,$E$1,$F$2,$I$1,$I$2,$AW$9,$I$3,$I$4,$A26)</f>
        <v>0</v>
      </c>
      <c r="AW26" s="17">
        <f t="shared" ca="1" si="11"/>
        <v>0</v>
      </c>
      <c r="AX26" s="17">
        <f ca="1">_xll.DBRW("canaf:YLD_Components",$B$1,$B$2,$E$1,$F$7,$I$1,$I$2,$AW$9,$I$3,$I$4,$A26)</f>
        <v>0</v>
      </c>
      <c r="AY26" s="18"/>
    </row>
    <row r="27" spans="1:51">
      <c r="A27" s="62" t="s">
        <v>10</v>
      </c>
      <c r="B27" s="19" t="s">
        <v>10</v>
      </c>
      <c r="C27" s="69">
        <f ca="1">_xll.DBRW("canaf:YLD_Components",$B$1,$B$2,$E$1,$F$6,$I$1,$I$2,$E$9,$I$3,$I$4,$A27)</f>
        <v>3691311.41</v>
      </c>
      <c r="D27" s="69">
        <f ca="1">_xll.DBRW("canaf:YLD_Components",$B$1,$B$2,$E$1,$F$2,$I$1,$I$2,$E$9,$I$3,$I$4,$A27)</f>
        <v>20112.34</v>
      </c>
      <c r="E27" s="16">
        <f t="shared" ca="1" si="0"/>
        <v>1.4820128034513901E-3</v>
      </c>
      <c r="F27" s="16">
        <f ca="1">_xll.DBRW("canaf:YLD_Components",$B$1,$B$2,$E$1,$F$7,$I$1,$I$2,$E$9,$I$3,$I$4,$A27)</f>
        <v>0.29598936476365828</v>
      </c>
      <c r="G27" s="87">
        <f ca="1">_xll.DBRW("canaf:YLD_Components",$B$1,$B$2,$E$1,$F$6,$I$1,$I$2,$I$9,$I$3,$I$4,$A27)</f>
        <v>3568471.87</v>
      </c>
      <c r="H27" s="69">
        <f ca="1">_xll.DBRW("canaf:YLD_Components",$B$1,$B$2,$E$1,$F$2,$I$1,$I$2,$I$9,$I$3,$I$4,$A27)</f>
        <v>-184625.52000000002</v>
      </c>
      <c r="I27" s="17">
        <f t="shared" ca="1" si="1"/>
        <v>-1.5205385805196394E-2</v>
      </c>
      <c r="J27" s="17">
        <f ca="1">_xll.DBRW("canaf:YLD_Components",$B$1,$B$2,$E$1,$F$7,$I$1,$I$2,$I$9,$I$3,$I$4,$A27)</f>
        <v>0.28906248305865634</v>
      </c>
      <c r="K27" s="69">
        <f ca="1">_xll.DBRW("canaf:YLD_Components",$B$1,$B$2,$E$1,$F$6,$I$1,$I$2,$M$9,$I$3,$I$4,$A27)</f>
        <v>3383252.6700000004</v>
      </c>
      <c r="L27" s="69">
        <f ca="1">_xll.DBRW("canaf:YLD_Components",$B$1,$B$2,$E$1,$F$2,$I$1,$I$2,$M$9,$I$3,$I$4,$A27)</f>
        <v>-4594.9800000000005</v>
      </c>
      <c r="M27" s="16">
        <f t="shared" ca="1" si="2"/>
        <v>-4.0616093710860797E-4</v>
      </c>
      <c r="N27" s="16">
        <f ca="1">_xll.DBRW("canaf:YLD_Components",$B$1,$B$2,$E$1,$F$7,$I$1,$I$2,$M$9,$I$3,$I$4,$A27)</f>
        <v>0.28929589586794557</v>
      </c>
      <c r="O27" s="87">
        <f ca="1">_xll.DBRW("canaf:YLD_Components",$B$1,$B$2,$E$1,$F$6,$I$1,$I$2,$Q$9,$I$3,$I$4,$A27)</f>
        <v>3378068.78</v>
      </c>
      <c r="P27" s="69">
        <f ca="1">_xll.DBRW("canaf:YLD_Components",$B$1,$B$2,$E$1,$F$2,$I$1,$I$2,$Q$9,$I$3,$I$4,$A27)</f>
        <v>62290.880000000005</v>
      </c>
      <c r="Q27" s="17">
        <f t="shared" ca="1" si="3"/>
        <v>5.5371454901430089E-3</v>
      </c>
      <c r="R27" s="17">
        <f ca="1">_xll.DBRW("canaf:YLD_Components",$B$1,$B$2,$E$1,$F$7,$I$1,$I$2,$Q$9,$I$3,$I$4,$A27)</f>
        <v>0.29483550812991088</v>
      </c>
      <c r="S27" s="69">
        <f ca="1">_xll.DBRW("canaf:YLD_Components",$B$1,$B$2,$E$1,$F$6,$I$1,$I$2,$U$9,$I$3,$I$4,$A27)</f>
        <v>3439530.5999999996</v>
      </c>
      <c r="T27" s="69">
        <f ca="1">_xll.DBRW("canaf:YLD_Components",$B$1,$B$2,$E$1,$F$2,$I$1,$I$2,$U$9,$I$3,$I$4,$A27)</f>
        <v>-4913.37</v>
      </c>
      <c r="U27" s="16">
        <f t="shared" ca="1" si="4"/>
        <v>-4.3413125388895796E-4</v>
      </c>
      <c r="V27" s="16">
        <f ca="1">_xll.DBRW("canaf:YLD_Components",$B$1,$B$2,$E$1,$F$7,$I$1,$I$2,$U$9,$I$3,$I$4,$A27)</f>
        <v>0.29870852505503914</v>
      </c>
      <c r="W27" s="87">
        <f ca="1">_xll.DBRW("canaf:YLD_Components",$B$1,$B$2,$E$1,$F$6,$I$1,$I$2,$Y$9,$I$3,$I$4,$A27)</f>
        <v>3433991.9000000004</v>
      </c>
      <c r="X27" s="69">
        <f ca="1">_xll.DBRW("canaf:YLD_Components",$B$1,$B$2,$E$1,$F$2,$I$1,$I$2,$Y$9,$I$3,$I$4,$A27)</f>
        <v>51825.880000000005</v>
      </c>
      <c r="Y27" s="17">
        <f t="shared" ca="1" si="5"/>
        <v>4.5659971891060386E-3</v>
      </c>
      <c r="Z27" s="17">
        <f ca="1">_xll.DBRW("canaf:YLD_Components",$B$1,$B$2,$E$1,$F$7,$I$1,$I$2,$Y$9,$I$3,$I$4,$A27)</f>
        <v>0.29689598629553954</v>
      </c>
      <c r="AA27" s="69">
        <f ca="1">_xll.DBRW("canaf:YLD_Components",$B$1,$B$2,$E$1,$F$6,$I$1,$I$2,$AC$9,$I$3,$I$4,$A27)</f>
        <v>0</v>
      </c>
      <c r="AB27" s="69">
        <f ca="1">_xll.DBRW("canaf:YLD_Components",$B$1,$B$2,$E$1,$F$2,$I$1,$I$2,$AC$9,$I$3,$I$4,$A27)</f>
        <v>0</v>
      </c>
      <c r="AC27" s="16">
        <f t="shared" ca="1" si="6"/>
        <v>0</v>
      </c>
      <c r="AD27" s="16">
        <f ca="1">_xll.DBRW("canaf:YLD_Components",$B$1,$B$2,$E$1,$F$7,$I$1,$I$2,$AC$9,$I$3,$I$4,$A27)</f>
        <v>0</v>
      </c>
      <c r="AE27" s="87">
        <f ca="1">_xll.DBRW("canaf:YLD_Components",$B$1,$B$2,$E$1,$F$6,$I$1,$I$2,$AG$9,$I$3,$I$4,$A27)</f>
        <v>0</v>
      </c>
      <c r="AF27" s="69">
        <f ca="1">_xll.DBRW("canaf:YLD_Components",$B$1,$B$2,$E$1,$F$2,$I$1,$I$2,$AG$9,$I$3,$I$4,$A27)</f>
        <v>0</v>
      </c>
      <c r="AG27" s="17">
        <f t="shared" ca="1" si="7"/>
        <v>0</v>
      </c>
      <c r="AH27" s="17">
        <f ca="1">_xll.DBRW("canaf:YLD_Components",$B$1,$B$2,$E$1,$F$7,$I$1,$I$2,$AG$9,$I$3,$I$4,$A27)</f>
        <v>0</v>
      </c>
      <c r="AI27" s="69">
        <f ca="1">_xll.DBRW("canaf:YLD_Components",$B$1,$B$2,$E$1,$F$6,$I$1,$I$2,$AK$9,$I$3,$I$4,$A27)</f>
        <v>0</v>
      </c>
      <c r="AJ27" s="69">
        <f ca="1">_xll.DBRW("canaf:YLD_Components",$B$1,$B$2,$E$1,$F$2,$I$1,$I$2,$AK$9,$I$3,$I$4,$A27)</f>
        <v>0</v>
      </c>
      <c r="AK27" s="16">
        <f t="shared" ca="1" si="8"/>
        <v>0</v>
      </c>
      <c r="AL27" s="16">
        <f ca="1">_xll.DBRW("canaf:YLD_Components",$B$1,$B$2,$E$1,$F$7,$I$1,$I$2,$AK$9,$I$3,$I$4,$A27)</f>
        <v>0</v>
      </c>
      <c r="AM27" s="87">
        <f ca="1">_xll.DBRW("canaf:YLD_Components",$B$1,$B$2,$E$1,$F$6,$I$1,$I$2,$AO$9,$I$3,$I$4,$A27)</f>
        <v>0</v>
      </c>
      <c r="AN27" s="69">
        <f ca="1">_xll.DBRW("canaf:YLD_Components",$B$1,$B$2,$E$1,$F$2,$I$1,$I$2,$AO$9,$I$3,$I$4,$A27)</f>
        <v>0</v>
      </c>
      <c r="AO27" s="17">
        <f t="shared" ca="1" si="9"/>
        <v>0</v>
      </c>
      <c r="AP27" s="17">
        <f ca="1">_xll.DBRW("canaf:YLD_Components",$B$1,$B$2,$E$1,$F$7,$I$1,$I$2,$AO$9,$I$3,$I$4,$A27)</f>
        <v>0</v>
      </c>
      <c r="AQ27" s="69">
        <f ca="1">_xll.DBRW("canaf:YLD_Components",$B$1,$B$2,$E$1,$F$6,$I$1,$I$2,$AS$9,$I$3,$I$4,$A27)</f>
        <v>0</v>
      </c>
      <c r="AR27" s="69">
        <f ca="1">_xll.DBRW("canaf:YLD_Components",$B$1,$B$2,$E$1,$F$2,$I$1,$I$2,$AS$9,$I$3,$I$4,$A27)</f>
        <v>0</v>
      </c>
      <c r="AS27" s="16">
        <f t="shared" ca="1" si="10"/>
        <v>0</v>
      </c>
      <c r="AT27" s="16">
        <f ca="1">_xll.DBRW("canaf:YLD_Components",$B$1,$B$2,$E$1,$F$7,$I$1,$I$2,$AS$9,$I$3,$I$4,$A27)</f>
        <v>0</v>
      </c>
      <c r="AU27" s="87">
        <f ca="1">_xll.DBRW("canaf:YLD_Components",$B$1,$B$2,$E$1,$F$6,$I$1,$I$2,$AW$9,$I$3,$I$4,$A27)</f>
        <v>0</v>
      </c>
      <c r="AV27" s="69">
        <f ca="1">_xll.DBRW("canaf:YLD_Components",$B$1,$B$2,$E$1,$F$2,$I$1,$I$2,$AW$9,$I$3,$I$4,$A27)</f>
        <v>0</v>
      </c>
      <c r="AW27" s="17">
        <f t="shared" ca="1" si="11"/>
        <v>0</v>
      </c>
      <c r="AX27" s="17">
        <f ca="1">_xll.DBRW("canaf:YLD_Components",$B$1,$B$2,$E$1,$F$7,$I$1,$I$2,$AW$9,$I$3,$I$4,$A27)</f>
        <v>0</v>
      </c>
      <c r="AY27" s="18"/>
    </row>
    <row r="28" spans="1:51">
      <c r="A28" s="62" t="s">
        <v>11</v>
      </c>
      <c r="B28" s="19" t="s">
        <v>11</v>
      </c>
      <c r="C28" s="69">
        <f ca="1">_xll.DBRW("canaf:YLD_Components",$B$1,$B$2,$E$1,$F$6,$I$1,$I$2,$E$9,$I$3,$I$4,$A28)</f>
        <v>0</v>
      </c>
      <c r="D28" s="69">
        <f ca="1">_xll.DBRW("canaf:YLD_Components",$B$1,$B$2,$E$1,$F$2,$I$1,$I$2,$E$9,$I$3,$I$4,$A28)</f>
        <v>0</v>
      </c>
      <c r="E28" s="16">
        <f t="shared" ca="1" si="0"/>
        <v>0</v>
      </c>
      <c r="F28" s="16">
        <f ca="1">_xll.DBRW("canaf:YLD_Components",$B$1,$B$2,$E$1,$F$7,$I$1,$I$2,$E$9,$I$3,$I$4,$A28)</f>
        <v>0</v>
      </c>
      <c r="G28" s="87">
        <f ca="1">_xll.DBRW("canaf:YLD_Components",$B$1,$B$2,$E$1,$F$6,$I$1,$I$2,$I$9,$I$3,$I$4,$A28)</f>
        <v>0</v>
      </c>
      <c r="H28" s="69">
        <f ca="1">_xll.DBRW("canaf:YLD_Components",$B$1,$B$2,$E$1,$F$2,$I$1,$I$2,$I$9,$I$3,$I$4,$A28)</f>
        <v>0</v>
      </c>
      <c r="I28" s="17">
        <f t="shared" ca="1" si="1"/>
        <v>0</v>
      </c>
      <c r="J28" s="17">
        <f ca="1">_xll.DBRW("canaf:YLD_Components",$B$1,$B$2,$E$1,$F$7,$I$1,$I$2,$I$9,$I$3,$I$4,$A28)</f>
        <v>0</v>
      </c>
      <c r="K28" s="69">
        <f ca="1">_xll.DBRW("canaf:YLD_Components",$B$1,$B$2,$E$1,$F$6,$I$1,$I$2,$M$9,$I$3,$I$4,$A28)</f>
        <v>0</v>
      </c>
      <c r="L28" s="69">
        <f ca="1">_xll.DBRW("canaf:YLD_Components",$B$1,$B$2,$E$1,$F$2,$I$1,$I$2,$M$9,$I$3,$I$4,$A28)</f>
        <v>0</v>
      </c>
      <c r="M28" s="16">
        <f t="shared" ca="1" si="2"/>
        <v>0</v>
      </c>
      <c r="N28" s="16">
        <f ca="1">_xll.DBRW("canaf:YLD_Components",$B$1,$B$2,$E$1,$F$7,$I$1,$I$2,$M$9,$I$3,$I$4,$A28)</f>
        <v>0</v>
      </c>
      <c r="O28" s="87">
        <f ca="1">_xll.DBRW("canaf:YLD_Components",$B$1,$B$2,$E$1,$F$6,$I$1,$I$2,$Q$9,$I$3,$I$4,$A28)</f>
        <v>0</v>
      </c>
      <c r="P28" s="69">
        <f ca="1">_xll.DBRW("canaf:YLD_Components",$B$1,$B$2,$E$1,$F$2,$I$1,$I$2,$Q$9,$I$3,$I$4,$A28)</f>
        <v>0</v>
      </c>
      <c r="Q28" s="17">
        <f t="shared" ca="1" si="3"/>
        <v>0</v>
      </c>
      <c r="R28" s="17">
        <f ca="1">_xll.DBRW("canaf:YLD_Components",$B$1,$B$2,$E$1,$F$7,$I$1,$I$2,$Q$9,$I$3,$I$4,$A28)</f>
        <v>0</v>
      </c>
      <c r="S28" s="69">
        <f ca="1">_xll.DBRW("canaf:YLD_Components",$B$1,$B$2,$E$1,$F$6,$I$1,$I$2,$U$9,$I$3,$I$4,$A28)</f>
        <v>0</v>
      </c>
      <c r="T28" s="69">
        <f ca="1">_xll.DBRW("canaf:YLD_Components",$B$1,$B$2,$E$1,$F$2,$I$1,$I$2,$U$9,$I$3,$I$4,$A28)</f>
        <v>0</v>
      </c>
      <c r="U28" s="16">
        <f t="shared" ca="1" si="4"/>
        <v>0</v>
      </c>
      <c r="V28" s="16">
        <f ca="1">_xll.DBRW("canaf:YLD_Components",$B$1,$B$2,$E$1,$F$7,$I$1,$I$2,$U$9,$I$3,$I$4,$A28)</f>
        <v>0</v>
      </c>
      <c r="W28" s="87">
        <f ca="1">_xll.DBRW("canaf:YLD_Components",$B$1,$B$2,$E$1,$F$6,$I$1,$I$2,$Y$9,$I$3,$I$4,$A28)</f>
        <v>0</v>
      </c>
      <c r="X28" s="69">
        <f ca="1">_xll.DBRW("canaf:YLD_Components",$B$1,$B$2,$E$1,$F$2,$I$1,$I$2,$Y$9,$I$3,$I$4,$A28)</f>
        <v>0</v>
      </c>
      <c r="Y28" s="17">
        <f t="shared" ca="1" si="5"/>
        <v>0</v>
      </c>
      <c r="Z28" s="17">
        <f ca="1">_xll.DBRW("canaf:YLD_Components",$B$1,$B$2,$E$1,$F$7,$I$1,$I$2,$Y$9,$I$3,$I$4,$A28)</f>
        <v>0</v>
      </c>
      <c r="AA28" s="69">
        <f ca="1">_xll.DBRW("canaf:YLD_Components",$B$1,$B$2,$E$1,$F$6,$I$1,$I$2,$AC$9,$I$3,$I$4,$A28)</f>
        <v>0</v>
      </c>
      <c r="AB28" s="69">
        <f ca="1">_xll.DBRW("canaf:YLD_Components",$B$1,$B$2,$E$1,$F$2,$I$1,$I$2,$AC$9,$I$3,$I$4,$A28)</f>
        <v>0</v>
      </c>
      <c r="AC28" s="16">
        <f t="shared" ca="1" si="6"/>
        <v>0</v>
      </c>
      <c r="AD28" s="16">
        <f ca="1">_xll.DBRW("canaf:YLD_Components",$B$1,$B$2,$E$1,$F$7,$I$1,$I$2,$AC$9,$I$3,$I$4,$A28)</f>
        <v>0</v>
      </c>
      <c r="AE28" s="87">
        <f ca="1">_xll.DBRW("canaf:YLD_Components",$B$1,$B$2,$E$1,$F$6,$I$1,$I$2,$AG$9,$I$3,$I$4,$A28)</f>
        <v>0</v>
      </c>
      <c r="AF28" s="69">
        <f ca="1">_xll.DBRW("canaf:YLD_Components",$B$1,$B$2,$E$1,$F$2,$I$1,$I$2,$AG$9,$I$3,$I$4,$A28)</f>
        <v>0</v>
      </c>
      <c r="AG28" s="17">
        <f t="shared" ca="1" si="7"/>
        <v>0</v>
      </c>
      <c r="AH28" s="17">
        <f ca="1">_xll.DBRW("canaf:YLD_Components",$B$1,$B$2,$E$1,$F$7,$I$1,$I$2,$AG$9,$I$3,$I$4,$A28)</f>
        <v>0</v>
      </c>
      <c r="AI28" s="69">
        <f ca="1">_xll.DBRW("canaf:YLD_Components",$B$1,$B$2,$E$1,$F$6,$I$1,$I$2,$AK$9,$I$3,$I$4,$A28)</f>
        <v>0</v>
      </c>
      <c r="AJ28" s="69">
        <f ca="1">_xll.DBRW("canaf:YLD_Components",$B$1,$B$2,$E$1,$F$2,$I$1,$I$2,$AK$9,$I$3,$I$4,$A28)</f>
        <v>0</v>
      </c>
      <c r="AK28" s="16">
        <f t="shared" ca="1" si="8"/>
        <v>0</v>
      </c>
      <c r="AL28" s="16">
        <f ca="1">_xll.DBRW("canaf:YLD_Components",$B$1,$B$2,$E$1,$F$7,$I$1,$I$2,$AK$9,$I$3,$I$4,$A28)</f>
        <v>0</v>
      </c>
      <c r="AM28" s="87">
        <f ca="1">_xll.DBRW("canaf:YLD_Components",$B$1,$B$2,$E$1,$F$6,$I$1,$I$2,$AO$9,$I$3,$I$4,$A28)</f>
        <v>0</v>
      </c>
      <c r="AN28" s="69">
        <f ca="1">_xll.DBRW("canaf:YLD_Components",$B$1,$B$2,$E$1,$F$2,$I$1,$I$2,$AO$9,$I$3,$I$4,$A28)</f>
        <v>0</v>
      </c>
      <c r="AO28" s="17">
        <f t="shared" ca="1" si="9"/>
        <v>0</v>
      </c>
      <c r="AP28" s="17">
        <f ca="1">_xll.DBRW("canaf:YLD_Components",$B$1,$B$2,$E$1,$F$7,$I$1,$I$2,$AO$9,$I$3,$I$4,$A28)</f>
        <v>0</v>
      </c>
      <c r="AQ28" s="69">
        <f ca="1">_xll.DBRW("canaf:YLD_Components",$B$1,$B$2,$E$1,$F$6,$I$1,$I$2,$AS$9,$I$3,$I$4,$A28)</f>
        <v>0</v>
      </c>
      <c r="AR28" s="69">
        <f ca="1">_xll.DBRW("canaf:YLD_Components",$B$1,$B$2,$E$1,$F$2,$I$1,$I$2,$AS$9,$I$3,$I$4,$A28)</f>
        <v>0</v>
      </c>
      <c r="AS28" s="16">
        <f t="shared" ca="1" si="10"/>
        <v>0</v>
      </c>
      <c r="AT28" s="16">
        <f ca="1">_xll.DBRW("canaf:YLD_Components",$B$1,$B$2,$E$1,$F$7,$I$1,$I$2,$AS$9,$I$3,$I$4,$A28)</f>
        <v>0</v>
      </c>
      <c r="AU28" s="87">
        <f ca="1">_xll.DBRW("canaf:YLD_Components",$B$1,$B$2,$E$1,$F$6,$I$1,$I$2,$AW$9,$I$3,$I$4,$A28)</f>
        <v>0</v>
      </c>
      <c r="AV28" s="69">
        <f ca="1">_xll.DBRW("canaf:YLD_Components",$B$1,$B$2,$E$1,$F$2,$I$1,$I$2,$AW$9,$I$3,$I$4,$A28)</f>
        <v>0</v>
      </c>
      <c r="AW28" s="17">
        <f t="shared" ca="1" si="11"/>
        <v>0</v>
      </c>
      <c r="AX28" s="17">
        <f ca="1">_xll.DBRW("canaf:YLD_Components",$B$1,$B$2,$E$1,$F$7,$I$1,$I$2,$AW$9,$I$3,$I$4,$A28)</f>
        <v>0</v>
      </c>
      <c r="AY28" s="18"/>
    </row>
    <row r="29" spans="1:51">
      <c r="A29" s="62" t="s">
        <v>12</v>
      </c>
      <c r="B29" s="19" t="s">
        <v>12</v>
      </c>
      <c r="C29" s="69">
        <f ca="1">_xll.DBRW("canaf:YLD_Components",$B$1,$B$2,$E$1,$F$6,$I$1,$I$2,$E$9,$I$3,$I$4,$A29)</f>
        <v>0</v>
      </c>
      <c r="D29" s="69">
        <f ca="1">_xll.DBRW("canaf:YLD_Components",$B$1,$B$2,$E$1,$F$2,$I$1,$I$2,$E$9,$I$3,$I$4,$A29)</f>
        <v>0</v>
      </c>
      <c r="E29" s="16">
        <f t="shared" ca="1" si="0"/>
        <v>0</v>
      </c>
      <c r="F29" s="16">
        <f ca="1">_xll.DBRW("canaf:YLD_Components",$B$1,$B$2,$E$1,$F$7,$I$1,$I$2,$E$9,$I$3,$I$4,$A29)</f>
        <v>0</v>
      </c>
      <c r="G29" s="87">
        <f ca="1">_xll.DBRW("canaf:YLD_Components",$B$1,$B$2,$E$1,$F$6,$I$1,$I$2,$I$9,$I$3,$I$4,$A29)</f>
        <v>0</v>
      </c>
      <c r="H29" s="69">
        <f ca="1">_xll.DBRW("canaf:YLD_Components",$B$1,$B$2,$E$1,$F$2,$I$1,$I$2,$I$9,$I$3,$I$4,$A29)</f>
        <v>0</v>
      </c>
      <c r="I29" s="17">
        <f t="shared" ca="1" si="1"/>
        <v>0</v>
      </c>
      <c r="J29" s="17">
        <f ca="1">_xll.DBRW("canaf:YLD_Components",$B$1,$B$2,$E$1,$F$7,$I$1,$I$2,$I$9,$I$3,$I$4,$A29)</f>
        <v>0</v>
      </c>
      <c r="K29" s="69">
        <f ca="1">_xll.DBRW("canaf:YLD_Components",$B$1,$B$2,$E$1,$F$6,$I$1,$I$2,$M$9,$I$3,$I$4,$A29)</f>
        <v>0</v>
      </c>
      <c r="L29" s="69">
        <f ca="1">_xll.DBRW("canaf:YLD_Components",$B$1,$B$2,$E$1,$F$2,$I$1,$I$2,$M$9,$I$3,$I$4,$A29)</f>
        <v>0</v>
      </c>
      <c r="M29" s="16">
        <f t="shared" ca="1" si="2"/>
        <v>0</v>
      </c>
      <c r="N29" s="16">
        <f ca="1">_xll.DBRW("canaf:YLD_Components",$B$1,$B$2,$E$1,$F$7,$I$1,$I$2,$M$9,$I$3,$I$4,$A29)</f>
        <v>0</v>
      </c>
      <c r="O29" s="87">
        <f ca="1">_xll.DBRW("canaf:YLD_Components",$B$1,$B$2,$E$1,$F$6,$I$1,$I$2,$Q$9,$I$3,$I$4,$A29)</f>
        <v>0</v>
      </c>
      <c r="P29" s="69">
        <f ca="1">_xll.DBRW("canaf:YLD_Components",$B$1,$B$2,$E$1,$F$2,$I$1,$I$2,$Q$9,$I$3,$I$4,$A29)</f>
        <v>0</v>
      </c>
      <c r="Q29" s="17">
        <f t="shared" ca="1" si="3"/>
        <v>0</v>
      </c>
      <c r="R29" s="17">
        <f ca="1">_xll.DBRW("canaf:YLD_Components",$B$1,$B$2,$E$1,$F$7,$I$1,$I$2,$Q$9,$I$3,$I$4,$A29)</f>
        <v>0</v>
      </c>
      <c r="S29" s="69">
        <f ca="1">_xll.DBRW("canaf:YLD_Components",$B$1,$B$2,$E$1,$F$6,$I$1,$I$2,$U$9,$I$3,$I$4,$A29)</f>
        <v>0</v>
      </c>
      <c r="T29" s="69">
        <f ca="1">_xll.DBRW("canaf:YLD_Components",$B$1,$B$2,$E$1,$F$2,$I$1,$I$2,$U$9,$I$3,$I$4,$A29)</f>
        <v>0</v>
      </c>
      <c r="U29" s="16">
        <f t="shared" ca="1" si="4"/>
        <v>0</v>
      </c>
      <c r="V29" s="16">
        <f ca="1">_xll.DBRW("canaf:YLD_Components",$B$1,$B$2,$E$1,$F$7,$I$1,$I$2,$U$9,$I$3,$I$4,$A29)</f>
        <v>0</v>
      </c>
      <c r="W29" s="87">
        <f ca="1">_xll.DBRW("canaf:YLD_Components",$B$1,$B$2,$E$1,$F$6,$I$1,$I$2,$Y$9,$I$3,$I$4,$A29)</f>
        <v>0</v>
      </c>
      <c r="X29" s="69">
        <f ca="1">_xll.DBRW("canaf:YLD_Components",$B$1,$B$2,$E$1,$F$2,$I$1,$I$2,$Y$9,$I$3,$I$4,$A29)</f>
        <v>0</v>
      </c>
      <c r="Y29" s="17">
        <f t="shared" ca="1" si="5"/>
        <v>0</v>
      </c>
      <c r="Z29" s="17">
        <f ca="1">_xll.DBRW("canaf:YLD_Components",$B$1,$B$2,$E$1,$F$7,$I$1,$I$2,$Y$9,$I$3,$I$4,$A29)</f>
        <v>0</v>
      </c>
      <c r="AA29" s="69">
        <f ca="1">_xll.DBRW("canaf:YLD_Components",$B$1,$B$2,$E$1,$F$6,$I$1,$I$2,$AC$9,$I$3,$I$4,$A29)</f>
        <v>0</v>
      </c>
      <c r="AB29" s="69">
        <f ca="1">_xll.DBRW("canaf:YLD_Components",$B$1,$B$2,$E$1,$F$2,$I$1,$I$2,$AC$9,$I$3,$I$4,$A29)</f>
        <v>0</v>
      </c>
      <c r="AC29" s="16">
        <f t="shared" ca="1" si="6"/>
        <v>0</v>
      </c>
      <c r="AD29" s="16">
        <f ca="1">_xll.DBRW("canaf:YLD_Components",$B$1,$B$2,$E$1,$F$7,$I$1,$I$2,$AC$9,$I$3,$I$4,$A29)</f>
        <v>0</v>
      </c>
      <c r="AE29" s="87">
        <f ca="1">_xll.DBRW("canaf:YLD_Components",$B$1,$B$2,$E$1,$F$6,$I$1,$I$2,$AG$9,$I$3,$I$4,$A29)</f>
        <v>0</v>
      </c>
      <c r="AF29" s="69">
        <f ca="1">_xll.DBRW("canaf:YLD_Components",$B$1,$B$2,$E$1,$F$2,$I$1,$I$2,$AG$9,$I$3,$I$4,$A29)</f>
        <v>0</v>
      </c>
      <c r="AG29" s="17">
        <f t="shared" ca="1" si="7"/>
        <v>0</v>
      </c>
      <c r="AH29" s="17">
        <f ca="1">_xll.DBRW("canaf:YLD_Components",$B$1,$B$2,$E$1,$F$7,$I$1,$I$2,$AG$9,$I$3,$I$4,$A29)</f>
        <v>0</v>
      </c>
      <c r="AI29" s="69">
        <f ca="1">_xll.DBRW("canaf:YLD_Components",$B$1,$B$2,$E$1,$F$6,$I$1,$I$2,$AK$9,$I$3,$I$4,$A29)</f>
        <v>0</v>
      </c>
      <c r="AJ29" s="69">
        <f ca="1">_xll.DBRW("canaf:YLD_Components",$B$1,$B$2,$E$1,$F$2,$I$1,$I$2,$AK$9,$I$3,$I$4,$A29)</f>
        <v>0</v>
      </c>
      <c r="AK29" s="16">
        <f t="shared" ca="1" si="8"/>
        <v>0</v>
      </c>
      <c r="AL29" s="16">
        <f ca="1">_xll.DBRW("canaf:YLD_Components",$B$1,$B$2,$E$1,$F$7,$I$1,$I$2,$AK$9,$I$3,$I$4,$A29)</f>
        <v>0</v>
      </c>
      <c r="AM29" s="87">
        <f ca="1">_xll.DBRW("canaf:YLD_Components",$B$1,$B$2,$E$1,$F$6,$I$1,$I$2,$AO$9,$I$3,$I$4,$A29)</f>
        <v>0</v>
      </c>
      <c r="AN29" s="69">
        <f ca="1">_xll.DBRW("canaf:YLD_Components",$B$1,$B$2,$E$1,$F$2,$I$1,$I$2,$AO$9,$I$3,$I$4,$A29)</f>
        <v>0</v>
      </c>
      <c r="AO29" s="17">
        <f t="shared" ca="1" si="9"/>
        <v>0</v>
      </c>
      <c r="AP29" s="17">
        <f ca="1">_xll.DBRW("canaf:YLD_Components",$B$1,$B$2,$E$1,$F$7,$I$1,$I$2,$AO$9,$I$3,$I$4,$A29)</f>
        <v>0</v>
      </c>
      <c r="AQ29" s="69">
        <f ca="1">_xll.DBRW("canaf:YLD_Components",$B$1,$B$2,$E$1,$F$6,$I$1,$I$2,$AS$9,$I$3,$I$4,$A29)</f>
        <v>0</v>
      </c>
      <c r="AR29" s="69">
        <f ca="1">_xll.DBRW("canaf:YLD_Components",$B$1,$B$2,$E$1,$F$2,$I$1,$I$2,$AS$9,$I$3,$I$4,$A29)</f>
        <v>0</v>
      </c>
      <c r="AS29" s="16">
        <f t="shared" ca="1" si="10"/>
        <v>0</v>
      </c>
      <c r="AT29" s="16">
        <f ca="1">_xll.DBRW("canaf:YLD_Components",$B$1,$B$2,$E$1,$F$7,$I$1,$I$2,$AS$9,$I$3,$I$4,$A29)</f>
        <v>0</v>
      </c>
      <c r="AU29" s="87">
        <f ca="1">_xll.DBRW("canaf:YLD_Components",$B$1,$B$2,$E$1,$F$6,$I$1,$I$2,$AW$9,$I$3,$I$4,$A29)</f>
        <v>0</v>
      </c>
      <c r="AV29" s="69">
        <f ca="1">_xll.DBRW("canaf:YLD_Components",$B$1,$B$2,$E$1,$F$2,$I$1,$I$2,$AW$9,$I$3,$I$4,$A29)</f>
        <v>0</v>
      </c>
      <c r="AW29" s="17">
        <f t="shared" ca="1" si="11"/>
        <v>0</v>
      </c>
      <c r="AX29" s="17">
        <f ca="1">_xll.DBRW("canaf:YLD_Components",$B$1,$B$2,$E$1,$F$7,$I$1,$I$2,$AW$9,$I$3,$I$4,$A29)</f>
        <v>0</v>
      </c>
      <c r="AY29" s="18"/>
    </row>
    <row r="30" spans="1:51">
      <c r="A30" s="62" t="s">
        <v>13</v>
      </c>
      <c r="B30" s="19" t="s">
        <v>13</v>
      </c>
      <c r="C30" s="69">
        <f ca="1">_xll.DBRW("canaf:YLD_Components",$B$1,$B$2,$E$1,$F$6,$I$1,$I$2,$E$9,$I$3,$I$4,$A30)</f>
        <v>0</v>
      </c>
      <c r="D30" s="69">
        <f ca="1">_xll.DBRW("canaf:YLD_Components",$B$1,$B$2,$E$1,$F$2,$I$1,$I$2,$E$9,$I$3,$I$4,$A30)</f>
        <v>0</v>
      </c>
      <c r="E30" s="16">
        <f t="shared" ca="1" si="0"/>
        <v>0</v>
      </c>
      <c r="F30" s="16">
        <f ca="1">_xll.DBRW("canaf:YLD_Components",$B$1,$B$2,$E$1,$F$7,$I$1,$I$2,$E$9,$I$3,$I$4,$A30)</f>
        <v>0</v>
      </c>
      <c r="G30" s="87">
        <f ca="1">_xll.DBRW("canaf:YLD_Components",$B$1,$B$2,$E$1,$F$6,$I$1,$I$2,$I$9,$I$3,$I$4,$A30)</f>
        <v>0</v>
      </c>
      <c r="H30" s="69">
        <f ca="1">_xll.DBRW("canaf:YLD_Components",$B$1,$B$2,$E$1,$F$2,$I$1,$I$2,$I$9,$I$3,$I$4,$A30)</f>
        <v>0</v>
      </c>
      <c r="I30" s="17">
        <f t="shared" ca="1" si="1"/>
        <v>0</v>
      </c>
      <c r="J30" s="17">
        <f ca="1">_xll.DBRW("canaf:YLD_Components",$B$1,$B$2,$E$1,$F$7,$I$1,$I$2,$I$9,$I$3,$I$4,$A30)</f>
        <v>0</v>
      </c>
      <c r="K30" s="69">
        <f ca="1">_xll.DBRW("canaf:YLD_Components",$B$1,$B$2,$E$1,$F$6,$I$1,$I$2,$M$9,$I$3,$I$4,$A30)</f>
        <v>0</v>
      </c>
      <c r="L30" s="69">
        <f ca="1">_xll.DBRW("canaf:YLD_Components",$B$1,$B$2,$E$1,$F$2,$I$1,$I$2,$M$9,$I$3,$I$4,$A30)</f>
        <v>0</v>
      </c>
      <c r="M30" s="16">
        <f t="shared" ca="1" si="2"/>
        <v>0</v>
      </c>
      <c r="N30" s="16">
        <f ca="1">_xll.DBRW("canaf:YLD_Components",$B$1,$B$2,$E$1,$F$7,$I$1,$I$2,$M$9,$I$3,$I$4,$A30)</f>
        <v>0</v>
      </c>
      <c r="O30" s="87">
        <f ca="1">_xll.DBRW("canaf:YLD_Components",$B$1,$B$2,$E$1,$F$6,$I$1,$I$2,$Q$9,$I$3,$I$4,$A30)</f>
        <v>0</v>
      </c>
      <c r="P30" s="69">
        <f ca="1">_xll.DBRW("canaf:YLD_Components",$B$1,$B$2,$E$1,$F$2,$I$1,$I$2,$Q$9,$I$3,$I$4,$A30)</f>
        <v>0</v>
      </c>
      <c r="Q30" s="17">
        <f t="shared" ca="1" si="3"/>
        <v>0</v>
      </c>
      <c r="R30" s="17">
        <f ca="1">_xll.DBRW("canaf:YLD_Components",$B$1,$B$2,$E$1,$F$7,$I$1,$I$2,$Q$9,$I$3,$I$4,$A30)</f>
        <v>0</v>
      </c>
      <c r="S30" s="69">
        <f ca="1">_xll.DBRW("canaf:YLD_Components",$B$1,$B$2,$E$1,$F$6,$I$1,$I$2,$U$9,$I$3,$I$4,$A30)</f>
        <v>0</v>
      </c>
      <c r="T30" s="69">
        <f ca="1">_xll.DBRW("canaf:YLD_Components",$B$1,$B$2,$E$1,$F$2,$I$1,$I$2,$U$9,$I$3,$I$4,$A30)</f>
        <v>0</v>
      </c>
      <c r="U30" s="16">
        <f t="shared" ca="1" si="4"/>
        <v>0</v>
      </c>
      <c r="V30" s="16">
        <f ca="1">_xll.DBRW("canaf:YLD_Components",$B$1,$B$2,$E$1,$F$7,$I$1,$I$2,$U$9,$I$3,$I$4,$A30)</f>
        <v>0</v>
      </c>
      <c r="W30" s="87">
        <f ca="1">_xll.DBRW("canaf:YLD_Components",$B$1,$B$2,$E$1,$F$6,$I$1,$I$2,$Y$9,$I$3,$I$4,$A30)</f>
        <v>0</v>
      </c>
      <c r="X30" s="69">
        <f ca="1">_xll.DBRW("canaf:YLD_Components",$B$1,$B$2,$E$1,$F$2,$I$1,$I$2,$Y$9,$I$3,$I$4,$A30)</f>
        <v>0</v>
      </c>
      <c r="Y30" s="17">
        <f t="shared" ca="1" si="5"/>
        <v>0</v>
      </c>
      <c r="Z30" s="17">
        <f ca="1">_xll.DBRW("canaf:YLD_Components",$B$1,$B$2,$E$1,$F$7,$I$1,$I$2,$Y$9,$I$3,$I$4,$A30)</f>
        <v>0</v>
      </c>
      <c r="AA30" s="69">
        <f ca="1">_xll.DBRW("canaf:YLD_Components",$B$1,$B$2,$E$1,$F$6,$I$1,$I$2,$AC$9,$I$3,$I$4,$A30)</f>
        <v>0</v>
      </c>
      <c r="AB30" s="69">
        <f ca="1">_xll.DBRW("canaf:YLD_Components",$B$1,$B$2,$E$1,$F$2,$I$1,$I$2,$AC$9,$I$3,$I$4,$A30)</f>
        <v>0</v>
      </c>
      <c r="AC30" s="16">
        <f t="shared" ca="1" si="6"/>
        <v>0</v>
      </c>
      <c r="AD30" s="16">
        <f ca="1">_xll.DBRW("canaf:YLD_Components",$B$1,$B$2,$E$1,$F$7,$I$1,$I$2,$AC$9,$I$3,$I$4,$A30)</f>
        <v>0</v>
      </c>
      <c r="AE30" s="87">
        <f ca="1">_xll.DBRW("canaf:YLD_Components",$B$1,$B$2,$E$1,$F$6,$I$1,$I$2,$AG$9,$I$3,$I$4,$A30)</f>
        <v>0</v>
      </c>
      <c r="AF30" s="69">
        <f ca="1">_xll.DBRW("canaf:YLD_Components",$B$1,$B$2,$E$1,$F$2,$I$1,$I$2,$AG$9,$I$3,$I$4,$A30)</f>
        <v>0</v>
      </c>
      <c r="AG30" s="17">
        <f t="shared" ca="1" si="7"/>
        <v>0</v>
      </c>
      <c r="AH30" s="17">
        <f ca="1">_xll.DBRW("canaf:YLD_Components",$B$1,$B$2,$E$1,$F$7,$I$1,$I$2,$AG$9,$I$3,$I$4,$A30)</f>
        <v>0</v>
      </c>
      <c r="AI30" s="69">
        <f ca="1">_xll.DBRW("canaf:YLD_Components",$B$1,$B$2,$E$1,$F$6,$I$1,$I$2,$AK$9,$I$3,$I$4,$A30)</f>
        <v>0</v>
      </c>
      <c r="AJ30" s="69">
        <f ca="1">_xll.DBRW("canaf:YLD_Components",$B$1,$B$2,$E$1,$F$2,$I$1,$I$2,$AK$9,$I$3,$I$4,$A30)</f>
        <v>0</v>
      </c>
      <c r="AK30" s="16">
        <f t="shared" ca="1" si="8"/>
        <v>0</v>
      </c>
      <c r="AL30" s="16">
        <f ca="1">_xll.DBRW("canaf:YLD_Components",$B$1,$B$2,$E$1,$F$7,$I$1,$I$2,$AK$9,$I$3,$I$4,$A30)</f>
        <v>0</v>
      </c>
      <c r="AM30" s="87">
        <f ca="1">_xll.DBRW("canaf:YLD_Components",$B$1,$B$2,$E$1,$F$6,$I$1,$I$2,$AO$9,$I$3,$I$4,$A30)</f>
        <v>0</v>
      </c>
      <c r="AN30" s="69">
        <f ca="1">_xll.DBRW("canaf:YLD_Components",$B$1,$B$2,$E$1,$F$2,$I$1,$I$2,$AO$9,$I$3,$I$4,$A30)</f>
        <v>0</v>
      </c>
      <c r="AO30" s="17">
        <f t="shared" ca="1" si="9"/>
        <v>0</v>
      </c>
      <c r="AP30" s="17">
        <f ca="1">_xll.DBRW("canaf:YLD_Components",$B$1,$B$2,$E$1,$F$7,$I$1,$I$2,$AO$9,$I$3,$I$4,$A30)</f>
        <v>0</v>
      </c>
      <c r="AQ30" s="69">
        <f ca="1">_xll.DBRW("canaf:YLD_Components",$B$1,$B$2,$E$1,$F$6,$I$1,$I$2,$AS$9,$I$3,$I$4,$A30)</f>
        <v>0</v>
      </c>
      <c r="AR30" s="69">
        <f ca="1">_xll.DBRW("canaf:YLD_Components",$B$1,$B$2,$E$1,$F$2,$I$1,$I$2,$AS$9,$I$3,$I$4,$A30)</f>
        <v>0</v>
      </c>
      <c r="AS30" s="16">
        <f t="shared" ca="1" si="10"/>
        <v>0</v>
      </c>
      <c r="AT30" s="16">
        <f ca="1">_xll.DBRW("canaf:YLD_Components",$B$1,$B$2,$E$1,$F$7,$I$1,$I$2,$AS$9,$I$3,$I$4,$A30)</f>
        <v>0</v>
      </c>
      <c r="AU30" s="87">
        <f ca="1">_xll.DBRW("canaf:YLD_Components",$B$1,$B$2,$E$1,$F$6,$I$1,$I$2,$AW$9,$I$3,$I$4,$A30)</f>
        <v>0</v>
      </c>
      <c r="AV30" s="69">
        <f ca="1">_xll.DBRW("canaf:YLD_Components",$B$1,$B$2,$E$1,$F$2,$I$1,$I$2,$AW$9,$I$3,$I$4,$A30)</f>
        <v>0</v>
      </c>
      <c r="AW30" s="17">
        <f t="shared" ca="1" si="11"/>
        <v>0</v>
      </c>
      <c r="AX30" s="17">
        <f ca="1">_xll.DBRW("canaf:YLD_Components",$B$1,$B$2,$E$1,$F$7,$I$1,$I$2,$AW$9,$I$3,$I$4,$A30)</f>
        <v>0</v>
      </c>
      <c r="AY30" s="18"/>
    </row>
    <row r="31" spans="1:51" s="76" customFormat="1">
      <c r="A31" s="146" t="s">
        <v>14</v>
      </c>
      <c r="B31" s="19" t="s">
        <v>14</v>
      </c>
      <c r="C31" s="69">
        <f ca="1">_xll.DBRW("canaf:YLD_Components",$B$1,$B$2,$E$1,$F$6,$I$1,$I$2,$E$9,$I$3,$I$4,$A31)</f>
        <v>0</v>
      </c>
      <c r="D31" s="69">
        <f ca="1">_xll.DBRW("canaf:YLD_Components",$B$1,$B$2,$E$1,$F$2,$I$1,$I$2,$E$9,$I$3,$I$4,$A31)</f>
        <v>0</v>
      </c>
      <c r="E31" s="16">
        <f t="shared" ca="1" si="0"/>
        <v>0</v>
      </c>
      <c r="F31" s="16">
        <f ca="1">_xll.DBRW("canaf:YLD_Components",$B$1,$B$2,$E$1,$F$7,$I$1,$I$2,$E$9,$I$3,$I$4,$A31)</f>
        <v>0</v>
      </c>
      <c r="G31" s="87">
        <f ca="1">_xll.DBRW("canaf:YLD_Components",$B$1,$B$2,$E$1,$F$6,$I$1,$I$2,$I$9,$I$3,$I$4,$A31)</f>
        <v>0</v>
      </c>
      <c r="H31" s="69">
        <f ca="1">_xll.DBRW("canaf:YLD_Components",$B$1,$B$2,$E$1,$F$2,$I$1,$I$2,$I$9,$I$3,$I$4,$A31)</f>
        <v>0</v>
      </c>
      <c r="I31" s="17">
        <f t="shared" ca="1" si="1"/>
        <v>0</v>
      </c>
      <c r="J31" s="17">
        <f ca="1">_xll.DBRW("canaf:YLD_Components",$B$1,$B$2,$E$1,$F$7,$I$1,$I$2,$I$9,$I$3,$I$4,$A31)</f>
        <v>0</v>
      </c>
      <c r="K31" s="69">
        <f ca="1">_xll.DBRW("canaf:YLD_Components",$B$1,$B$2,$E$1,$F$6,$I$1,$I$2,$M$9,$I$3,$I$4,$A31)</f>
        <v>0</v>
      </c>
      <c r="L31" s="69">
        <f ca="1">_xll.DBRW("canaf:YLD_Components",$B$1,$B$2,$E$1,$F$2,$I$1,$I$2,$M$9,$I$3,$I$4,$A31)</f>
        <v>0</v>
      </c>
      <c r="M31" s="16">
        <f t="shared" ca="1" si="2"/>
        <v>0</v>
      </c>
      <c r="N31" s="16">
        <f ca="1">_xll.DBRW("canaf:YLD_Components",$B$1,$B$2,$E$1,$F$7,$I$1,$I$2,$M$9,$I$3,$I$4,$A31)</f>
        <v>0</v>
      </c>
      <c r="O31" s="87">
        <f ca="1">_xll.DBRW("canaf:YLD_Components",$B$1,$B$2,$E$1,$F$6,$I$1,$I$2,$Q$9,$I$3,$I$4,$A31)</f>
        <v>0</v>
      </c>
      <c r="P31" s="69">
        <f ca="1">_xll.DBRW("canaf:YLD_Components",$B$1,$B$2,$E$1,$F$2,$I$1,$I$2,$Q$9,$I$3,$I$4,$A31)</f>
        <v>0</v>
      </c>
      <c r="Q31" s="17">
        <f t="shared" ca="1" si="3"/>
        <v>0</v>
      </c>
      <c r="R31" s="17">
        <f ca="1">_xll.DBRW("canaf:YLD_Components",$B$1,$B$2,$E$1,$F$7,$I$1,$I$2,$Q$9,$I$3,$I$4,$A31)</f>
        <v>0</v>
      </c>
      <c r="S31" s="69">
        <f ca="1">_xll.DBRW("canaf:YLD_Components",$B$1,$B$2,$E$1,$F$6,$I$1,$I$2,$U$9,$I$3,$I$4,$A31)</f>
        <v>0</v>
      </c>
      <c r="T31" s="69">
        <f ca="1">_xll.DBRW("canaf:YLD_Components",$B$1,$B$2,$E$1,$F$2,$I$1,$I$2,$U$9,$I$3,$I$4,$A31)</f>
        <v>0</v>
      </c>
      <c r="U31" s="16">
        <f t="shared" ca="1" si="4"/>
        <v>0</v>
      </c>
      <c r="V31" s="16">
        <f ca="1">_xll.DBRW("canaf:YLD_Components",$B$1,$B$2,$E$1,$F$7,$I$1,$I$2,$U$9,$I$3,$I$4,$A31)</f>
        <v>0</v>
      </c>
      <c r="W31" s="87">
        <f ca="1">_xll.DBRW("canaf:YLD_Components",$B$1,$B$2,$E$1,$F$6,$I$1,$I$2,$Y$9,$I$3,$I$4,$A31)</f>
        <v>0</v>
      </c>
      <c r="X31" s="69">
        <f ca="1">_xll.DBRW("canaf:YLD_Components",$B$1,$B$2,$E$1,$F$2,$I$1,$I$2,$Y$9,$I$3,$I$4,$A31)</f>
        <v>0</v>
      </c>
      <c r="Y31" s="17">
        <f t="shared" ca="1" si="5"/>
        <v>0</v>
      </c>
      <c r="Z31" s="17">
        <f ca="1">_xll.DBRW("canaf:YLD_Components",$B$1,$B$2,$E$1,$F$7,$I$1,$I$2,$Y$9,$I$3,$I$4,$A31)</f>
        <v>0</v>
      </c>
      <c r="AA31" s="69">
        <f ca="1">_xll.DBRW("canaf:YLD_Components",$B$1,$B$2,$E$1,$F$6,$I$1,$I$2,$AC$9,$I$3,$I$4,$A31)</f>
        <v>0</v>
      </c>
      <c r="AB31" s="69">
        <f ca="1">_xll.DBRW("canaf:YLD_Components",$B$1,$B$2,$E$1,$F$2,$I$1,$I$2,$AC$9,$I$3,$I$4,$A31)</f>
        <v>0</v>
      </c>
      <c r="AC31" s="16">
        <f t="shared" ca="1" si="6"/>
        <v>0</v>
      </c>
      <c r="AD31" s="16">
        <f ca="1">_xll.DBRW("canaf:YLD_Components",$B$1,$B$2,$E$1,$F$7,$I$1,$I$2,$AC$9,$I$3,$I$4,$A31)</f>
        <v>0</v>
      </c>
      <c r="AE31" s="87">
        <f ca="1">_xll.DBRW("canaf:YLD_Components",$B$1,$B$2,$E$1,$F$6,$I$1,$I$2,$AG$9,$I$3,$I$4,$A31)</f>
        <v>0</v>
      </c>
      <c r="AF31" s="69">
        <f ca="1">_xll.DBRW("canaf:YLD_Components",$B$1,$B$2,$E$1,$F$2,$I$1,$I$2,$AG$9,$I$3,$I$4,$A31)</f>
        <v>0</v>
      </c>
      <c r="AG31" s="17">
        <f t="shared" ca="1" si="7"/>
        <v>0</v>
      </c>
      <c r="AH31" s="17">
        <f ca="1">_xll.DBRW("canaf:YLD_Components",$B$1,$B$2,$E$1,$F$7,$I$1,$I$2,$AG$9,$I$3,$I$4,$A31)</f>
        <v>0</v>
      </c>
      <c r="AI31" s="69">
        <f ca="1">_xll.DBRW("canaf:YLD_Components",$B$1,$B$2,$E$1,$F$6,$I$1,$I$2,$AK$9,$I$3,$I$4,$A31)</f>
        <v>0</v>
      </c>
      <c r="AJ31" s="69">
        <f ca="1">_xll.DBRW("canaf:YLD_Components",$B$1,$B$2,$E$1,$F$2,$I$1,$I$2,$AK$9,$I$3,$I$4,$A31)</f>
        <v>0</v>
      </c>
      <c r="AK31" s="16">
        <f t="shared" ca="1" si="8"/>
        <v>0</v>
      </c>
      <c r="AL31" s="16">
        <f ca="1">_xll.DBRW("canaf:YLD_Components",$B$1,$B$2,$E$1,$F$7,$I$1,$I$2,$AK$9,$I$3,$I$4,$A31)</f>
        <v>0</v>
      </c>
      <c r="AM31" s="87">
        <f ca="1">_xll.DBRW("canaf:YLD_Components",$B$1,$B$2,$E$1,$F$6,$I$1,$I$2,$AO$9,$I$3,$I$4,$A31)</f>
        <v>0</v>
      </c>
      <c r="AN31" s="69">
        <f ca="1">_xll.DBRW("canaf:YLD_Components",$B$1,$B$2,$E$1,$F$2,$I$1,$I$2,$AO$9,$I$3,$I$4,$A31)</f>
        <v>0</v>
      </c>
      <c r="AO31" s="17">
        <f t="shared" ca="1" si="9"/>
        <v>0</v>
      </c>
      <c r="AP31" s="17">
        <f ca="1">_xll.DBRW("canaf:YLD_Components",$B$1,$B$2,$E$1,$F$7,$I$1,$I$2,$AO$9,$I$3,$I$4,$A31)</f>
        <v>0</v>
      </c>
      <c r="AQ31" s="69">
        <f ca="1">_xll.DBRW("canaf:YLD_Components",$B$1,$B$2,$E$1,$F$6,$I$1,$I$2,$AS$9,$I$3,$I$4,$A31)</f>
        <v>0</v>
      </c>
      <c r="AR31" s="69">
        <f ca="1">_xll.DBRW("canaf:YLD_Components",$B$1,$B$2,$E$1,$F$2,$I$1,$I$2,$AS$9,$I$3,$I$4,$A31)</f>
        <v>0</v>
      </c>
      <c r="AS31" s="16">
        <f t="shared" ca="1" si="10"/>
        <v>0</v>
      </c>
      <c r="AT31" s="16">
        <f ca="1">_xll.DBRW("canaf:YLD_Components",$B$1,$B$2,$E$1,$F$7,$I$1,$I$2,$AS$9,$I$3,$I$4,$A31)</f>
        <v>0</v>
      </c>
      <c r="AU31" s="87">
        <f ca="1">_xll.DBRW("canaf:YLD_Components",$B$1,$B$2,$E$1,$F$6,$I$1,$I$2,$AW$9,$I$3,$I$4,$A31)</f>
        <v>0</v>
      </c>
      <c r="AV31" s="69">
        <f ca="1">_xll.DBRW("canaf:YLD_Components",$B$1,$B$2,$E$1,$F$2,$I$1,$I$2,$AW$9,$I$3,$I$4,$A31)</f>
        <v>0</v>
      </c>
      <c r="AW31" s="17">
        <f t="shared" ca="1" si="11"/>
        <v>0</v>
      </c>
      <c r="AX31" s="17">
        <f ca="1">_xll.DBRW("canaf:YLD_Components",$B$1,$B$2,$E$1,$F$7,$I$1,$I$2,$AW$9,$I$3,$I$4,$A31)</f>
        <v>0</v>
      </c>
      <c r="AY31" s="147"/>
    </row>
    <row r="32" spans="1:51">
      <c r="A32" s="62" t="s">
        <v>15</v>
      </c>
      <c r="B32" s="19" t="s">
        <v>15</v>
      </c>
      <c r="C32" s="69">
        <f ca="1">_xll.DBRW("canaf:YLD_Components",$B$1,$B$2,$E$1,$F$6,$I$1,$I$2,$E$9,$I$3,$I$4,$A32)</f>
        <v>0</v>
      </c>
      <c r="D32" s="69">
        <f ca="1">_xll.DBRW("canaf:YLD_Components",$B$1,$B$2,$E$1,$F$2,$I$1,$I$2,$E$9,$I$3,$I$4,$A32)</f>
        <v>0</v>
      </c>
      <c r="E32" s="16">
        <f t="shared" ca="1" si="0"/>
        <v>0</v>
      </c>
      <c r="F32" s="16">
        <f ca="1">_xll.DBRW("canaf:YLD_Components",$B$1,$B$2,$E$1,$F$7,$I$1,$I$2,$E$9,$I$3,$I$4,$A32)</f>
        <v>0</v>
      </c>
      <c r="G32" s="87">
        <f ca="1">_xll.DBRW("canaf:YLD_Components",$B$1,$B$2,$E$1,$F$6,$I$1,$I$2,$I$9,$I$3,$I$4,$A32)</f>
        <v>0</v>
      </c>
      <c r="H32" s="69">
        <f ca="1">_xll.DBRW("canaf:YLD_Components",$B$1,$B$2,$E$1,$F$2,$I$1,$I$2,$I$9,$I$3,$I$4,$A32)</f>
        <v>0</v>
      </c>
      <c r="I32" s="17">
        <f t="shared" ca="1" si="1"/>
        <v>0</v>
      </c>
      <c r="J32" s="17">
        <f ca="1">_xll.DBRW("canaf:YLD_Components",$B$1,$B$2,$E$1,$F$7,$I$1,$I$2,$I$9,$I$3,$I$4,$A32)</f>
        <v>0</v>
      </c>
      <c r="K32" s="69">
        <f ca="1">_xll.DBRW("canaf:YLD_Components",$B$1,$B$2,$E$1,$F$6,$I$1,$I$2,$M$9,$I$3,$I$4,$A32)</f>
        <v>0</v>
      </c>
      <c r="L32" s="69">
        <f ca="1">_xll.DBRW("canaf:YLD_Components",$B$1,$B$2,$E$1,$F$2,$I$1,$I$2,$M$9,$I$3,$I$4,$A32)</f>
        <v>0</v>
      </c>
      <c r="M32" s="16">
        <f t="shared" ca="1" si="2"/>
        <v>0</v>
      </c>
      <c r="N32" s="16">
        <f ca="1">_xll.DBRW("canaf:YLD_Components",$B$1,$B$2,$E$1,$F$7,$I$1,$I$2,$M$9,$I$3,$I$4,$A32)</f>
        <v>0</v>
      </c>
      <c r="O32" s="87">
        <f ca="1">_xll.DBRW("canaf:YLD_Components",$B$1,$B$2,$E$1,$F$6,$I$1,$I$2,$Q$9,$I$3,$I$4,$A32)</f>
        <v>0</v>
      </c>
      <c r="P32" s="69">
        <f ca="1">_xll.DBRW("canaf:YLD_Components",$B$1,$B$2,$E$1,$F$2,$I$1,$I$2,$Q$9,$I$3,$I$4,$A32)</f>
        <v>0</v>
      </c>
      <c r="Q32" s="17">
        <f t="shared" ca="1" si="3"/>
        <v>0</v>
      </c>
      <c r="R32" s="17">
        <f ca="1">_xll.DBRW("canaf:YLD_Components",$B$1,$B$2,$E$1,$F$7,$I$1,$I$2,$Q$9,$I$3,$I$4,$A32)</f>
        <v>0</v>
      </c>
      <c r="S32" s="69">
        <f ca="1">_xll.DBRW("canaf:YLD_Components",$B$1,$B$2,$E$1,$F$6,$I$1,$I$2,$U$9,$I$3,$I$4,$A32)</f>
        <v>0</v>
      </c>
      <c r="T32" s="69">
        <f ca="1">_xll.DBRW("canaf:YLD_Components",$B$1,$B$2,$E$1,$F$2,$I$1,$I$2,$U$9,$I$3,$I$4,$A32)</f>
        <v>0</v>
      </c>
      <c r="U32" s="16">
        <f t="shared" ca="1" si="4"/>
        <v>0</v>
      </c>
      <c r="V32" s="16">
        <f ca="1">_xll.DBRW("canaf:YLD_Components",$B$1,$B$2,$E$1,$F$7,$I$1,$I$2,$U$9,$I$3,$I$4,$A32)</f>
        <v>0</v>
      </c>
      <c r="W32" s="87">
        <f ca="1">_xll.DBRW("canaf:YLD_Components",$B$1,$B$2,$E$1,$F$6,$I$1,$I$2,$Y$9,$I$3,$I$4,$A32)</f>
        <v>0</v>
      </c>
      <c r="X32" s="69">
        <f ca="1">_xll.DBRW("canaf:YLD_Components",$B$1,$B$2,$E$1,$F$2,$I$1,$I$2,$Y$9,$I$3,$I$4,$A32)</f>
        <v>0</v>
      </c>
      <c r="Y32" s="17">
        <f t="shared" ca="1" si="5"/>
        <v>0</v>
      </c>
      <c r="Z32" s="17">
        <f ca="1">_xll.DBRW("canaf:YLD_Components",$B$1,$B$2,$E$1,$F$7,$I$1,$I$2,$Y$9,$I$3,$I$4,$A32)</f>
        <v>0</v>
      </c>
      <c r="AA32" s="69">
        <f ca="1">_xll.DBRW("canaf:YLD_Components",$B$1,$B$2,$E$1,$F$6,$I$1,$I$2,$AC$9,$I$3,$I$4,$A32)</f>
        <v>0</v>
      </c>
      <c r="AB32" s="69">
        <f ca="1">_xll.DBRW("canaf:YLD_Components",$B$1,$B$2,$E$1,$F$2,$I$1,$I$2,$AC$9,$I$3,$I$4,$A32)</f>
        <v>0</v>
      </c>
      <c r="AC32" s="16">
        <f t="shared" ca="1" si="6"/>
        <v>0</v>
      </c>
      <c r="AD32" s="16">
        <f ca="1">_xll.DBRW("canaf:YLD_Components",$B$1,$B$2,$E$1,$F$7,$I$1,$I$2,$AC$9,$I$3,$I$4,$A32)</f>
        <v>0</v>
      </c>
      <c r="AE32" s="87">
        <f ca="1">_xll.DBRW("canaf:YLD_Components",$B$1,$B$2,$E$1,$F$6,$I$1,$I$2,$AG$9,$I$3,$I$4,$A32)</f>
        <v>0</v>
      </c>
      <c r="AF32" s="69">
        <f ca="1">_xll.DBRW("canaf:YLD_Components",$B$1,$B$2,$E$1,$F$2,$I$1,$I$2,$AG$9,$I$3,$I$4,$A32)</f>
        <v>0</v>
      </c>
      <c r="AG32" s="17">
        <f t="shared" ca="1" si="7"/>
        <v>0</v>
      </c>
      <c r="AH32" s="17">
        <f ca="1">_xll.DBRW("canaf:YLD_Components",$B$1,$B$2,$E$1,$F$7,$I$1,$I$2,$AG$9,$I$3,$I$4,$A32)</f>
        <v>0</v>
      </c>
      <c r="AI32" s="69">
        <f ca="1">_xll.DBRW("canaf:YLD_Components",$B$1,$B$2,$E$1,$F$6,$I$1,$I$2,$AK$9,$I$3,$I$4,$A32)</f>
        <v>0</v>
      </c>
      <c r="AJ32" s="69">
        <f ca="1">_xll.DBRW("canaf:YLD_Components",$B$1,$B$2,$E$1,$F$2,$I$1,$I$2,$AK$9,$I$3,$I$4,$A32)</f>
        <v>0</v>
      </c>
      <c r="AK32" s="16">
        <f t="shared" ca="1" si="8"/>
        <v>0</v>
      </c>
      <c r="AL32" s="16">
        <f ca="1">_xll.DBRW("canaf:YLD_Components",$B$1,$B$2,$E$1,$F$7,$I$1,$I$2,$AK$9,$I$3,$I$4,$A32)</f>
        <v>0</v>
      </c>
      <c r="AM32" s="87">
        <f ca="1">_xll.DBRW("canaf:YLD_Components",$B$1,$B$2,$E$1,$F$6,$I$1,$I$2,$AO$9,$I$3,$I$4,$A32)</f>
        <v>0</v>
      </c>
      <c r="AN32" s="69">
        <f ca="1">_xll.DBRW("canaf:YLD_Components",$B$1,$B$2,$E$1,$F$2,$I$1,$I$2,$AO$9,$I$3,$I$4,$A32)</f>
        <v>0</v>
      </c>
      <c r="AO32" s="17">
        <f t="shared" ca="1" si="9"/>
        <v>0</v>
      </c>
      <c r="AP32" s="17">
        <f ca="1">_xll.DBRW("canaf:YLD_Components",$B$1,$B$2,$E$1,$F$7,$I$1,$I$2,$AO$9,$I$3,$I$4,$A32)</f>
        <v>0</v>
      </c>
      <c r="AQ32" s="69">
        <f ca="1">_xll.DBRW("canaf:YLD_Components",$B$1,$B$2,$E$1,$F$6,$I$1,$I$2,$AS$9,$I$3,$I$4,$A32)</f>
        <v>0</v>
      </c>
      <c r="AR32" s="69">
        <f ca="1">_xll.DBRW("canaf:YLD_Components",$B$1,$B$2,$E$1,$F$2,$I$1,$I$2,$AS$9,$I$3,$I$4,$A32)</f>
        <v>0</v>
      </c>
      <c r="AS32" s="16">
        <f t="shared" ca="1" si="10"/>
        <v>0</v>
      </c>
      <c r="AT32" s="16">
        <f ca="1">_xll.DBRW("canaf:YLD_Components",$B$1,$B$2,$E$1,$F$7,$I$1,$I$2,$AS$9,$I$3,$I$4,$A32)</f>
        <v>0</v>
      </c>
      <c r="AU32" s="87">
        <f ca="1">_xll.DBRW("canaf:YLD_Components",$B$1,$B$2,$E$1,$F$6,$I$1,$I$2,$AW$9,$I$3,$I$4,$A32)</f>
        <v>0</v>
      </c>
      <c r="AV32" s="69">
        <f ca="1">_xll.DBRW("canaf:YLD_Components",$B$1,$B$2,$E$1,$F$2,$I$1,$I$2,$AW$9,$I$3,$I$4,$A32)</f>
        <v>0</v>
      </c>
      <c r="AW32" s="17">
        <f t="shared" ca="1" si="11"/>
        <v>0</v>
      </c>
      <c r="AX32" s="17">
        <f ca="1">_xll.DBRW("canaf:YLD_Components",$B$1,$B$2,$E$1,$F$7,$I$1,$I$2,$AW$9,$I$3,$I$4,$A32)</f>
        <v>0</v>
      </c>
      <c r="AY32" s="18"/>
    </row>
    <row r="33" spans="1:53">
      <c r="A33" s="62" t="s">
        <v>16</v>
      </c>
      <c r="B33" s="19" t="s">
        <v>16</v>
      </c>
      <c r="C33" s="69">
        <f ca="1">_xll.DBRW("canaf:YLD_Components",$B$1,$B$2,$E$1,$F$6,$I$1,$I$2,$E$9,$I$3,$I$4,$A33)</f>
        <v>0</v>
      </c>
      <c r="D33" s="69">
        <f ca="1">_xll.DBRW("canaf:YLD_Components",$B$1,$B$2,$E$1,$F$2,$I$1,$I$2,$E$9,$I$3,$I$4,$A33)</f>
        <v>0</v>
      </c>
      <c r="E33" s="16">
        <f t="shared" ca="1" si="0"/>
        <v>0</v>
      </c>
      <c r="F33" s="16">
        <f ca="1">_xll.DBRW("canaf:YLD_Components",$B$1,$B$2,$E$1,$F$7,$I$1,$I$2,$E$9,$I$3,$I$4,$A33)</f>
        <v>0</v>
      </c>
      <c r="G33" s="87">
        <f ca="1">_xll.DBRW("canaf:YLD_Components",$B$1,$B$2,$E$1,$F$6,$I$1,$I$2,$I$9,$I$3,$I$4,$A33)</f>
        <v>0</v>
      </c>
      <c r="H33" s="69">
        <f ca="1">_xll.DBRW("canaf:YLD_Components",$B$1,$B$2,$E$1,$F$2,$I$1,$I$2,$I$9,$I$3,$I$4,$A33)</f>
        <v>0</v>
      </c>
      <c r="I33" s="17">
        <f t="shared" ca="1" si="1"/>
        <v>0</v>
      </c>
      <c r="J33" s="17">
        <f ca="1">_xll.DBRW("canaf:YLD_Components",$B$1,$B$2,$E$1,$F$7,$I$1,$I$2,$I$9,$I$3,$I$4,$A33)</f>
        <v>0</v>
      </c>
      <c r="K33" s="69">
        <f ca="1">_xll.DBRW("canaf:YLD_Components",$B$1,$B$2,$E$1,$F$6,$I$1,$I$2,$M$9,$I$3,$I$4,$A33)</f>
        <v>0</v>
      </c>
      <c r="L33" s="69">
        <f ca="1">_xll.DBRW("canaf:YLD_Components",$B$1,$B$2,$E$1,$F$2,$I$1,$I$2,$M$9,$I$3,$I$4,$A33)</f>
        <v>0</v>
      </c>
      <c r="M33" s="16">
        <f t="shared" ca="1" si="2"/>
        <v>0</v>
      </c>
      <c r="N33" s="16">
        <f ca="1">_xll.DBRW("canaf:YLD_Components",$B$1,$B$2,$E$1,$F$7,$I$1,$I$2,$M$9,$I$3,$I$4,$A33)</f>
        <v>0</v>
      </c>
      <c r="O33" s="87">
        <f ca="1">_xll.DBRW("canaf:YLD_Components",$B$1,$B$2,$E$1,$F$6,$I$1,$I$2,$Q$9,$I$3,$I$4,$A33)</f>
        <v>0</v>
      </c>
      <c r="P33" s="69">
        <f ca="1">_xll.DBRW("canaf:YLD_Components",$B$1,$B$2,$E$1,$F$2,$I$1,$I$2,$Q$9,$I$3,$I$4,$A33)</f>
        <v>0</v>
      </c>
      <c r="Q33" s="17">
        <f t="shared" ca="1" si="3"/>
        <v>0</v>
      </c>
      <c r="R33" s="17">
        <f ca="1">_xll.DBRW("canaf:YLD_Components",$B$1,$B$2,$E$1,$F$7,$I$1,$I$2,$Q$9,$I$3,$I$4,$A33)</f>
        <v>0</v>
      </c>
      <c r="S33" s="69">
        <f ca="1">_xll.DBRW("canaf:YLD_Components",$B$1,$B$2,$E$1,$F$6,$I$1,$I$2,$U$9,$I$3,$I$4,$A33)</f>
        <v>0</v>
      </c>
      <c r="T33" s="69">
        <f ca="1">_xll.DBRW("canaf:YLD_Components",$B$1,$B$2,$E$1,$F$2,$I$1,$I$2,$U$9,$I$3,$I$4,$A33)</f>
        <v>0</v>
      </c>
      <c r="U33" s="16">
        <f t="shared" ca="1" si="4"/>
        <v>0</v>
      </c>
      <c r="V33" s="16">
        <f ca="1">_xll.DBRW("canaf:YLD_Components",$B$1,$B$2,$E$1,$F$7,$I$1,$I$2,$U$9,$I$3,$I$4,$A33)</f>
        <v>0</v>
      </c>
      <c r="W33" s="87">
        <f ca="1">_xll.DBRW("canaf:YLD_Components",$B$1,$B$2,$E$1,$F$6,$I$1,$I$2,$Y$9,$I$3,$I$4,$A33)</f>
        <v>0</v>
      </c>
      <c r="X33" s="69">
        <f ca="1">_xll.DBRW("canaf:YLD_Components",$B$1,$B$2,$E$1,$F$2,$I$1,$I$2,$Y$9,$I$3,$I$4,$A33)</f>
        <v>0</v>
      </c>
      <c r="Y33" s="17">
        <f t="shared" ca="1" si="5"/>
        <v>0</v>
      </c>
      <c r="Z33" s="17">
        <f ca="1">_xll.DBRW("canaf:YLD_Components",$B$1,$B$2,$E$1,$F$7,$I$1,$I$2,$Y$9,$I$3,$I$4,$A33)</f>
        <v>0</v>
      </c>
      <c r="AA33" s="69">
        <f ca="1">_xll.DBRW("canaf:YLD_Components",$B$1,$B$2,$E$1,$F$6,$I$1,$I$2,$AC$9,$I$3,$I$4,$A33)</f>
        <v>0</v>
      </c>
      <c r="AB33" s="69">
        <f ca="1">_xll.DBRW("canaf:YLD_Components",$B$1,$B$2,$E$1,$F$2,$I$1,$I$2,$AC$9,$I$3,$I$4,$A33)</f>
        <v>0</v>
      </c>
      <c r="AC33" s="16">
        <f t="shared" ca="1" si="6"/>
        <v>0</v>
      </c>
      <c r="AD33" s="16">
        <f ca="1">_xll.DBRW("canaf:YLD_Components",$B$1,$B$2,$E$1,$F$7,$I$1,$I$2,$AC$9,$I$3,$I$4,$A33)</f>
        <v>0</v>
      </c>
      <c r="AE33" s="87">
        <f ca="1">_xll.DBRW("canaf:YLD_Components",$B$1,$B$2,$E$1,$F$6,$I$1,$I$2,$AG$9,$I$3,$I$4,$A33)</f>
        <v>0</v>
      </c>
      <c r="AF33" s="69">
        <f ca="1">_xll.DBRW("canaf:YLD_Components",$B$1,$B$2,$E$1,$F$2,$I$1,$I$2,$AG$9,$I$3,$I$4,$A33)</f>
        <v>0</v>
      </c>
      <c r="AG33" s="17">
        <f t="shared" ca="1" si="7"/>
        <v>0</v>
      </c>
      <c r="AH33" s="17">
        <f ca="1">_xll.DBRW("canaf:YLD_Components",$B$1,$B$2,$E$1,$F$7,$I$1,$I$2,$AG$9,$I$3,$I$4,$A33)</f>
        <v>0</v>
      </c>
      <c r="AI33" s="69">
        <f ca="1">_xll.DBRW("canaf:YLD_Components",$B$1,$B$2,$E$1,$F$6,$I$1,$I$2,$AK$9,$I$3,$I$4,$A33)</f>
        <v>0</v>
      </c>
      <c r="AJ33" s="69">
        <f ca="1">_xll.DBRW("canaf:YLD_Components",$B$1,$B$2,$E$1,$F$2,$I$1,$I$2,$AK$9,$I$3,$I$4,$A33)</f>
        <v>0</v>
      </c>
      <c r="AK33" s="16">
        <f t="shared" ca="1" si="8"/>
        <v>0</v>
      </c>
      <c r="AL33" s="16">
        <f ca="1">_xll.DBRW("canaf:YLD_Components",$B$1,$B$2,$E$1,$F$7,$I$1,$I$2,$AK$9,$I$3,$I$4,$A33)</f>
        <v>0</v>
      </c>
      <c r="AM33" s="87">
        <f ca="1">_xll.DBRW("canaf:YLD_Components",$B$1,$B$2,$E$1,$F$6,$I$1,$I$2,$AO$9,$I$3,$I$4,$A33)</f>
        <v>0</v>
      </c>
      <c r="AN33" s="69">
        <f ca="1">_xll.DBRW("canaf:YLD_Components",$B$1,$B$2,$E$1,$F$2,$I$1,$I$2,$AO$9,$I$3,$I$4,$A33)</f>
        <v>0</v>
      </c>
      <c r="AO33" s="17">
        <f t="shared" ca="1" si="9"/>
        <v>0</v>
      </c>
      <c r="AP33" s="17">
        <f ca="1">_xll.DBRW("canaf:YLD_Components",$B$1,$B$2,$E$1,$F$7,$I$1,$I$2,$AO$9,$I$3,$I$4,$A33)</f>
        <v>0</v>
      </c>
      <c r="AQ33" s="69">
        <f ca="1">_xll.DBRW("canaf:YLD_Components",$B$1,$B$2,$E$1,$F$6,$I$1,$I$2,$AS$9,$I$3,$I$4,$A33)</f>
        <v>0</v>
      </c>
      <c r="AR33" s="69">
        <f ca="1">_xll.DBRW("canaf:YLD_Components",$B$1,$B$2,$E$1,$F$2,$I$1,$I$2,$AS$9,$I$3,$I$4,$A33)</f>
        <v>0</v>
      </c>
      <c r="AS33" s="16">
        <f t="shared" ca="1" si="10"/>
        <v>0</v>
      </c>
      <c r="AT33" s="16">
        <f ca="1">_xll.DBRW("canaf:YLD_Components",$B$1,$B$2,$E$1,$F$7,$I$1,$I$2,$AS$9,$I$3,$I$4,$A33)</f>
        <v>0</v>
      </c>
      <c r="AU33" s="87">
        <f ca="1">_xll.DBRW("canaf:YLD_Components",$B$1,$B$2,$E$1,$F$6,$I$1,$I$2,$AW$9,$I$3,$I$4,$A33)</f>
        <v>0</v>
      </c>
      <c r="AV33" s="69">
        <f ca="1">_xll.DBRW("canaf:YLD_Components",$B$1,$B$2,$E$1,$F$2,$I$1,$I$2,$AW$9,$I$3,$I$4,$A33)</f>
        <v>0</v>
      </c>
      <c r="AW33" s="17">
        <f t="shared" ca="1" si="11"/>
        <v>0</v>
      </c>
      <c r="AX33" s="17">
        <f ca="1">_xll.DBRW("canaf:YLD_Components",$B$1,$B$2,$E$1,$F$7,$I$1,$I$2,$AW$9,$I$3,$I$4,$A33)</f>
        <v>0</v>
      </c>
      <c r="AY33" s="18"/>
    </row>
    <row r="34" spans="1:53">
      <c r="A34" s="62" t="s">
        <v>17</v>
      </c>
      <c r="B34" s="19" t="s">
        <v>17</v>
      </c>
      <c r="C34" s="69">
        <f ca="1">_xll.DBRW("canaf:YLD_Components",$B$1,$B$2,$E$1,$F$6,$I$1,$I$2,$E$9,$I$3,$I$4,$A34)</f>
        <v>0</v>
      </c>
      <c r="D34" s="69">
        <f ca="1">_xll.DBRW("canaf:YLD_Components",$B$1,$B$2,$E$1,$F$2,$I$1,$I$2,$E$9,$I$3,$I$4,$A34)</f>
        <v>0</v>
      </c>
      <c r="E34" s="16">
        <f t="shared" ca="1" si="0"/>
        <v>0</v>
      </c>
      <c r="F34" s="16">
        <f ca="1">_xll.DBRW("canaf:YLD_Components",$B$1,$B$2,$E$1,$F$7,$I$1,$I$2,$E$9,$I$3,$I$4,$A34)</f>
        <v>0</v>
      </c>
      <c r="G34" s="87">
        <f ca="1">_xll.DBRW("canaf:YLD_Components",$B$1,$B$2,$E$1,$F$6,$I$1,$I$2,$I$9,$I$3,$I$4,$A34)</f>
        <v>0</v>
      </c>
      <c r="H34" s="69">
        <f ca="1">_xll.DBRW("canaf:YLD_Components",$B$1,$B$2,$E$1,$F$2,$I$1,$I$2,$I$9,$I$3,$I$4,$A34)</f>
        <v>0</v>
      </c>
      <c r="I34" s="17">
        <f t="shared" ca="1" si="1"/>
        <v>0</v>
      </c>
      <c r="J34" s="17">
        <f ca="1">_xll.DBRW("canaf:YLD_Components",$B$1,$B$2,$E$1,$F$7,$I$1,$I$2,$I$9,$I$3,$I$4,$A34)</f>
        <v>0</v>
      </c>
      <c r="K34" s="69">
        <f ca="1">_xll.DBRW("canaf:YLD_Components",$B$1,$B$2,$E$1,$F$6,$I$1,$I$2,$M$9,$I$3,$I$4,$A34)</f>
        <v>0</v>
      </c>
      <c r="L34" s="69">
        <f ca="1">_xll.DBRW("canaf:YLD_Components",$B$1,$B$2,$E$1,$F$2,$I$1,$I$2,$M$9,$I$3,$I$4,$A34)</f>
        <v>0</v>
      </c>
      <c r="M34" s="16">
        <f t="shared" ca="1" si="2"/>
        <v>0</v>
      </c>
      <c r="N34" s="16">
        <f ca="1">_xll.DBRW("canaf:YLD_Components",$B$1,$B$2,$E$1,$F$7,$I$1,$I$2,$M$9,$I$3,$I$4,$A34)</f>
        <v>0</v>
      </c>
      <c r="O34" s="87">
        <f ca="1">_xll.DBRW("canaf:YLD_Components",$B$1,$B$2,$E$1,$F$6,$I$1,$I$2,$Q$9,$I$3,$I$4,$A34)</f>
        <v>0</v>
      </c>
      <c r="P34" s="69">
        <f ca="1">_xll.DBRW("canaf:YLD_Components",$B$1,$B$2,$E$1,$F$2,$I$1,$I$2,$Q$9,$I$3,$I$4,$A34)</f>
        <v>0</v>
      </c>
      <c r="Q34" s="17">
        <f t="shared" ca="1" si="3"/>
        <v>0</v>
      </c>
      <c r="R34" s="17">
        <f ca="1">_xll.DBRW("canaf:YLD_Components",$B$1,$B$2,$E$1,$F$7,$I$1,$I$2,$Q$9,$I$3,$I$4,$A34)</f>
        <v>0</v>
      </c>
      <c r="S34" s="69">
        <f ca="1">_xll.DBRW("canaf:YLD_Components",$B$1,$B$2,$E$1,$F$6,$I$1,$I$2,$U$9,$I$3,$I$4,$A34)</f>
        <v>0</v>
      </c>
      <c r="T34" s="69">
        <f ca="1">_xll.DBRW("canaf:YLD_Components",$B$1,$B$2,$E$1,$F$2,$I$1,$I$2,$U$9,$I$3,$I$4,$A34)</f>
        <v>0</v>
      </c>
      <c r="U34" s="16">
        <f t="shared" ca="1" si="4"/>
        <v>0</v>
      </c>
      <c r="V34" s="16">
        <f ca="1">_xll.DBRW("canaf:YLD_Components",$B$1,$B$2,$E$1,$F$7,$I$1,$I$2,$U$9,$I$3,$I$4,$A34)</f>
        <v>0</v>
      </c>
      <c r="W34" s="87">
        <f ca="1">_xll.DBRW("canaf:YLD_Components",$B$1,$B$2,$E$1,$F$6,$I$1,$I$2,$Y$9,$I$3,$I$4,$A34)</f>
        <v>0</v>
      </c>
      <c r="X34" s="69">
        <f ca="1">_xll.DBRW("canaf:YLD_Components",$B$1,$B$2,$E$1,$F$2,$I$1,$I$2,$Y$9,$I$3,$I$4,$A34)</f>
        <v>0</v>
      </c>
      <c r="Y34" s="17">
        <f t="shared" ca="1" si="5"/>
        <v>0</v>
      </c>
      <c r="Z34" s="17">
        <f ca="1">_xll.DBRW("canaf:YLD_Components",$B$1,$B$2,$E$1,$F$7,$I$1,$I$2,$Y$9,$I$3,$I$4,$A34)</f>
        <v>0</v>
      </c>
      <c r="AA34" s="69">
        <f ca="1">_xll.DBRW("canaf:YLD_Components",$B$1,$B$2,$E$1,$F$6,$I$1,$I$2,$AC$9,$I$3,$I$4,$A34)</f>
        <v>0</v>
      </c>
      <c r="AB34" s="69">
        <f ca="1">_xll.DBRW("canaf:YLD_Components",$B$1,$B$2,$E$1,$F$2,$I$1,$I$2,$AC$9,$I$3,$I$4,$A34)</f>
        <v>0</v>
      </c>
      <c r="AC34" s="16">
        <f t="shared" ca="1" si="6"/>
        <v>0</v>
      </c>
      <c r="AD34" s="16">
        <f ca="1">_xll.DBRW("canaf:YLD_Components",$B$1,$B$2,$E$1,$F$7,$I$1,$I$2,$AC$9,$I$3,$I$4,$A34)</f>
        <v>0</v>
      </c>
      <c r="AE34" s="87">
        <f ca="1">_xll.DBRW("canaf:YLD_Components",$B$1,$B$2,$E$1,$F$6,$I$1,$I$2,$AG$9,$I$3,$I$4,$A34)</f>
        <v>0</v>
      </c>
      <c r="AF34" s="69">
        <f ca="1">_xll.DBRW("canaf:YLD_Components",$B$1,$B$2,$E$1,$F$2,$I$1,$I$2,$AG$9,$I$3,$I$4,$A34)</f>
        <v>0</v>
      </c>
      <c r="AG34" s="17">
        <f t="shared" ca="1" si="7"/>
        <v>0</v>
      </c>
      <c r="AH34" s="17">
        <f ca="1">_xll.DBRW("canaf:YLD_Components",$B$1,$B$2,$E$1,$F$7,$I$1,$I$2,$AG$9,$I$3,$I$4,$A34)</f>
        <v>0</v>
      </c>
      <c r="AI34" s="69">
        <f ca="1">_xll.DBRW("canaf:YLD_Components",$B$1,$B$2,$E$1,$F$6,$I$1,$I$2,$AK$9,$I$3,$I$4,$A34)</f>
        <v>0</v>
      </c>
      <c r="AJ34" s="69">
        <f ca="1">_xll.DBRW("canaf:YLD_Components",$B$1,$B$2,$E$1,$F$2,$I$1,$I$2,$AK$9,$I$3,$I$4,$A34)</f>
        <v>0</v>
      </c>
      <c r="AK34" s="16">
        <f t="shared" ca="1" si="8"/>
        <v>0</v>
      </c>
      <c r="AL34" s="16">
        <f ca="1">_xll.DBRW("canaf:YLD_Components",$B$1,$B$2,$E$1,$F$7,$I$1,$I$2,$AK$9,$I$3,$I$4,$A34)</f>
        <v>0</v>
      </c>
      <c r="AM34" s="87">
        <f ca="1">_xll.DBRW("canaf:YLD_Components",$B$1,$B$2,$E$1,$F$6,$I$1,$I$2,$AO$9,$I$3,$I$4,$A34)</f>
        <v>0</v>
      </c>
      <c r="AN34" s="69">
        <f ca="1">_xll.DBRW("canaf:YLD_Components",$B$1,$B$2,$E$1,$F$2,$I$1,$I$2,$AO$9,$I$3,$I$4,$A34)</f>
        <v>0</v>
      </c>
      <c r="AO34" s="17">
        <f t="shared" ca="1" si="9"/>
        <v>0</v>
      </c>
      <c r="AP34" s="17">
        <f ca="1">_xll.DBRW("canaf:YLD_Components",$B$1,$B$2,$E$1,$F$7,$I$1,$I$2,$AO$9,$I$3,$I$4,$A34)</f>
        <v>0</v>
      </c>
      <c r="AQ34" s="69">
        <f ca="1">_xll.DBRW("canaf:YLD_Components",$B$1,$B$2,$E$1,$F$6,$I$1,$I$2,$AS$9,$I$3,$I$4,$A34)</f>
        <v>0</v>
      </c>
      <c r="AR34" s="69">
        <f ca="1">_xll.DBRW("canaf:YLD_Components",$B$1,$B$2,$E$1,$F$2,$I$1,$I$2,$AS$9,$I$3,$I$4,$A34)</f>
        <v>0</v>
      </c>
      <c r="AS34" s="16">
        <f t="shared" ca="1" si="10"/>
        <v>0</v>
      </c>
      <c r="AT34" s="16">
        <f ca="1">_xll.DBRW("canaf:YLD_Components",$B$1,$B$2,$E$1,$F$7,$I$1,$I$2,$AS$9,$I$3,$I$4,$A34)</f>
        <v>0</v>
      </c>
      <c r="AU34" s="87">
        <f ca="1">_xll.DBRW("canaf:YLD_Components",$B$1,$B$2,$E$1,$F$6,$I$1,$I$2,$AW$9,$I$3,$I$4,$A34)</f>
        <v>0</v>
      </c>
      <c r="AV34" s="69">
        <f ca="1">_xll.DBRW("canaf:YLD_Components",$B$1,$B$2,$E$1,$F$2,$I$1,$I$2,$AW$9,$I$3,$I$4,$A34)</f>
        <v>0</v>
      </c>
      <c r="AW34" s="17">
        <f t="shared" ca="1" si="11"/>
        <v>0</v>
      </c>
      <c r="AX34" s="17">
        <f ca="1">_xll.DBRW("canaf:YLD_Components",$B$1,$B$2,$E$1,$F$7,$I$1,$I$2,$AW$9,$I$3,$I$4,$A34)</f>
        <v>0</v>
      </c>
      <c r="AY34" s="18"/>
    </row>
    <row r="35" spans="1:53">
      <c r="A35" s="62" t="s">
        <v>18</v>
      </c>
      <c r="B35" s="19" t="s">
        <v>18</v>
      </c>
      <c r="C35" s="69">
        <f ca="1">_xll.DBRW("canaf:YLD_Components",$B$1,$B$2,$E$1,$F$6,$I$1,$I$2,$E$9,$I$3,$I$4,$A35)</f>
        <v>0</v>
      </c>
      <c r="D35" s="69">
        <f ca="1">_xll.DBRW("canaf:YLD_Components",$B$1,$B$2,$E$1,$F$2,$I$1,$I$2,$E$9,$I$3,$I$4,$A35)</f>
        <v>0</v>
      </c>
      <c r="E35" s="16">
        <f t="shared" ca="1" si="0"/>
        <v>0</v>
      </c>
      <c r="F35" s="16">
        <f ca="1">_xll.DBRW("canaf:YLD_Components",$B$1,$B$2,$E$1,$F$7,$I$1,$I$2,$E$9,$I$3,$I$4,$A35)</f>
        <v>0</v>
      </c>
      <c r="G35" s="87">
        <f ca="1">_xll.DBRW("canaf:YLD_Components",$B$1,$B$2,$E$1,$F$6,$I$1,$I$2,$I$9,$I$3,$I$4,$A35)</f>
        <v>0</v>
      </c>
      <c r="H35" s="69">
        <f ca="1">_xll.DBRW("canaf:YLD_Components",$B$1,$B$2,$E$1,$F$2,$I$1,$I$2,$I$9,$I$3,$I$4,$A35)</f>
        <v>0</v>
      </c>
      <c r="I35" s="17">
        <f t="shared" ca="1" si="1"/>
        <v>0</v>
      </c>
      <c r="J35" s="17">
        <f ca="1">_xll.DBRW("canaf:YLD_Components",$B$1,$B$2,$E$1,$F$7,$I$1,$I$2,$I$9,$I$3,$I$4,$A35)</f>
        <v>0</v>
      </c>
      <c r="K35" s="69">
        <f ca="1">_xll.DBRW("canaf:YLD_Components",$B$1,$B$2,$E$1,$F$6,$I$1,$I$2,$M$9,$I$3,$I$4,$A35)</f>
        <v>0</v>
      </c>
      <c r="L35" s="69">
        <f ca="1">_xll.DBRW("canaf:YLD_Components",$B$1,$B$2,$E$1,$F$2,$I$1,$I$2,$M$9,$I$3,$I$4,$A35)</f>
        <v>0</v>
      </c>
      <c r="M35" s="16">
        <f t="shared" ca="1" si="2"/>
        <v>0</v>
      </c>
      <c r="N35" s="16">
        <f ca="1">_xll.DBRW("canaf:YLD_Components",$B$1,$B$2,$E$1,$F$7,$I$1,$I$2,$M$9,$I$3,$I$4,$A35)</f>
        <v>0</v>
      </c>
      <c r="O35" s="87">
        <f ca="1">_xll.DBRW("canaf:YLD_Components",$B$1,$B$2,$E$1,$F$6,$I$1,$I$2,$Q$9,$I$3,$I$4,$A35)</f>
        <v>0</v>
      </c>
      <c r="P35" s="69">
        <f ca="1">_xll.DBRW("canaf:YLD_Components",$B$1,$B$2,$E$1,$F$2,$I$1,$I$2,$Q$9,$I$3,$I$4,$A35)</f>
        <v>0</v>
      </c>
      <c r="Q35" s="17">
        <f t="shared" ca="1" si="3"/>
        <v>0</v>
      </c>
      <c r="R35" s="17">
        <f ca="1">_xll.DBRW("canaf:YLD_Components",$B$1,$B$2,$E$1,$F$7,$I$1,$I$2,$Q$9,$I$3,$I$4,$A35)</f>
        <v>0</v>
      </c>
      <c r="S35" s="69">
        <f ca="1">_xll.DBRW("canaf:YLD_Components",$B$1,$B$2,$E$1,$F$6,$I$1,$I$2,$U$9,$I$3,$I$4,$A35)</f>
        <v>0</v>
      </c>
      <c r="T35" s="69">
        <f ca="1">_xll.DBRW("canaf:YLD_Components",$B$1,$B$2,$E$1,$F$2,$I$1,$I$2,$U$9,$I$3,$I$4,$A35)</f>
        <v>0</v>
      </c>
      <c r="U35" s="16">
        <f t="shared" ca="1" si="4"/>
        <v>0</v>
      </c>
      <c r="V35" s="16">
        <f ca="1">_xll.DBRW("canaf:YLD_Components",$B$1,$B$2,$E$1,$F$7,$I$1,$I$2,$U$9,$I$3,$I$4,$A35)</f>
        <v>0</v>
      </c>
      <c r="W35" s="87">
        <f ca="1">_xll.DBRW("canaf:YLD_Components",$B$1,$B$2,$E$1,$F$6,$I$1,$I$2,$Y$9,$I$3,$I$4,$A35)</f>
        <v>0</v>
      </c>
      <c r="X35" s="69">
        <f ca="1">_xll.DBRW("canaf:YLD_Components",$B$1,$B$2,$E$1,$F$2,$I$1,$I$2,$Y$9,$I$3,$I$4,$A35)</f>
        <v>0</v>
      </c>
      <c r="Y35" s="17">
        <f t="shared" ca="1" si="5"/>
        <v>0</v>
      </c>
      <c r="Z35" s="17">
        <f ca="1">_xll.DBRW("canaf:YLD_Components",$B$1,$B$2,$E$1,$F$7,$I$1,$I$2,$Y$9,$I$3,$I$4,$A35)</f>
        <v>0</v>
      </c>
      <c r="AA35" s="69">
        <f ca="1">_xll.DBRW("canaf:YLD_Components",$B$1,$B$2,$E$1,$F$6,$I$1,$I$2,$AC$9,$I$3,$I$4,$A35)</f>
        <v>0</v>
      </c>
      <c r="AB35" s="69">
        <f ca="1">_xll.DBRW("canaf:YLD_Components",$B$1,$B$2,$E$1,$F$2,$I$1,$I$2,$AC$9,$I$3,$I$4,$A35)</f>
        <v>0</v>
      </c>
      <c r="AC35" s="16">
        <f t="shared" ca="1" si="6"/>
        <v>0</v>
      </c>
      <c r="AD35" s="16">
        <f ca="1">_xll.DBRW("canaf:YLD_Components",$B$1,$B$2,$E$1,$F$7,$I$1,$I$2,$AC$9,$I$3,$I$4,$A35)</f>
        <v>0</v>
      </c>
      <c r="AE35" s="87">
        <f ca="1">_xll.DBRW("canaf:YLD_Components",$B$1,$B$2,$E$1,$F$6,$I$1,$I$2,$AG$9,$I$3,$I$4,$A35)</f>
        <v>0</v>
      </c>
      <c r="AF35" s="69">
        <f ca="1">_xll.DBRW("canaf:YLD_Components",$B$1,$B$2,$E$1,$F$2,$I$1,$I$2,$AG$9,$I$3,$I$4,$A35)</f>
        <v>0</v>
      </c>
      <c r="AG35" s="17">
        <f t="shared" ca="1" si="7"/>
        <v>0</v>
      </c>
      <c r="AH35" s="17">
        <f ca="1">_xll.DBRW("canaf:YLD_Components",$B$1,$B$2,$E$1,$F$7,$I$1,$I$2,$AG$9,$I$3,$I$4,$A35)</f>
        <v>0</v>
      </c>
      <c r="AI35" s="69">
        <f ca="1">_xll.DBRW("canaf:YLD_Components",$B$1,$B$2,$E$1,$F$6,$I$1,$I$2,$AK$9,$I$3,$I$4,$A35)</f>
        <v>0</v>
      </c>
      <c r="AJ35" s="69">
        <f ca="1">_xll.DBRW("canaf:YLD_Components",$B$1,$B$2,$E$1,$F$2,$I$1,$I$2,$AK$9,$I$3,$I$4,$A35)</f>
        <v>0</v>
      </c>
      <c r="AK35" s="16">
        <f t="shared" ca="1" si="8"/>
        <v>0</v>
      </c>
      <c r="AL35" s="16">
        <f ca="1">_xll.DBRW("canaf:YLD_Components",$B$1,$B$2,$E$1,$F$7,$I$1,$I$2,$AK$9,$I$3,$I$4,$A35)</f>
        <v>0</v>
      </c>
      <c r="AM35" s="87">
        <f ca="1">_xll.DBRW("canaf:YLD_Components",$B$1,$B$2,$E$1,$F$6,$I$1,$I$2,$AO$9,$I$3,$I$4,$A35)</f>
        <v>0</v>
      </c>
      <c r="AN35" s="69">
        <f ca="1">_xll.DBRW("canaf:YLD_Components",$B$1,$B$2,$E$1,$F$2,$I$1,$I$2,$AO$9,$I$3,$I$4,$A35)</f>
        <v>0</v>
      </c>
      <c r="AO35" s="17">
        <f t="shared" ca="1" si="9"/>
        <v>0</v>
      </c>
      <c r="AP35" s="17">
        <f ca="1">_xll.DBRW("canaf:YLD_Components",$B$1,$B$2,$E$1,$F$7,$I$1,$I$2,$AO$9,$I$3,$I$4,$A35)</f>
        <v>0</v>
      </c>
      <c r="AQ35" s="69">
        <f ca="1">_xll.DBRW("canaf:YLD_Components",$B$1,$B$2,$E$1,$F$6,$I$1,$I$2,$AS$9,$I$3,$I$4,$A35)</f>
        <v>0</v>
      </c>
      <c r="AR35" s="69">
        <f ca="1">_xll.DBRW("canaf:YLD_Components",$B$1,$B$2,$E$1,$F$2,$I$1,$I$2,$AS$9,$I$3,$I$4,$A35)</f>
        <v>0</v>
      </c>
      <c r="AS35" s="16">
        <f t="shared" ca="1" si="10"/>
        <v>0</v>
      </c>
      <c r="AT35" s="16">
        <f ca="1">_xll.DBRW("canaf:YLD_Components",$B$1,$B$2,$E$1,$F$7,$I$1,$I$2,$AS$9,$I$3,$I$4,$A35)</f>
        <v>0</v>
      </c>
      <c r="AU35" s="87">
        <f ca="1">_xll.DBRW("canaf:YLD_Components",$B$1,$B$2,$E$1,$F$6,$I$1,$I$2,$AW$9,$I$3,$I$4,$A35)</f>
        <v>0</v>
      </c>
      <c r="AV35" s="69">
        <f ca="1">_xll.DBRW("canaf:YLD_Components",$B$1,$B$2,$E$1,$F$2,$I$1,$I$2,$AW$9,$I$3,$I$4,$A35)</f>
        <v>0</v>
      </c>
      <c r="AW35" s="17">
        <f t="shared" ca="1" si="11"/>
        <v>0</v>
      </c>
      <c r="AX35" s="17">
        <f ca="1">_xll.DBRW("canaf:YLD_Components",$B$1,$B$2,$E$1,$F$7,$I$1,$I$2,$AW$9,$I$3,$I$4,$A35)</f>
        <v>0</v>
      </c>
      <c r="AY35" s="18"/>
    </row>
    <row r="36" spans="1:53">
      <c r="A36" s="62" t="s">
        <v>19</v>
      </c>
      <c r="B36" s="15" t="s">
        <v>19</v>
      </c>
      <c r="C36" s="69">
        <f ca="1">_xll.DBRW("canaf:YLD_Components",$B$1,$B$2,$E$1,$F$6,$I$1,$I$2,$E$9,$I$3,$I$4,$A36)</f>
        <v>0</v>
      </c>
      <c r="D36" s="69">
        <f ca="1">_xll.DBRW("canaf:YLD_Components",$B$1,$B$2,$E$1,$F$2,$I$1,$I$2,$E$9,$I$3,$I$4,$A36)</f>
        <v>0</v>
      </c>
      <c r="E36" s="16">
        <f t="shared" ca="1" si="0"/>
        <v>0</v>
      </c>
      <c r="F36" s="16">
        <f ca="1">_xll.DBRW("canaf:YLD_Components",$B$1,$B$2,$E$1,$F$7,$I$1,$I$2,$E$9,$I$3,$I$4,$A36)</f>
        <v>0</v>
      </c>
      <c r="G36" s="87">
        <f ca="1">_xll.DBRW("canaf:YLD_Components",$B$1,$B$2,$E$1,$F$6,$I$1,$I$2,$I$9,$I$3,$I$4,$A36)</f>
        <v>0</v>
      </c>
      <c r="H36" s="69">
        <f ca="1">_xll.DBRW("canaf:YLD_Components",$B$1,$B$2,$E$1,$F$2,$I$1,$I$2,$I$9,$I$3,$I$4,$A36)</f>
        <v>0</v>
      </c>
      <c r="I36" s="17">
        <f t="shared" ca="1" si="1"/>
        <v>0</v>
      </c>
      <c r="J36" s="17">
        <f ca="1">_xll.DBRW("canaf:YLD_Components",$B$1,$B$2,$E$1,$F$7,$I$1,$I$2,$I$9,$I$3,$I$4,$A36)</f>
        <v>0</v>
      </c>
      <c r="K36" s="69">
        <f ca="1">_xll.DBRW("canaf:YLD_Components",$B$1,$B$2,$E$1,$F$6,$I$1,$I$2,$M$9,$I$3,$I$4,$A36)</f>
        <v>0</v>
      </c>
      <c r="L36" s="69">
        <f ca="1">_xll.DBRW("canaf:YLD_Components",$B$1,$B$2,$E$1,$F$2,$I$1,$I$2,$M$9,$I$3,$I$4,$A36)</f>
        <v>0</v>
      </c>
      <c r="M36" s="16">
        <f t="shared" ca="1" si="2"/>
        <v>0</v>
      </c>
      <c r="N36" s="16">
        <f ca="1">_xll.DBRW("canaf:YLD_Components",$B$1,$B$2,$E$1,$F$7,$I$1,$I$2,$M$9,$I$3,$I$4,$A36)</f>
        <v>0</v>
      </c>
      <c r="O36" s="87">
        <f ca="1">_xll.DBRW("canaf:YLD_Components",$B$1,$B$2,$E$1,$F$6,$I$1,$I$2,$Q$9,$I$3,$I$4,$A36)</f>
        <v>0</v>
      </c>
      <c r="P36" s="69">
        <f ca="1">_xll.DBRW("canaf:YLD_Components",$B$1,$B$2,$E$1,$F$2,$I$1,$I$2,$Q$9,$I$3,$I$4,$A36)</f>
        <v>0</v>
      </c>
      <c r="Q36" s="17">
        <f t="shared" ca="1" si="3"/>
        <v>0</v>
      </c>
      <c r="R36" s="17">
        <f ca="1">_xll.DBRW("canaf:YLD_Components",$B$1,$B$2,$E$1,$F$7,$I$1,$I$2,$Q$9,$I$3,$I$4,$A36)</f>
        <v>0</v>
      </c>
      <c r="S36" s="69">
        <f ca="1">_xll.DBRW("canaf:YLD_Components",$B$1,$B$2,$E$1,$F$6,$I$1,$I$2,$U$9,$I$3,$I$4,$A36)</f>
        <v>0</v>
      </c>
      <c r="T36" s="69">
        <f ca="1">_xll.DBRW("canaf:YLD_Components",$B$1,$B$2,$E$1,$F$2,$I$1,$I$2,$U$9,$I$3,$I$4,$A36)</f>
        <v>0</v>
      </c>
      <c r="U36" s="16">
        <f t="shared" ca="1" si="4"/>
        <v>0</v>
      </c>
      <c r="V36" s="16">
        <f ca="1">_xll.DBRW("canaf:YLD_Components",$B$1,$B$2,$E$1,$F$7,$I$1,$I$2,$U$9,$I$3,$I$4,$A36)</f>
        <v>0</v>
      </c>
      <c r="W36" s="87">
        <f ca="1">_xll.DBRW("canaf:YLD_Components",$B$1,$B$2,$E$1,$F$6,$I$1,$I$2,$Y$9,$I$3,$I$4,$A36)</f>
        <v>0</v>
      </c>
      <c r="X36" s="69">
        <f ca="1">_xll.DBRW("canaf:YLD_Components",$B$1,$B$2,$E$1,$F$2,$I$1,$I$2,$Y$9,$I$3,$I$4,$A36)</f>
        <v>0</v>
      </c>
      <c r="Y36" s="17">
        <f t="shared" ca="1" si="5"/>
        <v>0</v>
      </c>
      <c r="Z36" s="17">
        <f ca="1">_xll.DBRW("canaf:YLD_Components",$B$1,$B$2,$E$1,$F$7,$I$1,$I$2,$Y$9,$I$3,$I$4,$A36)</f>
        <v>0</v>
      </c>
      <c r="AA36" s="69">
        <f ca="1">_xll.DBRW("canaf:YLD_Components",$B$1,$B$2,$E$1,$F$6,$I$1,$I$2,$AC$9,$I$3,$I$4,$A36)</f>
        <v>0</v>
      </c>
      <c r="AB36" s="69">
        <f ca="1">_xll.DBRW("canaf:YLD_Components",$B$1,$B$2,$E$1,$F$2,$I$1,$I$2,$AC$9,$I$3,$I$4,$A36)</f>
        <v>0</v>
      </c>
      <c r="AC36" s="16">
        <f t="shared" ca="1" si="6"/>
        <v>0</v>
      </c>
      <c r="AD36" s="16">
        <f ca="1">_xll.DBRW("canaf:YLD_Components",$B$1,$B$2,$E$1,$F$7,$I$1,$I$2,$AC$9,$I$3,$I$4,$A36)</f>
        <v>0</v>
      </c>
      <c r="AE36" s="87">
        <f ca="1">_xll.DBRW("canaf:YLD_Components",$B$1,$B$2,$E$1,$F$6,$I$1,$I$2,$AG$9,$I$3,$I$4,$A36)</f>
        <v>0</v>
      </c>
      <c r="AF36" s="69">
        <f ca="1">_xll.DBRW("canaf:YLD_Components",$B$1,$B$2,$E$1,$F$2,$I$1,$I$2,$AG$9,$I$3,$I$4,$A36)</f>
        <v>0</v>
      </c>
      <c r="AG36" s="17">
        <f t="shared" ca="1" si="7"/>
        <v>0</v>
      </c>
      <c r="AH36" s="17">
        <f ca="1">_xll.DBRW("canaf:YLD_Components",$B$1,$B$2,$E$1,$F$7,$I$1,$I$2,$AG$9,$I$3,$I$4,$A36)</f>
        <v>0</v>
      </c>
      <c r="AI36" s="69">
        <f ca="1">_xll.DBRW("canaf:YLD_Components",$B$1,$B$2,$E$1,$F$6,$I$1,$I$2,$AK$9,$I$3,$I$4,$A36)</f>
        <v>0</v>
      </c>
      <c r="AJ36" s="69">
        <f ca="1">_xll.DBRW("canaf:YLD_Components",$B$1,$B$2,$E$1,$F$2,$I$1,$I$2,$AK$9,$I$3,$I$4,$A36)</f>
        <v>0</v>
      </c>
      <c r="AK36" s="16">
        <f t="shared" ca="1" si="8"/>
        <v>0</v>
      </c>
      <c r="AL36" s="16">
        <f ca="1">_xll.DBRW("canaf:YLD_Components",$B$1,$B$2,$E$1,$F$7,$I$1,$I$2,$AK$9,$I$3,$I$4,$A36)</f>
        <v>0</v>
      </c>
      <c r="AM36" s="87">
        <f ca="1">_xll.DBRW("canaf:YLD_Components",$B$1,$B$2,$E$1,$F$6,$I$1,$I$2,$AO$9,$I$3,$I$4,$A36)</f>
        <v>0</v>
      </c>
      <c r="AN36" s="69">
        <f ca="1">_xll.DBRW("canaf:YLD_Components",$B$1,$B$2,$E$1,$F$2,$I$1,$I$2,$AO$9,$I$3,$I$4,$A36)</f>
        <v>0</v>
      </c>
      <c r="AO36" s="17">
        <f t="shared" ca="1" si="9"/>
        <v>0</v>
      </c>
      <c r="AP36" s="17">
        <f ca="1">_xll.DBRW("canaf:YLD_Components",$B$1,$B$2,$E$1,$F$7,$I$1,$I$2,$AO$9,$I$3,$I$4,$A36)</f>
        <v>0</v>
      </c>
      <c r="AQ36" s="69">
        <f ca="1">_xll.DBRW("canaf:YLD_Components",$B$1,$B$2,$E$1,$F$6,$I$1,$I$2,$AS$9,$I$3,$I$4,$A36)</f>
        <v>0</v>
      </c>
      <c r="AR36" s="69">
        <f ca="1">_xll.DBRW("canaf:YLD_Components",$B$1,$B$2,$E$1,$F$2,$I$1,$I$2,$AS$9,$I$3,$I$4,$A36)</f>
        <v>0</v>
      </c>
      <c r="AS36" s="16">
        <f t="shared" ca="1" si="10"/>
        <v>0</v>
      </c>
      <c r="AT36" s="16">
        <f ca="1">_xll.DBRW("canaf:YLD_Components",$B$1,$B$2,$E$1,$F$7,$I$1,$I$2,$AS$9,$I$3,$I$4,$A36)</f>
        <v>0</v>
      </c>
      <c r="AU36" s="87">
        <f ca="1">_xll.DBRW("canaf:YLD_Components",$B$1,$B$2,$E$1,$F$6,$I$1,$I$2,$AW$9,$I$3,$I$4,$A36)</f>
        <v>0</v>
      </c>
      <c r="AV36" s="69">
        <f ca="1">_xll.DBRW("canaf:YLD_Components",$B$1,$B$2,$E$1,$F$2,$I$1,$I$2,$AW$9,$I$3,$I$4,$A36)</f>
        <v>0</v>
      </c>
      <c r="AW36" s="17">
        <f t="shared" ca="1" si="11"/>
        <v>0</v>
      </c>
      <c r="AX36" s="17">
        <f ca="1">_xll.DBRW("canaf:YLD_Components",$B$1,$B$2,$E$1,$F$7,$I$1,$I$2,$AW$9,$I$3,$I$4,$A36)</f>
        <v>0</v>
      </c>
      <c r="AY36" s="18"/>
    </row>
    <row r="37" spans="1:53">
      <c r="A37" s="62" t="s">
        <v>59</v>
      </c>
      <c r="B37" s="15" t="s">
        <v>20</v>
      </c>
      <c r="C37" s="69">
        <f ca="1">_xll.DBRW("canaf:YLD_Components",$B$1,$B$2,$E$1,$F$6,$I$1,$I$2,$E$9,$I$3,$I$4,$A37)</f>
        <v>0</v>
      </c>
      <c r="D37" s="69">
        <f ca="1">_xll.DBRW("canaf:YLD_Components",$B$1,$B$2,$E$1,$F$2,$I$1,$I$2,$E$9,$I$3,$I$4,$A37)</f>
        <v>0</v>
      </c>
      <c r="E37" s="16">
        <f t="shared" ca="1" si="0"/>
        <v>0</v>
      </c>
      <c r="F37" s="16">
        <f ca="1">_xll.DBRW("canaf:YLD_Components",$B$1,$B$2,$E$1,$F$7,$I$1,$I$2,$E$9,$I$3,$I$4,$A37)</f>
        <v>0</v>
      </c>
      <c r="G37" s="87">
        <f ca="1">_xll.DBRW("canaf:YLD_Components",$B$1,$B$2,$E$1,$F$6,$I$1,$I$2,$I$9,$I$3,$I$4,$A37)</f>
        <v>0</v>
      </c>
      <c r="H37" s="69">
        <f ca="1">_xll.DBRW("canaf:YLD_Components",$B$1,$B$2,$E$1,$F$2,$I$1,$I$2,$I$9,$I$3,$I$4,$A37)</f>
        <v>0</v>
      </c>
      <c r="I37" s="17">
        <f t="shared" ca="1" si="1"/>
        <v>0</v>
      </c>
      <c r="J37" s="17">
        <f ca="1">_xll.DBRW("canaf:YLD_Components",$B$1,$B$2,$E$1,$F$7,$I$1,$I$2,$I$9,$I$3,$I$4,$A37)</f>
        <v>0</v>
      </c>
      <c r="K37" s="69">
        <f ca="1">_xll.DBRW("canaf:YLD_Components",$B$1,$B$2,$E$1,$F$6,$I$1,$I$2,$M$9,$I$3,$I$4,$A37)</f>
        <v>0</v>
      </c>
      <c r="L37" s="69">
        <f ca="1">_xll.DBRW("canaf:YLD_Components",$B$1,$B$2,$E$1,$F$2,$I$1,$I$2,$M$9,$I$3,$I$4,$A37)</f>
        <v>0</v>
      </c>
      <c r="M37" s="16">
        <f t="shared" ca="1" si="2"/>
        <v>0</v>
      </c>
      <c r="N37" s="16">
        <f ca="1">_xll.DBRW("canaf:YLD_Components",$B$1,$B$2,$E$1,$F$7,$I$1,$I$2,$M$9,$I$3,$I$4,$A37)</f>
        <v>0</v>
      </c>
      <c r="O37" s="87">
        <f ca="1">_xll.DBRW("canaf:YLD_Components",$B$1,$B$2,$E$1,$F$6,$I$1,$I$2,$Q$9,$I$3,$I$4,$A37)</f>
        <v>0</v>
      </c>
      <c r="P37" s="69">
        <f ca="1">_xll.DBRW("canaf:YLD_Components",$B$1,$B$2,$E$1,$F$2,$I$1,$I$2,$Q$9,$I$3,$I$4,$A37)</f>
        <v>0</v>
      </c>
      <c r="Q37" s="17">
        <f t="shared" ca="1" si="3"/>
        <v>0</v>
      </c>
      <c r="R37" s="17">
        <f ca="1">_xll.DBRW("canaf:YLD_Components",$B$1,$B$2,$E$1,$F$7,$I$1,$I$2,$Q$9,$I$3,$I$4,$A37)</f>
        <v>0</v>
      </c>
      <c r="S37" s="69">
        <f ca="1">_xll.DBRW("canaf:YLD_Components",$B$1,$B$2,$E$1,$F$6,$I$1,$I$2,$U$9,$I$3,$I$4,$A37)</f>
        <v>0</v>
      </c>
      <c r="T37" s="69">
        <f ca="1">_xll.DBRW("canaf:YLD_Components",$B$1,$B$2,$E$1,$F$2,$I$1,$I$2,$U$9,$I$3,$I$4,$A37)</f>
        <v>0</v>
      </c>
      <c r="U37" s="16">
        <f t="shared" ca="1" si="4"/>
        <v>0</v>
      </c>
      <c r="V37" s="16">
        <f ca="1">_xll.DBRW("canaf:YLD_Components",$B$1,$B$2,$E$1,$F$7,$I$1,$I$2,$U$9,$I$3,$I$4,$A37)</f>
        <v>0</v>
      </c>
      <c r="W37" s="87">
        <f ca="1">_xll.DBRW("canaf:YLD_Components",$B$1,$B$2,$E$1,$F$6,$I$1,$I$2,$Y$9,$I$3,$I$4,$A37)</f>
        <v>0</v>
      </c>
      <c r="X37" s="69">
        <f ca="1">_xll.DBRW("canaf:YLD_Components",$B$1,$B$2,$E$1,$F$2,$I$1,$I$2,$Y$9,$I$3,$I$4,$A37)</f>
        <v>0</v>
      </c>
      <c r="Y37" s="17">
        <f t="shared" ca="1" si="5"/>
        <v>0</v>
      </c>
      <c r="Z37" s="17">
        <f ca="1">_xll.DBRW("canaf:YLD_Components",$B$1,$B$2,$E$1,$F$7,$I$1,$I$2,$Y$9,$I$3,$I$4,$A37)</f>
        <v>0</v>
      </c>
      <c r="AA37" s="69">
        <f ca="1">_xll.DBRW("canaf:YLD_Components",$B$1,$B$2,$E$1,$F$6,$I$1,$I$2,$AC$9,$I$3,$I$4,$A37)</f>
        <v>0</v>
      </c>
      <c r="AB37" s="69">
        <f ca="1">_xll.DBRW("canaf:YLD_Components",$B$1,$B$2,$E$1,$F$2,$I$1,$I$2,$AC$9,$I$3,$I$4,$A37)</f>
        <v>0</v>
      </c>
      <c r="AC37" s="16">
        <f t="shared" ca="1" si="6"/>
        <v>0</v>
      </c>
      <c r="AD37" s="16">
        <f ca="1">_xll.DBRW("canaf:YLD_Components",$B$1,$B$2,$E$1,$F$7,$I$1,$I$2,$AC$9,$I$3,$I$4,$A37)</f>
        <v>0</v>
      </c>
      <c r="AE37" s="87">
        <f ca="1">_xll.DBRW("canaf:YLD_Components",$B$1,$B$2,$E$1,$F$6,$I$1,$I$2,$AG$9,$I$3,$I$4,$A37)</f>
        <v>0</v>
      </c>
      <c r="AF37" s="69">
        <f ca="1">_xll.DBRW("canaf:YLD_Components",$B$1,$B$2,$E$1,$F$2,$I$1,$I$2,$AG$9,$I$3,$I$4,$A37)</f>
        <v>0</v>
      </c>
      <c r="AG37" s="17">
        <f t="shared" ca="1" si="7"/>
        <v>0</v>
      </c>
      <c r="AH37" s="17">
        <f ca="1">_xll.DBRW("canaf:YLD_Components",$B$1,$B$2,$E$1,$F$7,$I$1,$I$2,$AG$9,$I$3,$I$4,$A37)</f>
        <v>0</v>
      </c>
      <c r="AI37" s="69">
        <f ca="1">_xll.DBRW("canaf:YLD_Components",$B$1,$B$2,$E$1,$F$6,$I$1,$I$2,$AK$9,$I$3,$I$4,$A37)</f>
        <v>0</v>
      </c>
      <c r="AJ37" s="69">
        <f ca="1">_xll.DBRW("canaf:YLD_Components",$B$1,$B$2,$E$1,$F$2,$I$1,$I$2,$AK$9,$I$3,$I$4,$A37)</f>
        <v>0</v>
      </c>
      <c r="AK37" s="16">
        <f t="shared" ca="1" si="8"/>
        <v>0</v>
      </c>
      <c r="AL37" s="16">
        <f ca="1">_xll.DBRW("canaf:YLD_Components",$B$1,$B$2,$E$1,$F$7,$I$1,$I$2,$AK$9,$I$3,$I$4,$A37)</f>
        <v>0</v>
      </c>
      <c r="AM37" s="87">
        <f ca="1">_xll.DBRW("canaf:YLD_Components",$B$1,$B$2,$E$1,$F$6,$I$1,$I$2,$AO$9,$I$3,$I$4,$A37)</f>
        <v>0</v>
      </c>
      <c r="AN37" s="69">
        <f ca="1">_xll.DBRW("canaf:YLD_Components",$B$1,$B$2,$E$1,$F$2,$I$1,$I$2,$AO$9,$I$3,$I$4,$A37)</f>
        <v>0</v>
      </c>
      <c r="AO37" s="17">
        <f t="shared" ca="1" si="9"/>
        <v>0</v>
      </c>
      <c r="AP37" s="17">
        <f ca="1">_xll.DBRW("canaf:YLD_Components",$B$1,$B$2,$E$1,$F$7,$I$1,$I$2,$AO$9,$I$3,$I$4,$A37)</f>
        <v>0</v>
      </c>
      <c r="AQ37" s="69">
        <f ca="1">_xll.DBRW("canaf:YLD_Components",$B$1,$B$2,$E$1,$F$6,$I$1,$I$2,$AS$9,$I$3,$I$4,$A37)</f>
        <v>0</v>
      </c>
      <c r="AR37" s="69">
        <f ca="1">_xll.DBRW("canaf:YLD_Components",$B$1,$B$2,$E$1,$F$2,$I$1,$I$2,$AS$9,$I$3,$I$4,$A37)</f>
        <v>0</v>
      </c>
      <c r="AS37" s="16">
        <f t="shared" ca="1" si="10"/>
        <v>0</v>
      </c>
      <c r="AT37" s="16">
        <f ca="1">_xll.DBRW("canaf:YLD_Components",$B$1,$B$2,$E$1,$F$7,$I$1,$I$2,$AS$9,$I$3,$I$4,$A37)</f>
        <v>0</v>
      </c>
      <c r="AU37" s="87">
        <f ca="1">_xll.DBRW("canaf:YLD_Components",$B$1,$B$2,$E$1,$F$6,$I$1,$I$2,$AW$9,$I$3,$I$4,$A37)</f>
        <v>0</v>
      </c>
      <c r="AV37" s="69">
        <f ca="1">_xll.DBRW("canaf:YLD_Components",$B$1,$B$2,$E$1,$F$2,$I$1,$I$2,$AW$9,$I$3,$I$4,$A37)</f>
        <v>0</v>
      </c>
      <c r="AW37" s="17">
        <f t="shared" ca="1" si="11"/>
        <v>0</v>
      </c>
      <c r="AX37" s="17">
        <f ca="1">_xll.DBRW("canaf:YLD_Components",$B$1,$B$2,$E$1,$F$7,$I$1,$I$2,$AW$9,$I$3,$I$4,$A37)</f>
        <v>0</v>
      </c>
      <c r="AY37" s="18"/>
    </row>
    <row r="38" spans="1:53">
      <c r="A38" s="62" t="s">
        <v>21</v>
      </c>
      <c r="B38" s="19" t="s">
        <v>21</v>
      </c>
      <c r="C38" s="69">
        <f ca="1">_xll.DBRW("canaf:YLD_Components",$B$1,$B$2,$E$1,$F$6,$I$1,$I$2,$E$9,$I$3,$I$4,$A38)</f>
        <v>0</v>
      </c>
      <c r="D38" s="69">
        <f ca="1">_xll.DBRW("canaf:YLD_Components",$B$1,$B$2,$E$1,$F$2,$I$1,$I$2,$E$9,$I$3,$I$4,$A38)</f>
        <v>0</v>
      </c>
      <c r="E38" s="16">
        <f t="shared" ca="1" si="0"/>
        <v>0</v>
      </c>
      <c r="F38" s="16">
        <f ca="1">_xll.DBRW("canaf:YLD_Components",$B$1,$B$2,$E$1,$F$7,$I$1,$I$2,$E$9,$I$3,$I$4,$A38)</f>
        <v>0</v>
      </c>
      <c r="G38" s="87">
        <f ca="1">_xll.DBRW("canaf:YLD_Components",$B$1,$B$2,$E$1,$F$6,$I$1,$I$2,$I$9,$I$3,$I$4,$A38)</f>
        <v>0</v>
      </c>
      <c r="H38" s="69">
        <f ca="1">_xll.DBRW("canaf:YLD_Components",$B$1,$B$2,$E$1,$F$2,$I$1,$I$2,$I$9,$I$3,$I$4,$A38)</f>
        <v>0</v>
      </c>
      <c r="I38" s="17">
        <f t="shared" ca="1" si="1"/>
        <v>0</v>
      </c>
      <c r="J38" s="17">
        <f ca="1">_xll.DBRW("canaf:YLD_Components",$B$1,$B$2,$E$1,$F$7,$I$1,$I$2,$I$9,$I$3,$I$4,$A38)</f>
        <v>0</v>
      </c>
      <c r="K38" s="69">
        <f ca="1">_xll.DBRW("canaf:YLD_Components",$B$1,$B$2,$E$1,$F$6,$I$1,$I$2,$M$9,$I$3,$I$4,$A38)</f>
        <v>0</v>
      </c>
      <c r="L38" s="69">
        <f ca="1">_xll.DBRW("canaf:YLD_Components",$B$1,$B$2,$E$1,$F$2,$I$1,$I$2,$M$9,$I$3,$I$4,$A38)</f>
        <v>0</v>
      </c>
      <c r="M38" s="16">
        <f t="shared" ca="1" si="2"/>
        <v>0</v>
      </c>
      <c r="N38" s="16">
        <f ca="1">_xll.DBRW("canaf:YLD_Components",$B$1,$B$2,$E$1,$F$7,$I$1,$I$2,$M$9,$I$3,$I$4,$A38)</f>
        <v>0</v>
      </c>
      <c r="O38" s="87">
        <f ca="1">_xll.DBRW("canaf:YLD_Components",$B$1,$B$2,$E$1,$F$6,$I$1,$I$2,$Q$9,$I$3,$I$4,$A38)</f>
        <v>0</v>
      </c>
      <c r="P38" s="69">
        <f ca="1">_xll.DBRW("canaf:YLD_Components",$B$1,$B$2,$E$1,$F$2,$I$1,$I$2,$Q$9,$I$3,$I$4,$A38)</f>
        <v>0</v>
      </c>
      <c r="Q38" s="17">
        <f t="shared" ca="1" si="3"/>
        <v>0</v>
      </c>
      <c r="R38" s="17">
        <f ca="1">_xll.DBRW("canaf:YLD_Components",$B$1,$B$2,$E$1,$F$7,$I$1,$I$2,$Q$9,$I$3,$I$4,$A38)</f>
        <v>0</v>
      </c>
      <c r="S38" s="69">
        <f ca="1">_xll.DBRW("canaf:YLD_Components",$B$1,$B$2,$E$1,$F$6,$I$1,$I$2,$U$9,$I$3,$I$4,$A38)</f>
        <v>0</v>
      </c>
      <c r="T38" s="69">
        <f ca="1">_xll.DBRW("canaf:YLD_Components",$B$1,$B$2,$E$1,$F$2,$I$1,$I$2,$U$9,$I$3,$I$4,$A38)</f>
        <v>0</v>
      </c>
      <c r="U38" s="16">
        <f t="shared" ca="1" si="4"/>
        <v>0</v>
      </c>
      <c r="V38" s="16">
        <f ca="1">_xll.DBRW("canaf:YLD_Components",$B$1,$B$2,$E$1,$F$7,$I$1,$I$2,$U$9,$I$3,$I$4,$A38)</f>
        <v>0</v>
      </c>
      <c r="W38" s="87">
        <f ca="1">_xll.DBRW("canaf:YLD_Components",$B$1,$B$2,$E$1,$F$6,$I$1,$I$2,$Y$9,$I$3,$I$4,$A38)</f>
        <v>0</v>
      </c>
      <c r="X38" s="69">
        <f ca="1">_xll.DBRW("canaf:YLD_Components",$B$1,$B$2,$E$1,$F$2,$I$1,$I$2,$Y$9,$I$3,$I$4,$A38)</f>
        <v>0</v>
      </c>
      <c r="Y38" s="17">
        <f t="shared" ca="1" si="5"/>
        <v>0</v>
      </c>
      <c r="Z38" s="17">
        <f ca="1">_xll.DBRW("canaf:YLD_Components",$B$1,$B$2,$E$1,$F$7,$I$1,$I$2,$Y$9,$I$3,$I$4,$A38)</f>
        <v>0</v>
      </c>
      <c r="AA38" s="69">
        <f ca="1">_xll.DBRW("canaf:YLD_Components",$B$1,$B$2,$E$1,$F$6,$I$1,$I$2,$AC$9,$I$3,$I$4,$A38)</f>
        <v>0</v>
      </c>
      <c r="AB38" s="69">
        <f ca="1">_xll.DBRW("canaf:YLD_Components",$B$1,$B$2,$E$1,$F$2,$I$1,$I$2,$AC$9,$I$3,$I$4,$A38)</f>
        <v>0</v>
      </c>
      <c r="AC38" s="16">
        <f t="shared" ca="1" si="6"/>
        <v>0</v>
      </c>
      <c r="AD38" s="16">
        <f ca="1">_xll.DBRW("canaf:YLD_Components",$B$1,$B$2,$E$1,$F$7,$I$1,$I$2,$AC$9,$I$3,$I$4,$A38)</f>
        <v>0</v>
      </c>
      <c r="AE38" s="87">
        <f ca="1">_xll.DBRW("canaf:YLD_Components",$B$1,$B$2,$E$1,$F$6,$I$1,$I$2,$AG$9,$I$3,$I$4,$A38)</f>
        <v>0</v>
      </c>
      <c r="AF38" s="69">
        <f ca="1">_xll.DBRW("canaf:YLD_Components",$B$1,$B$2,$E$1,$F$2,$I$1,$I$2,$AG$9,$I$3,$I$4,$A38)</f>
        <v>0</v>
      </c>
      <c r="AG38" s="17">
        <f t="shared" ca="1" si="7"/>
        <v>0</v>
      </c>
      <c r="AH38" s="17">
        <f ca="1">_xll.DBRW("canaf:YLD_Components",$B$1,$B$2,$E$1,$F$7,$I$1,$I$2,$AG$9,$I$3,$I$4,$A38)</f>
        <v>0</v>
      </c>
      <c r="AI38" s="69">
        <f ca="1">_xll.DBRW("canaf:YLD_Components",$B$1,$B$2,$E$1,$F$6,$I$1,$I$2,$AK$9,$I$3,$I$4,$A38)</f>
        <v>0</v>
      </c>
      <c r="AJ38" s="69">
        <f ca="1">_xll.DBRW("canaf:YLD_Components",$B$1,$B$2,$E$1,$F$2,$I$1,$I$2,$AK$9,$I$3,$I$4,$A38)</f>
        <v>0</v>
      </c>
      <c r="AK38" s="16">
        <f t="shared" ca="1" si="8"/>
        <v>0</v>
      </c>
      <c r="AL38" s="16">
        <f ca="1">_xll.DBRW("canaf:YLD_Components",$B$1,$B$2,$E$1,$F$7,$I$1,$I$2,$AK$9,$I$3,$I$4,$A38)</f>
        <v>0</v>
      </c>
      <c r="AM38" s="87">
        <f ca="1">_xll.DBRW("canaf:YLD_Components",$B$1,$B$2,$E$1,$F$6,$I$1,$I$2,$AO$9,$I$3,$I$4,$A38)</f>
        <v>0</v>
      </c>
      <c r="AN38" s="69">
        <f ca="1">_xll.DBRW("canaf:YLD_Components",$B$1,$B$2,$E$1,$F$2,$I$1,$I$2,$AO$9,$I$3,$I$4,$A38)</f>
        <v>0</v>
      </c>
      <c r="AO38" s="17">
        <f t="shared" ca="1" si="9"/>
        <v>0</v>
      </c>
      <c r="AP38" s="17">
        <f ca="1">_xll.DBRW("canaf:YLD_Components",$B$1,$B$2,$E$1,$F$7,$I$1,$I$2,$AO$9,$I$3,$I$4,$A38)</f>
        <v>0</v>
      </c>
      <c r="AQ38" s="69">
        <f ca="1">_xll.DBRW("canaf:YLD_Components",$B$1,$B$2,$E$1,$F$6,$I$1,$I$2,$AS$9,$I$3,$I$4,$A38)</f>
        <v>0</v>
      </c>
      <c r="AR38" s="69">
        <f ca="1">_xll.DBRW("canaf:YLD_Components",$B$1,$B$2,$E$1,$F$2,$I$1,$I$2,$AS$9,$I$3,$I$4,$A38)</f>
        <v>0</v>
      </c>
      <c r="AS38" s="16">
        <f t="shared" ca="1" si="10"/>
        <v>0</v>
      </c>
      <c r="AT38" s="16">
        <f ca="1">_xll.DBRW("canaf:YLD_Components",$B$1,$B$2,$E$1,$F$7,$I$1,$I$2,$AS$9,$I$3,$I$4,$A38)</f>
        <v>0</v>
      </c>
      <c r="AU38" s="87">
        <f ca="1">_xll.DBRW("canaf:YLD_Components",$B$1,$B$2,$E$1,$F$6,$I$1,$I$2,$AW$9,$I$3,$I$4,$A38)</f>
        <v>0</v>
      </c>
      <c r="AV38" s="69">
        <f ca="1">_xll.DBRW("canaf:YLD_Components",$B$1,$B$2,$E$1,$F$2,$I$1,$I$2,$AW$9,$I$3,$I$4,$A38)</f>
        <v>0</v>
      </c>
      <c r="AW38" s="17">
        <f t="shared" ca="1" si="11"/>
        <v>0</v>
      </c>
      <c r="AX38" s="17">
        <f ca="1">_xll.DBRW("canaf:YLD_Components",$B$1,$B$2,$E$1,$F$7,$I$1,$I$2,$AW$9,$I$3,$I$4,$A38)</f>
        <v>0</v>
      </c>
      <c r="AY38" s="18"/>
    </row>
    <row r="39" spans="1:53">
      <c r="A39" s="62" t="s">
        <v>22</v>
      </c>
      <c r="B39" s="20" t="s">
        <v>22</v>
      </c>
      <c r="C39" s="69"/>
      <c r="D39" s="98">
        <f ca="1">_xll.DBRW("canaf:YLD_Components",$B$1,$B$2,$E$1,$F$3,$I$1,$I$2,$E$9,$I$3,$I$4,$F$4)</f>
        <v>9.4810520000000002E-3</v>
      </c>
      <c r="E39" s="21">
        <f ca="1">D39</f>
        <v>9.4810520000000002E-3</v>
      </c>
      <c r="F39" s="22">
        <f ca="1">SUM(F20:F38)</f>
        <v>1</v>
      </c>
      <c r="G39" s="87"/>
      <c r="H39" s="98">
        <f ca="1">_xll.DBRW("canaf:YLD_Components",$B$1,$B$2,$E$1,$F$3,$I$1,$I$2,$I$9,$I$3,$I$4,$F$4)</f>
        <v>-2.7557722999999999E-2</v>
      </c>
      <c r="I39" s="23">
        <f ca="1">H39</f>
        <v>-2.7557722999999999E-2</v>
      </c>
      <c r="J39" s="24">
        <f ca="1">SUM(J20:J38)</f>
        <v>1</v>
      </c>
      <c r="K39" s="69"/>
      <c r="L39" s="98">
        <f ca="1">_xll.DBRW("canaf:YLD_Components",$B$1,$B$2,$E$1,$F$3,$I$1,$I$2,$M$9,$I$3,$I$4,$F$4)</f>
        <v>9.7155330000000002E-3</v>
      </c>
      <c r="M39" s="21">
        <f ca="1">L39</f>
        <v>9.7155330000000002E-3</v>
      </c>
      <c r="N39" s="22">
        <f ca="1">SUM(N20:N38)</f>
        <v>1</v>
      </c>
      <c r="O39" s="87"/>
      <c r="P39" s="98">
        <f ca="1">_xll.DBRW("canaf:YLD_Components",$B$1,$B$2,$E$1,$F$3,$I$1,$I$2,$Q$9,$I$3,$I$4,$F$4)</f>
        <v>5.4046629999999997E-3</v>
      </c>
      <c r="Q39" s="23">
        <f ca="1">P39</f>
        <v>5.4046629999999997E-3</v>
      </c>
      <c r="R39" s="24">
        <f ca="1">SUM(R20:R38)</f>
        <v>0.99999999999999978</v>
      </c>
      <c r="S39" s="69"/>
      <c r="T39" s="98">
        <f ca="1">_xll.DBRW("canaf:YLD_Components",$B$1,$B$2,$E$1,$F$3,$I$1,$I$2,$U$9,$I$3,$I$4,$F$4)</f>
        <v>4.9699999999999996E-3</v>
      </c>
      <c r="U39" s="21">
        <f ca="1">T39</f>
        <v>4.9699999999999996E-3</v>
      </c>
      <c r="V39" s="22">
        <f ca="1">SUM(V20:V38)</f>
        <v>1</v>
      </c>
      <c r="W39" s="87"/>
      <c r="X39" s="98">
        <f ca="1">_xll.DBRW("canaf:YLD_Components",$B$1,$B$2,$E$1,$F$3,$I$1,$I$2,$Y$9,$I$3,$I$4,$F$4)</f>
        <v>5.0400000000000002E-3</v>
      </c>
      <c r="Y39" s="23">
        <f ca="1">X39</f>
        <v>5.0400000000000002E-3</v>
      </c>
      <c r="Z39" s="24">
        <f ca="1">SUM(Z20:Z38)</f>
        <v>1.0000000000000002</v>
      </c>
      <c r="AA39" s="69"/>
      <c r="AB39" s="98">
        <f ca="1">_xll.DBRW("canaf:YLD_Components",$B$1,$B$2,$E$1,$F$3,$I$1,$I$2,$AC$9,$I$3,$I$4,$F$4)</f>
        <v>0</v>
      </c>
      <c r="AC39" s="21">
        <f ca="1">AB39</f>
        <v>0</v>
      </c>
      <c r="AD39" s="22">
        <f ca="1">SUM(AD20:AD38)</f>
        <v>0</v>
      </c>
      <c r="AE39" s="87"/>
      <c r="AF39" s="98">
        <f ca="1">_xll.DBRW("canaf:YLD_Components",$B$1,$B$2,$E$1,$F$3,$I$1,$I$2,$AG$9,$I$3,$I$4,$F$4)</f>
        <v>0</v>
      </c>
      <c r="AG39" s="23">
        <f ca="1">AF39</f>
        <v>0</v>
      </c>
      <c r="AH39" s="24">
        <f ca="1">SUM(AH20:AH38)</f>
        <v>0</v>
      </c>
      <c r="AI39" s="69"/>
      <c r="AJ39" s="98">
        <f ca="1">_xll.DBRW("canaf:YLD_Components",$B$1,$B$2,$E$1,$F$3,$I$1,$I$2,$AK$9,$I$3,$I$4,$F$4)</f>
        <v>0</v>
      </c>
      <c r="AK39" s="21">
        <f ca="1">AJ39</f>
        <v>0</v>
      </c>
      <c r="AL39" s="22">
        <f ca="1">SUM(AL20:AL38)</f>
        <v>0</v>
      </c>
      <c r="AM39" s="87"/>
      <c r="AN39" s="98">
        <f ca="1">_xll.DBRW("canaf:YLD_Components",$B$1,$B$2,$E$1,$F$3,$I$1,$I$2,$AO$9,$I$3,$I$4,$F$4)</f>
        <v>0</v>
      </c>
      <c r="AO39" s="23">
        <f ca="1">AN39</f>
        <v>0</v>
      </c>
      <c r="AP39" s="24">
        <f ca="1">SUM(AP20:AP38)</f>
        <v>0</v>
      </c>
      <c r="AQ39" s="69"/>
      <c r="AR39" s="98">
        <f ca="1">_xll.DBRW("canaf:YLD_Components",$B$1,$B$2,$E$1,$F$3,$I$1,$I$2,$AS$9,$I$3,$I$4,$F$4)</f>
        <v>0</v>
      </c>
      <c r="AS39" s="21">
        <f ca="1">AR39</f>
        <v>0</v>
      </c>
      <c r="AT39" s="22">
        <f ca="1">SUM(AT20:AT38)</f>
        <v>0</v>
      </c>
      <c r="AU39" s="87"/>
      <c r="AV39" s="98">
        <f ca="1">_xll.DBRW("canaf:YLD_Components",$B$1,$B$2,$E$1,$F$3,$I$1,$I$2,$AW$9,$I$3,$I$4,$F$4)</f>
        <v>0</v>
      </c>
      <c r="AW39" s="23">
        <f ca="1">AV39</f>
        <v>0</v>
      </c>
      <c r="AX39" s="24">
        <f ca="1">SUM(AX20:AX38)</f>
        <v>0</v>
      </c>
      <c r="AY39" s="18"/>
    </row>
    <row r="40" spans="1:53">
      <c r="A40" s="62" t="s">
        <v>23</v>
      </c>
      <c r="B40" s="20" t="s">
        <v>23</v>
      </c>
      <c r="C40" s="133">
        <f ca="1">_xll.DBRW("canaf:YLD_Components",$B$1,$B$2,$E$1,$F$6,$I$1,$I$2,$E$9,$I$3,$I$4,$F4)</f>
        <v>0</v>
      </c>
      <c r="D40" s="99">
        <f ca="1">_xll.DBRW("canaf:YLD_Components",$B$1,$B$2,$E$1,$F$5,$I$1,$I$2,$E$9,$I$3,$I$4,$F$4)</f>
        <v>128667</v>
      </c>
      <c r="E40" s="25">
        <f ca="1">(_xll.DBRW("canaf:YLD_Components",$B$1,$B$2,$E$1,$F$5,$I$1,$I$2,$E$9,$I$3,$I$4,$F$4))/$A$1</f>
        <v>128.667</v>
      </c>
      <c r="F40" s="26"/>
      <c r="G40" s="133">
        <f ca="1">_xll.DBRW("canaf:YLD_Components",$B$1,$B$2,$E$1,$F$6,$I$1,$I$2,$I$9,$I$3,$I$4,$F4)</f>
        <v>0</v>
      </c>
      <c r="H40" s="99">
        <f ca="1">_xll.DBRW("canaf:YLD_Components",$B$1,$B$2,$E$1,$F$5,$I$1,$I$2,$I$9,$I$3,$I$4,$F$4)</f>
        <v>-334609</v>
      </c>
      <c r="I40" s="27">
        <f ca="1">(_xll.DBRW("canaf:YLD_Components",$B$1,$B$2,$E$1,$F$5,$I$1,$I$2,$I$9,$I$3,$I$4,$F$4))/$A$1</f>
        <v>-334.60899999999998</v>
      </c>
      <c r="J40" s="26"/>
      <c r="K40" s="133">
        <f ca="1">_xll.DBRW("canaf:YLD_Components",$B$1,$B$2,$E$1,$F$6,$I$1,$I$2,$M$9,$I$3,$I$4,$F4)</f>
        <v>0</v>
      </c>
      <c r="L40" s="99">
        <f ca="1">_xll.DBRW("canaf:YLD_Components",$B$1,$B$2,$E$1,$F$5,$I$1,$I$2,$M$9,$I$3,$I$4,$F$4)</f>
        <v>109913.77</v>
      </c>
      <c r="M40" s="25">
        <f ca="1">(_xll.DBRW("canaf:YLD_Components",$B$1,$B$2,$E$1,$F$5,$I$1,$I$2,$M$9,$I$3,$I$4,$F$4))/$A$1</f>
        <v>109.91377</v>
      </c>
      <c r="N40" s="26"/>
      <c r="O40" s="90">
        <f ca="1">_xll.DBRW("canaf:YLD_Components",$B$1,$B$2,$E$1,$F$6,$I$1,$I$2,$Q$9,$I$3,$I$4,$F4)</f>
        <v>0</v>
      </c>
      <c r="P40" s="99">
        <f ca="1">_xll.DBRW("canaf:YLD_Components",$B$1,$B$2,$E$1,$F$5,$I$1,$I$2,$Q$9,$I$3,$I$4,$F$4)</f>
        <v>60800.5</v>
      </c>
      <c r="Q40" s="27">
        <f ca="1">(_xll.DBRW("canaf:YLD_Components",$B$1,$B$2,$E$1,$F$5,$I$1,$I$2,$Q$9,$I$3,$I$4,$F$4))/$A$1</f>
        <v>60.8005</v>
      </c>
      <c r="R40" s="26"/>
      <c r="S40" s="133">
        <f ca="1">_xll.DBRW("canaf:YLD_Components",$B$1,$B$2,$E$1,$F$6,$I$1,$I$2,$U$9,$I$3,$I$4,$F4)</f>
        <v>0</v>
      </c>
      <c r="T40" s="99">
        <f ca="1">_xll.DBRW("canaf:YLD_Components",$B$1,$B$2,$E$1,$F$5,$I$1,$I$2,$U$9,$I$3,$I$4,$F$4)</f>
        <v>56249</v>
      </c>
      <c r="U40" s="25">
        <f ca="1">(_xll.DBRW("canaf:YLD_Components",$B$1,$B$2,$E$1,$F$5,$I$1,$I$2,$U$9,$I$3,$I$4,$F$4))/$A$1</f>
        <v>56.249000000000002</v>
      </c>
      <c r="V40" s="26"/>
      <c r="W40" s="90">
        <f ca="1">_xll.DBRW("canaf:YLD_Components",$B$1,$B$2,$E$1,$F$6,$I$1,$I$2,$Y$9,$I$3,$I$4,$F4)</f>
        <v>0</v>
      </c>
      <c r="X40" s="99">
        <f ca="1">_xll.DBRW("canaf:YLD_Components",$B$1,$B$2,$E$1,$F$5,$I$1,$I$2,$Y$9,$I$3,$I$4,$F$4)</f>
        <v>57206</v>
      </c>
      <c r="Y40" s="27">
        <f ca="1">(_xll.DBRW("canaf:YLD_Components",$B$1,$B$2,$E$1,$F$5,$I$1,$I$2,$Y$9,$I$3,$I$4,$F$4))/$A$1</f>
        <v>57.206000000000003</v>
      </c>
      <c r="Z40" s="26"/>
      <c r="AA40" s="133">
        <f ca="1">_xll.DBRW("canaf:YLD_Components",$B$1,$B$2,$E$1,$F$6,$I$1,$I$2,$AC$9,$I$3,$I$4,$F4)</f>
        <v>0</v>
      </c>
      <c r="AB40" s="99">
        <f ca="1">_xll.DBRW("canaf:YLD_Components",$B$1,$B$2,$E$1,$F$5,$I$1,$I$2,$AC$9,$I$3,$I$4,$F$4)</f>
        <v>0</v>
      </c>
      <c r="AC40" s="25">
        <f ca="1">(_xll.DBRW("canaf:YLD_Components",$B$1,$B$2,$E$1,$F$5,$I$1,$I$2,$AC$9,$I$3,$I$4,$F$4))/$A$1</f>
        <v>0</v>
      </c>
      <c r="AD40" s="26"/>
      <c r="AE40" s="90">
        <f ca="1">_xll.DBRW("canaf:YLD_Components",$B$1,$B$2,$E$1,$F$6,$I$1,$I$2,$AG$9,$I$3,$I$4,$F4)</f>
        <v>0</v>
      </c>
      <c r="AF40" s="99">
        <f ca="1">_xll.DBRW("canaf:YLD_Components",$B$1,$B$2,$E$1,$F$5,$I$1,$I$2,$AG$9,$I$3,$I$4,$F$4)</f>
        <v>0</v>
      </c>
      <c r="AG40" s="27">
        <f ca="1">(_xll.DBRW("canaf:YLD_Components",$B$1,$B$2,$E$1,$F$5,$I$1,$I$2,$AG$9,$I$3,$I$4,$F$4))/$A$1</f>
        <v>0</v>
      </c>
      <c r="AH40" s="26"/>
      <c r="AI40" s="133">
        <f ca="1">_xll.DBRW("canaf:YLD_Components",$B$1,$B$2,$E$1,$F$6,$I$1,$I$2,$AK$9,$I$3,$I$4,$F4)</f>
        <v>0</v>
      </c>
      <c r="AJ40" s="99">
        <f ca="1">_xll.DBRW("canaf:YLD_Components",$B$1,$B$2,$E$1,$F$5,$I$1,$I$2,$AK$9,$I$3,$I$4,$F$4)</f>
        <v>0</v>
      </c>
      <c r="AK40" s="25">
        <f ca="1">(_xll.DBRW("canaf:YLD_Components",$B$1,$B$2,$E$1,$F$5,$I$1,$I$2,$AK$9,$I$3,$I$4,$F$4))/$A$1</f>
        <v>0</v>
      </c>
      <c r="AL40" s="26"/>
      <c r="AM40" s="90">
        <f ca="1">_xll.DBRW("canaf:YLD_Components",$B$1,$B$2,$E$1,$F$6,$I$1,$I$2,$AO$9,$I$3,$I$4,$F4)</f>
        <v>0</v>
      </c>
      <c r="AN40" s="99">
        <f ca="1">_xll.DBRW("canaf:YLD_Components",$B$1,$B$2,$E$1,$F$5,$I$1,$I$2,$AO$9,$I$3,$I$4,$F$4)</f>
        <v>0</v>
      </c>
      <c r="AO40" s="27">
        <f ca="1">(_xll.DBRW("canaf:YLD_Components",$B$1,$B$2,$E$1,$F$5,$I$1,$I$2,$AO$9,$I$3,$I$4,$F$4))/$A$1</f>
        <v>0</v>
      </c>
      <c r="AP40" s="26"/>
      <c r="AQ40" s="133">
        <f ca="1">_xll.DBRW("canaf:YLD_Components",$B$1,$B$2,$E$1,$F$6,$I$1,$I$2,$AS$9,$I$3,$I$4,$F4)</f>
        <v>0</v>
      </c>
      <c r="AR40" s="99">
        <f ca="1">_xll.DBRW("canaf:YLD_Components",$B$1,$B$2,$E$1,$F$5,$I$1,$I$2,$AS$9,$I$3,$I$4,$F$4)</f>
        <v>0</v>
      </c>
      <c r="AS40" s="25">
        <f ca="1">(_xll.DBRW("canaf:YLD_Components",$B$1,$B$2,$E$1,$F$5,$I$1,$I$2,$AS$9,$I$3,$I$4,$F$4))/$A$1</f>
        <v>0</v>
      </c>
      <c r="AT40" s="26"/>
      <c r="AU40" s="90">
        <f ca="1">_xll.DBRW("canaf:YLD_Components",$B$1,$B$2,$E$1,$F$6,$I$1,$I$2,$AW$9,$I$3,$I$4,$F4)</f>
        <v>0</v>
      </c>
      <c r="AV40" s="99">
        <f ca="1">_xll.DBRW("canaf:YLD_Components",$B$1,$B$2,$E$1,$F$5,$I$1,$I$2,$AW$9,$I$3,$I$4,$F$4)</f>
        <v>0</v>
      </c>
      <c r="AW40" s="27">
        <f ca="1">(_xll.DBRW("canaf:YLD_Components",$B$1,$B$2,$E$1,$F$5,$I$1,$I$2,$AW$9,$I$3,$I$4,$F$4))/$A$1</f>
        <v>0</v>
      </c>
      <c r="AX40" s="26"/>
    </row>
    <row r="41" spans="1:53">
      <c r="B41" s="28"/>
      <c r="C41" s="28"/>
      <c r="D41" s="28"/>
      <c r="E41" s="29"/>
      <c r="F41" s="29"/>
      <c r="G41" s="29"/>
      <c r="H41" s="29"/>
      <c r="I41" s="29"/>
      <c r="J41" s="29"/>
      <c r="K41" s="28"/>
      <c r="L41" s="28"/>
      <c r="M41" s="29"/>
      <c r="N41" s="29"/>
      <c r="O41" s="29"/>
      <c r="P41" s="29"/>
      <c r="Q41" s="29"/>
      <c r="R41" s="29"/>
      <c r="S41" s="28"/>
      <c r="T41" s="28"/>
      <c r="U41" s="29"/>
      <c r="V41" s="29"/>
      <c r="W41" s="29"/>
      <c r="X41" s="29"/>
      <c r="Y41" s="29"/>
      <c r="Z41" s="29"/>
      <c r="AA41" s="28"/>
      <c r="AB41" s="28"/>
      <c r="AC41" s="29"/>
      <c r="AD41" s="29"/>
      <c r="AE41" s="29"/>
      <c r="AF41" s="29"/>
      <c r="AG41" s="29"/>
      <c r="AH41" s="29"/>
      <c r="AI41" s="28"/>
      <c r="AJ41" s="28"/>
      <c r="AK41" s="29"/>
      <c r="AL41" s="29"/>
      <c r="AM41" s="29"/>
      <c r="AN41" s="29"/>
      <c r="AO41" s="29"/>
      <c r="AP41" s="29"/>
      <c r="AQ41" s="28"/>
      <c r="AR41" s="28"/>
      <c r="AS41" s="29"/>
      <c r="AT41" s="29"/>
      <c r="AU41" s="29"/>
      <c r="AV41" s="29"/>
      <c r="AW41" s="29"/>
      <c r="AX41" s="29"/>
      <c r="AY41" s="40"/>
      <c r="AZ41" s="40"/>
      <c r="BA41" s="40"/>
    </row>
    <row r="42" spans="1:53">
      <c r="A42" s="68" t="s">
        <v>37</v>
      </c>
      <c r="B42" s="15" t="s">
        <v>24</v>
      </c>
      <c r="C42" s="69">
        <f ca="1">_xll.DBRW("canaf:YLD_Components",$B$1,$B$2,$A$42,$F$6,$I$1,$I$2,$E$9,$I$3,$I$4,$I$5)</f>
        <v>12471094.74</v>
      </c>
      <c r="D42" s="69">
        <f ca="1">_xll.DBRW("canaf:YLD_Components",$B$1,$B$2,$A$42,$F$2,$I$1,$I$2,$E$9,$I$3,$I$4,$I$5)</f>
        <v>128397.47</v>
      </c>
      <c r="E42" s="30">
        <f ca="1">IFERROR((((D42/$D$40)*$D$39)-E19)+E20,0)</f>
        <v>9.4810520000000002E-3</v>
      </c>
      <c r="F42" s="16">
        <f ca="1">_xll.DBRW("canaf:YLD_Components",$B$1,$B$2,$A$42,$F$7,$I$1,$I$2,$E$9,$I$3,$I$4,$I$5)</f>
        <v>1</v>
      </c>
      <c r="G42" s="69">
        <f ca="1">_xll.DBRW("canaf:YLD_Components",$B$1,$B$2,$A$42,$F$6,$I$1,$I$2,$I$9,$I$3,$I$4,$I$5)</f>
        <v>12344984.49</v>
      </c>
      <c r="H42" s="69">
        <f ca="1">_xll.DBRW("canaf:YLD_Components",$B$1,$B$2,$A$42,$F$2,$I$1,$I$2,$I$9,$I$3,$I$4,$I$5)</f>
        <v>-335415.54000000004</v>
      </c>
      <c r="I42" s="32">
        <f ca="1">IFERROR((((H42/$H$40)*$H$39)-I19)+I20,0)</f>
        <v>-2.7557723000000006E-2</v>
      </c>
      <c r="J42" s="32">
        <f ca="1">_xll.DBRW("canaf:YLD_Components",$B$1,$B$2,$A$42,$F$7,$I$1,$I$2,$I$9,$I$3,$I$4,$I$5)</f>
        <v>1</v>
      </c>
      <c r="K42" s="69">
        <f ca="1">_xll.DBRW("canaf:YLD_Components",$B$1,$B$2,$A$42,$F$6,$I$1,$I$2,$M$9,$I$3,$I$4,$I$5)</f>
        <v>11694782.810000001</v>
      </c>
      <c r="L42" s="69">
        <f ca="1">_xll.DBRW("canaf:YLD_Components",$B$1,$B$2,$A$42,$F$2,$I$1,$I$2,$M$9,$I$3,$I$4,$I$5)</f>
        <v>106767.93</v>
      </c>
      <c r="M42" s="30">
        <f ca="1">IFERROR((((L42/$L$40)*$L$39)-M19)+M20,0)</f>
        <v>9.7155330000000002E-3</v>
      </c>
      <c r="N42" s="16">
        <f ca="1">_xll.DBRW("canaf:YLD_Components",$B$1,$B$2,$A$42,$F$7,$I$1,$I$2,$M$9,$I$3,$I$4,$I$5)</f>
        <v>1</v>
      </c>
      <c r="O42" s="69">
        <f ca="1">_xll.DBRW("canaf:YLD_Components",$B$1,$B$2,$A$42,$F$6,$I$1,$I$2,$Q$9,$I$3,$I$4,$I$5)</f>
        <v>11457469.290000001</v>
      </c>
      <c r="P42" s="69">
        <f ca="1">_xll.DBRW("canaf:YLD_Components",$B$1,$B$2,$A$42,$F$2,$I$1,$I$2,$Q$9,$I$3,$I$4,$I$5)</f>
        <v>60379.86</v>
      </c>
      <c r="Q42" s="32">
        <f ca="1">IFERROR((((P42/$P$40)*$P$39)-Q19)+Q20,0)</f>
        <v>5.4046629999999997E-3</v>
      </c>
      <c r="R42" s="32">
        <f ca="1">_xll.DBRW("canaf:YLD_Components",$B$1,$B$2,$A$42,$F$7,$I$1,$I$2,$Q$9,$I$3,$I$4,$I$5)</f>
        <v>1</v>
      </c>
      <c r="S42" s="69">
        <f ca="1">_xll.DBRW("canaf:YLD_Components",$B$1,$B$2,$A$42,$F$6,$I$1,$I$2,$U$9,$I$3,$I$4,$I$5)</f>
        <v>11514671.699999999</v>
      </c>
      <c r="T42" s="69">
        <f ca="1">_xll.DBRW("canaf:YLD_Components",$B$1,$B$2,$A$42,$F$2,$I$1,$I$2,$U$9,$I$3,$I$4,$I$5)</f>
        <v>55873.290000000008</v>
      </c>
      <c r="U42" s="30">
        <f ca="1">IFERROR((((T42/$T$40)*$T$39)-U19)+U20,0)</f>
        <v>4.9700000000000005E-3</v>
      </c>
      <c r="V42" s="16">
        <f ca="1">_xll.DBRW("canaf:YLD_Components",$B$1,$B$2,$A$42,$F$7,$I$1,$I$2,$U$9,$I$3,$I$4,$I$5)</f>
        <v>1</v>
      </c>
      <c r="W42" s="69">
        <f ca="1">_xll.DBRW("canaf:YLD_Components",$B$1,$B$2,$A$42,$F$6,$I$1,$I$2,$Y$9,$I$3,$I$4,$I$5)</f>
        <v>11566312.979999999</v>
      </c>
      <c r="X42" s="69">
        <f ca="1">_xll.DBRW("canaf:YLD_Components",$B$1,$B$2,$A$42,$F$2,$I$1,$I$2,$Y$9,$I$3,$I$4,$I$5)</f>
        <v>57199.380000000005</v>
      </c>
      <c r="Y42" s="32">
        <f ca="1">IFERROR((((X42/$X$40)*$X$39)-Y19)+Y20,0)</f>
        <v>5.0399999999999993E-3</v>
      </c>
      <c r="Z42" s="32">
        <f ca="1">_xll.DBRW("canaf:YLD_Components",$B$1,$B$2,$A$42,$F$7,$I$1,$I$2,$Y$9,$I$3,$I$4,$I$5)</f>
        <v>1</v>
      </c>
      <c r="AA42" s="69">
        <f ca="1">_xll.DBRW("canaf:YLD_Components",$B$1,$B$2,$A$42,$F$6,$I$1,$I$2,$AC$9,$I$3,$I$4,$I$5)</f>
        <v>0</v>
      </c>
      <c r="AB42" s="69">
        <f ca="1">_xll.DBRW("canaf:YLD_Components",$B$1,$B$2,$A$42,$F$2,$I$1,$I$2,$AC$9,$I$3,$I$4,$I$5)</f>
        <v>0</v>
      </c>
      <c r="AC42" s="30">
        <f ca="1">IFERROR((((AB42/$AB$40)*$AB$39)-AC19)+AC20,0)</f>
        <v>0</v>
      </c>
      <c r="AD42" s="16">
        <f ca="1">_xll.DBRW("canaf:YLD_Components",$B$1,$B$2,$A$42,$F$7,$I$1,$I$2,$AC$9,$I$3,$I$4,$I$5)</f>
        <v>0</v>
      </c>
      <c r="AE42" s="69">
        <f ca="1">_xll.DBRW("canaf:YLD_Components",$B$1,$B$2,$A$42,$F$6,$I$1,$I$2,$AG$9,$I$3,$I$4,$I$5)</f>
        <v>0</v>
      </c>
      <c r="AF42" s="69">
        <f ca="1">_xll.DBRW("canaf:YLD_Components",$B$1,$B$2,$A$42,$F$2,$I$1,$I$2,$AG$9,$I$3,$I$4,$I$5)</f>
        <v>0</v>
      </c>
      <c r="AG42" s="32">
        <f ca="1">IFERROR((((AF42/$AF$40)*$AF$39)-AG19)+AG20,0)</f>
        <v>0</v>
      </c>
      <c r="AH42" s="32">
        <f ca="1">_xll.DBRW("canaf:YLD_Components",$B$1,$B$2,$A$42,$F$7,$I$1,$I$2,$AG$9,$I$3,$I$4,$I$5)</f>
        <v>0</v>
      </c>
      <c r="AI42" s="69">
        <f ca="1">_xll.DBRW("canaf:YLD_Components",$B$1,$B$2,$A$42,$F$6,$I$1,$I$2,$AK$9,$I$3,$I$4,$I$5)</f>
        <v>0</v>
      </c>
      <c r="AJ42" s="69">
        <f ca="1">_xll.DBRW("canaf:YLD_Components",$B$1,$B$2,$A$42,$F$2,$I$1,$I$2,$AK$9,$I$3,$I$4,$I$5)</f>
        <v>0</v>
      </c>
      <c r="AK42" s="30">
        <f ca="1">IFERROR((((AJ42/$AJ$40)*$AJ$39)-AK19)+AK20,0)</f>
        <v>0</v>
      </c>
      <c r="AL42" s="16">
        <f ca="1">_xll.DBRW("canaf:YLD_Components",$B$1,$B$2,$A$42,$F$7,$I$1,$I$2,$AK$9,$I$3,$I$4,$I$5)</f>
        <v>0</v>
      </c>
      <c r="AM42" s="69">
        <f ca="1">_xll.DBRW("canaf:YLD_Components",$B$1,$B$2,$A$42,$F$6,$I$1,$I$2,$AO$9,$I$3,$I$4,$I$5)</f>
        <v>0</v>
      </c>
      <c r="AN42" s="69">
        <f ca="1">_xll.DBRW("canaf:YLD_Components",$B$1,$B$2,$A$42,$F$2,$I$1,$I$2,$AO$9,$I$3,$I$4,$I$5)</f>
        <v>0</v>
      </c>
      <c r="AO42" s="32">
        <f ca="1">IFERROR((((AN42/$AN$40)*$AN$39)-AO19)+AO20,0)</f>
        <v>0</v>
      </c>
      <c r="AP42" s="32">
        <f ca="1">_xll.DBRW("canaf:YLD_Components",$B$1,$B$2,$A$42,$F$7,$I$1,$I$2,$AO$9,$I$3,$I$4,$I$5)</f>
        <v>0</v>
      </c>
      <c r="AQ42" s="69">
        <f ca="1">_xll.DBRW("canaf:YLD_Components",$B$1,$B$2,$A$42,$F$6,$I$1,$I$2,$AS$9,$I$3,$I$4,$I$5)</f>
        <v>0</v>
      </c>
      <c r="AR42" s="69">
        <f ca="1">_xll.DBRW("canaf:YLD_Components",$B$1,$B$2,$A$42,$F$2,$I$1,$I$2,$AS$9,$I$3,$I$4,$I$5)</f>
        <v>0</v>
      </c>
      <c r="AS42" s="30">
        <f ca="1">IFERROR((((AR42/$AR$40)*$AR$39)-AS19)+AS20,0)</f>
        <v>0</v>
      </c>
      <c r="AT42" s="16">
        <f ca="1">_xll.DBRW("canaf:YLD_Components",$B$1,$B$2,$A$42,$F$7,$I$1,$I$2,$AS$9,$I$3,$I$4,$I$5)</f>
        <v>0</v>
      </c>
      <c r="AU42" s="69">
        <f ca="1">_xll.DBRW("canaf:YLD_Components",$B$1,$B$2,$A$42,$F$6,$I$1,$I$2,$AW$9,$I$3,$I$4,$I$5)</f>
        <v>0</v>
      </c>
      <c r="AV42" s="69">
        <f ca="1">_xll.DBRW("canaf:YLD_Components",$B$1,$B$2,$A$42,$F$2,$I$1,$I$2,$AW$9,$I$3,$I$4,$I$5)</f>
        <v>0</v>
      </c>
      <c r="AW42" s="32">
        <f ca="1">IFERROR((((AV42/$AV$40)*$AV$39)-AW19)+AW20,0)</f>
        <v>0</v>
      </c>
      <c r="AX42" s="32">
        <f ca="1">_xll.DBRW("canaf:YLD_Components",$B$1,$B$2,$A$42,$F$7,$I$1,$I$2,$AW$9,$I$3,$I$4,$I$5)</f>
        <v>0</v>
      </c>
    </row>
    <row r="43" spans="1:53">
      <c r="A43" t="s">
        <v>39</v>
      </c>
      <c r="B43" s="19" t="s">
        <v>25</v>
      </c>
      <c r="C43" s="69">
        <f ca="1">_xll.DBRW("canaf:YLD_Components",$B$1,$B$2,$A$43,$F$6,$I$1,$I$2,$E$9,$I$3,$I$4,$I$5)</f>
        <v>0</v>
      </c>
      <c r="D43" s="69">
        <f ca="1">_xll.DBRW("canaf:YLD_Components",$B$1,$B$2,$A$43,$F$2,$I$1,$I$2,$E$9,$I$3,$I$4,$I$5)</f>
        <v>0</v>
      </c>
      <c r="E43" s="30">
        <f ca="1">IFERROR((D43/$D$40)*$D$39,0)</f>
        <v>0</v>
      </c>
      <c r="F43" s="16">
        <f ca="1">_xll.DBRW("canaf:YLD_Components",$B$1,$B$2,$A$43,$F$7,$I$1,$I$2,$E$9,$I$3,$I$4,$I$5)</f>
        <v>0</v>
      </c>
      <c r="G43" s="69">
        <f ca="1">_xll.DBRW("canaf:YLD_Components",$B$1,$B$2,$A$43,$F$6,$I$1,$I$2,$I$9,$I$3,$I$4,$I$5)</f>
        <v>0</v>
      </c>
      <c r="H43" s="69">
        <f ca="1">_xll.DBRW("canaf:YLD_Components",$B$1,$B$2,$A$43,$F$2,$I$1,$I$2,$I$9,$I$3,$I$4,$I$5)</f>
        <v>0</v>
      </c>
      <c r="I43" s="31">
        <f ca="1">IFERROR((H43/$H$40)*$H$39,0)</f>
        <v>0</v>
      </c>
      <c r="J43" s="17">
        <f ca="1">_xll.DBRW("canaf:YLD_Components",$B$1,$B$2,$A$43,$F$7,$I$1,$I$2,$I$9,$I$3,$I$4,$I$5)</f>
        <v>0</v>
      </c>
      <c r="K43" s="69">
        <f ca="1">_xll.DBRW("canaf:YLD_Components",$B$1,$B$2,$A$43,$F$6,$I$1,$I$2,$M$9,$I$3,$I$4,$I$5)</f>
        <v>0</v>
      </c>
      <c r="L43" s="69">
        <f ca="1">_xll.DBRW("canaf:YLD_Components",$B$1,$B$2,$A$43,$F$2,$I$1,$I$2,$M$9,$I$3,$I$4,$I$5)</f>
        <v>0</v>
      </c>
      <c r="M43" s="30">
        <f ca="1">IFERROR((L43/$L$40)*$L$39,0)</f>
        <v>0</v>
      </c>
      <c r="N43" s="16">
        <f ca="1">_xll.DBRW("canaf:YLD_Components",$B$1,$B$2,$A$43,$F$7,$I$1,$I$2,$M$9,$I$3,$I$4,$I$5)</f>
        <v>0</v>
      </c>
      <c r="O43" s="69">
        <f ca="1">_xll.DBRW("canaf:YLD_Components",$B$1,$B$2,$A$43,$F$6,$I$1,$I$2,$Q$9,$I$3,$I$4,$I$5)</f>
        <v>0</v>
      </c>
      <c r="P43" s="69">
        <f ca="1">_xll.DBRW("canaf:YLD_Components",$B$1,$B$2,$A$43,$F$2,$I$1,$I$2,$Q$9,$I$3,$I$4,$I$5)</f>
        <v>0</v>
      </c>
      <c r="Q43" s="31">
        <f ca="1">IFERROR((P43/$P$40)*$P$39,0)</f>
        <v>0</v>
      </c>
      <c r="R43" s="17">
        <f ca="1">_xll.DBRW("canaf:YLD_Components",$B$1,$B$2,$A$43,$F$7,$I$1,$I$2,$Q$9,$I$3,$I$4,$I$5)</f>
        <v>0</v>
      </c>
      <c r="S43" s="69">
        <f ca="1">_xll.DBRW("canaf:YLD_Components",$B$1,$B$2,$A$43,$F$6,$I$1,$I$2,$U$9,$I$3,$I$4,$I$5)</f>
        <v>0</v>
      </c>
      <c r="T43" s="69">
        <f ca="1">_xll.DBRW("canaf:YLD_Components",$B$1,$B$2,$A$43,$F$2,$I$1,$I$2,$U$9,$I$3,$I$4,$I$5)</f>
        <v>0</v>
      </c>
      <c r="U43" s="30">
        <f ca="1">IFERROR((T43/$T$40)*$T$39,0)</f>
        <v>0</v>
      </c>
      <c r="V43" s="16">
        <f ca="1">_xll.DBRW("canaf:YLD_Components",$B$1,$B$2,$A$43,$F$7,$I$1,$I$2,$U$9,$I$3,$I$4,$I$5)</f>
        <v>0</v>
      </c>
      <c r="W43" s="69">
        <f ca="1">_xll.DBRW("canaf:YLD_Components",$B$1,$B$2,$A$43,$F$6,$I$1,$I$2,$Y$9,$I$3,$I$4,$I$5)</f>
        <v>0</v>
      </c>
      <c r="X43" s="69">
        <f ca="1">_xll.DBRW("canaf:YLD_Components",$B$1,$B$2,$A$43,$F$2,$I$1,$I$2,$Y$9,$I$3,$I$4,$I$5)</f>
        <v>0</v>
      </c>
      <c r="Y43" s="31">
        <f ca="1">IFERROR((X43/$X$40)*$X$39,0)</f>
        <v>0</v>
      </c>
      <c r="Z43" s="17">
        <f ca="1">_xll.DBRW("canaf:YLD_Components",$B$1,$B$2,$A$43,$F$7,$I$1,$I$2,$Y$9,$I$3,$I$4,$I$5)</f>
        <v>0</v>
      </c>
      <c r="AA43" s="69">
        <f ca="1">_xll.DBRW("canaf:YLD_Components",$B$1,$B$2,$A$43,$F$6,$I$1,$I$2,$AC$9,$I$3,$I$4,$I$5)</f>
        <v>0</v>
      </c>
      <c r="AB43" s="69">
        <f ca="1">_xll.DBRW("canaf:YLD_Components",$B$1,$B$2,$A$43,$F$2,$I$1,$I$2,$AC$9,$I$3,$I$4,$I$5)</f>
        <v>0</v>
      </c>
      <c r="AC43" s="30">
        <f ca="1">IFERROR((AB43/$AB$40)*$AB$39,0)</f>
        <v>0</v>
      </c>
      <c r="AD43" s="16">
        <f ca="1">_xll.DBRW("canaf:YLD_Components",$B$1,$B$2,$A$43,$F$7,$I$1,$I$2,$AC$9,$I$3,$I$4,$I$5)</f>
        <v>0</v>
      </c>
      <c r="AE43" s="69">
        <f ca="1">_xll.DBRW("canaf:YLD_Components",$B$1,$B$2,$A$43,$F$6,$I$1,$I$2,$AG$9,$I$3,$I$4,$I$5)</f>
        <v>0</v>
      </c>
      <c r="AF43" s="69">
        <f ca="1">_xll.DBRW("canaf:YLD_Components",$B$1,$B$2,$A$43,$F$2,$I$1,$I$2,$AG$9,$I$3,$I$4,$I$5)</f>
        <v>0</v>
      </c>
      <c r="AG43" s="31">
        <f ca="1">IFERROR((AF43/$AF$40)*$AF$39,0)</f>
        <v>0</v>
      </c>
      <c r="AH43" s="17">
        <f ca="1">_xll.DBRW("canaf:YLD_Components",$B$1,$B$2,$A$43,$F$7,$I$1,$I$2,$AG$9,$I$3,$I$4,$I$5)</f>
        <v>0</v>
      </c>
      <c r="AI43" s="69">
        <f ca="1">_xll.DBRW("canaf:YLD_Components",$B$1,$B$2,$A$43,$F$6,$I$1,$I$2,$AK$9,$I$3,$I$4,$I$5)</f>
        <v>0</v>
      </c>
      <c r="AJ43" s="69">
        <f ca="1">_xll.DBRW("canaf:YLD_Components",$B$1,$B$2,$A$43,$F$2,$I$1,$I$2,$AK$9,$I$3,$I$4,$I$5)</f>
        <v>0</v>
      </c>
      <c r="AK43" s="30">
        <f ca="1">IFERROR((AJ43/$AJ$40)*$AJ$39,0)</f>
        <v>0</v>
      </c>
      <c r="AL43" s="16">
        <f ca="1">_xll.DBRW("canaf:YLD_Components",$B$1,$B$2,$A$43,$F$7,$I$1,$I$2,$AK$9,$I$3,$I$4,$I$5)</f>
        <v>0</v>
      </c>
      <c r="AM43" s="69">
        <f ca="1">_xll.DBRW("canaf:YLD_Components",$B$1,$B$2,$A$43,$F$6,$I$1,$I$2,$AO$9,$I$3,$I$4,$I$5)</f>
        <v>0</v>
      </c>
      <c r="AN43" s="69">
        <f ca="1">_xll.DBRW("canaf:YLD_Components",$B$1,$B$2,$A$43,$F$2,$I$1,$I$2,$AO$9,$I$3,$I$4,$I$5)</f>
        <v>0</v>
      </c>
      <c r="AO43" s="31">
        <f ca="1">IFERROR((AN43/$AN$40)*$AN$39,0)</f>
        <v>0</v>
      </c>
      <c r="AP43" s="17">
        <f ca="1">_xll.DBRW("canaf:YLD_Components",$B$1,$B$2,$A$43,$F$7,$I$1,$I$2,$AO$9,$I$3,$I$4,$I$5)</f>
        <v>0</v>
      </c>
      <c r="AQ43" s="69">
        <f ca="1">_xll.DBRW("canaf:YLD_Components",$B$1,$B$2,$A$43,$F$6,$I$1,$I$2,$AS$9,$I$3,$I$4,$I$5)</f>
        <v>0</v>
      </c>
      <c r="AR43" s="69">
        <f ca="1">_xll.DBRW("canaf:YLD_Components",$B$1,$B$2,$A$43,$F$2,$I$1,$I$2,$AS$9,$I$3,$I$4,$I$5)</f>
        <v>0</v>
      </c>
      <c r="AS43" s="30">
        <f ca="1">IFERROR((AR43/$AR$40)*$AR$39,0)</f>
        <v>0</v>
      </c>
      <c r="AT43" s="16">
        <f ca="1">_xll.DBRW("canaf:YLD_Components",$B$1,$B$2,$A$43,$F$7,$I$1,$I$2,$AS$9,$I$3,$I$4,$I$5)</f>
        <v>0</v>
      </c>
      <c r="AU43" s="69">
        <f ca="1">_xll.DBRW("canaf:YLD_Components",$B$1,$B$2,$A$43,$F$6,$I$1,$I$2,$AW$9,$I$3,$I$4,$I$5)</f>
        <v>0</v>
      </c>
      <c r="AV43" s="69">
        <f ca="1">_xll.DBRW("canaf:YLD_Components",$B$1,$B$2,$A$43,$F$2,$I$1,$I$2,$AW$9,$I$3,$I$4,$I$5)</f>
        <v>0</v>
      </c>
      <c r="AW43" s="31">
        <f ca="1">IFERROR((AV43/$AV$40)*$AV$39,0)</f>
        <v>0</v>
      </c>
      <c r="AX43" s="17">
        <f ca="1">_xll.DBRW("canaf:YLD_Components",$B$1,$B$2,$A$43,$F$7,$I$1,$I$2,$AW$9,$I$3,$I$4,$I$5)</f>
        <v>0</v>
      </c>
    </row>
    <row r="44" spans="1:53">
      <c r="B44" s="20" t="s">
        <v>22</v>
      </c>
      <c r="C44" s="92">
        <f ca="1">SUM(C42:C43)</f>
        <v>12471094.74</v>
      </c>
      <c r="D44" s="69"/>
      <c r="E44" s="21">
        <f ca="1">SUM(E42:E43)</f>
        <v>9.4810520000000002E-3</v>
      </c>
      <c r="F44" s="22">
        <f ca="1">SUM(F42:F43)</f>
        <v>1</v>
      </c>
      <c r="G44" s="92">
        <f ca="1">SUM(G42:G43)</f>
        <v>12344984.49</v>
      </c>
      <c r="H44" s="88"/>
      <c r="I44" s="23">
        <f ca="1">SUM(I42:I43)</f>
        <v>-2.7557723000000006E-2</v>
      </c>
      <c r="J44" s="24">
        <f ca="1">SUM(J42:J43)</f>
        <v>1</v>
      </c>
      <c r="K44" s="92">
        <f ca="1">SUM(K42:K43)</f>
        <v>11694782.810000001</v>
      </c>
      <c r="L44" s="69"/>
      <c r="M44" s="21">
        <f ca="1">SUM(M42:M43)</f>
        <v>9.7155330000000002E-3</v>
      </c>
      <c r="N44" s="22">
        <f ca="1">SUM(N42:N43)</f>
        <v>1</v>
      </c>
      <c r="O44" s="92">
        <f ca="1">SUM(O42:O43)</f>
        <v>11457469.290000001</v>
      </c>
      <c r="P44" s="88"/>
      <c r="Q44" s="23">
        <f ca="1">IFERROR(SUM(Q42:Q43),0)</f>
        <v>5.4046629999999997E-3</v>
      </c>
      <c r="R44" s="24">
        <f ca="1">SUM(R42:R43)</f>
        <v>1</v>
      </c>
      <c r="S44" s="92">
        <f ca="1">SUM(S42:S43)</f>
        <v>11514671.699999999</v>
      </c>
      <c r="T44" s="69"/>
      <c r="U44" s="21">
        <f ca="1">IFERROR(SUM(U42:U43),0)</f>
        <v>4.9700000000000005E-3</v>
      </c>
      <c r="V44" s="22">
        <f ca="1">SUM(V42:V43)</f>
        <v>1</v>
      </c>
      <c r="W44" s="92">
        <f ca="1">SUM(W42:W43)</f>
        <v>11566312.979999999</v>
      </c>
      <c r="X44" s="88"/>
      <c r="Y44" s="23">
        <f ca="1">IFERROR(SUM(Y42:Y43),0)</f>
        <v>5.0399999999999993E-3</v>
      </c>
      <c r="Z44" s="24">
        <f ca="1">SUM(Z42:Z43)</f>
        <v>1</v>
      </c>
      <c r="AA44" s="92">
        <f ca="1">SUM(AA42:AA43)</f>
        <v>0</v>
      </c>
      <c r="AB44" s="69"/>
      <c r="AC44" s="21">
        <f ca="1">IFERROR(SUM(AC42:AC43),0)</f>
        <v>0</v>
      </c>
      <c r="AD44" s="22">
        <f ca="1">SUM(AD42:AD43)</f>
        <v>0</v>
      </c>
      <c r="AE44" s="92">
        <f ca="1">SUM(AE42:AE43)</f>
        <v>0</v>
      </c>
      <c r="AF44" s="88"/>
      <c r="AG44" s="23">
        <f ca="1">IFERROR(SUM(AG42:AG43),0)</f>
        <v>0</v>
      </c>
      <c r="AH44" s="24">
        <f ca="1">SUM(AH42:AH43)</f>
        <v>0</v>
      </c>
      <c r="AI44" s="92">
        <f ca="1">SUM(AI42:AI43)</f>
        <v>0</v>
      </c>
      <c r="AJ44" s="69"/>
      <c r="AK44" s="21">
        <f ca="1">IFERROR(SUM(AK42:AK43),0)</f>
        <v>0</v>
      </c>
      <c r="AL44" s="22">
        <f ca="1">SUM(AL42:AL43)</f>
        <v>0</v>
      </c>
      <c r="AM44" s="92">
        <f ca="1">SUM(AM42:AM43)</f>
        <v>0</v>
      </c>
      <c r="AN44" s="88"/>
      <c r="AO44" s="23">
        <f ca="1">IFERROR(SUM(AO42:AO43),0)</f>
        <v>0</v>
      </c>
      <c r="AP44" s="24">
        <f ca="1">SUM(AP42:AP43)</f>
        <v>0</v>
      </c>
      <c r="AQ44" s="92">
        <f ca="1">SUM(AQ42:AQ43)</f>
        <v>0</v>
      </c>
      <c r="AR44" s="69"/>
      <c r="AS44" s="21">
        <f ca="1">IFERROR(SUM(AS42:AS43),0)</f>
        <v>0</v>
      </c>
      <c r="AT44" s="22">
        <f ca="1">SUM(AT42:AT43)</f>
        <v>0</v>
      </c>
      <c r="AU44" s="92">
        <f ca="1">SUM(AU42:AU43)</f>
        <v>0</v>
      </c>
      <c r="AV44" s="88"/>
      <c r="AW44" s="23">
        <f ca="1">IFERROR(SUM(AW42:AW43),0)</f>
        <v>0</v>
      </c>
      <c r="AX44" s="24">
        <f ca="1">SUM(AX42:AX43)</f>
        <v>0</v>
      </c>
    </row>
    <row r="45" spans="1:53">
      <c r="B45" s="33"/>
      <c r="C45" s="69"/>
      <c r="D45" s="69"/>
      <c r="E45" s="34"/>
      <c r="F45" s="34"/>
      <c r="G45" s="34"/>
      <c r="H45" s="34"/>
      <c r="I45" s="34"/>
      <c r="J45" s="34"/>
      <c r="K45" s="69"/>
      <c r="L45" s="69"/>
      <c r="M45" s="34"/>
      <c r="N45" s="34"/>
      <c r="O45" s="34"/>
      <c r="P45" s="34"/>
      <c r="Q45" s="34"/>
      <c r="R45" s="34"/>
      <c r="S45" s="69"/>
      <c r="T45" s="69"/>
      <c r="U45" s="34"/>
      <c r="V45" s="34"/>
      <c r="W45" s="34"/>
      <c r="X45" s="34"/>
      <c r="Y45" s="34"/>
      <c r="Z45" s="34"/>
      <c r="AA45" s="69"/>
      <c r="AB45" s="69"/>
      <c r="AC45" s="34"/>
      <c r="AD45" s="34"/>
      <c r="AE45" s="34"/>
      <c r="AF45" s="34"/>
      <c r="AG45" s="34"/>
      <c r="AH45" s="34"/>
      <c r="AI45" s="69"/>
      <c r="AJ45" s="69"/>
      <c r="AK45" s="34"/>
      <c r="AL45" s="34"/>
      <c r="AM45" s="34"/>
      <c r="AN45" s="34"/>
      <c r="AO45" s="34"/>
      <c r="AP45" s="34"/>
      <c r="AQ45" s="69"/>
      <c r="AR45" s="69"/>
      <c r="AS45" s="34"/>
      <c r="AT45" s="34"/>
      <c r="AU45" s="34"/>
      <c r="AV45" s="34"/>
      <c r="AW45" s="34"/>
      <c r="AX45" s="34"/>
      <c r="AZ45" s="36"/>
    </row>
    <row r="46" spans="1:53">
      <c r="A46" s="62" t="s">
        <v>40</v>
      </c>
      <c r="B46" s="15" t="s">
        <v>26</v>
      </c>
      <c r="C46" s="69">
        <f ca="1">_xll.DBRW("canaf:YLD_Components",$B$1,$A$46,$E$1,$F$6,$I$1,$I$2,$E$9,$I$3,$I$4,$I$5)</f>
        <v>12471094.74</v>
      </c>
      <c r="D46" s="69">
        <f ca="1">_xll.DBRW("canaf:YLD_Components",$B$1,$A$46,$E$1,$F$2,$I$1,$I$2,$E$9,$I$3,$I$4,$I$5)</f>
        <v>128397.47</v>
      </c>
      <c r="E46" s="30">
        <f ca="1">IFERROR(((D46/$D$40)*$D$39)-E19+E20,0)</f>
        <v>9.4810520000000002E-3</v>
      </c>
      <c r="F46" s="16">
        <f ca="1">_xll.DBRW("canaf:YLD_Components",$B$1,$A$46,$E$1,$F$7,$I$1,$I$2,$E$9,$I$3,$I$4,$I$5)</f>
        <v>1</v>
      </c>
      <c r="G46" s="69">
        <f ca="1">_xll.DBRW("canaf:YLD_Components",$B$1,$A$46,$E$1,$F$6,$I$1,$I$2,$I$9,$I$3,$I$4,$I$5)</f>
        <v>12344984.49</v>
      </c>
      <c r="H46" s="69">
        <f ca="1">_xll.DBRW("canaf:YLD_Components",$B$1,$A$46,$E$1,$F$2,$I$1,$I$2,$I$9,$I$3,$I$4,$I$5)</f>
        <v>-335415.54000000004</v>
      </c>
      <c r="I46" s="17">
        <f ca="1">IFERROR(((H46/$H$40)*$H$39)-I19+I20,0)</f>
        <v>-2.7557723000000006E-2</v>
      </c>
      <c r="J46" s="32">
        <f ca="1">_xll.DBRW("canaf:YLD_Components",$B$1,$A$46,$E$1,$F$7,$I$1,$I$2,$I$9,$I$3,$I$4,$I$5)</f>
        <v>1</v>
      </c>
      <c r="K46" s="69">
        <f ca="1">_xll.DBRW("canaf:YLD_Components",$B$1,$A$46,$E$1,$F$6,$I$1,$I$2,$M$9,$I$3,$I$4,$I$5)</f>
        <v>11694782.810000001</v>
      </c>
      <c r="L46" s="69">
        <f ca="1">_xll.DBRW("canaf:YLD_Components",$B$1,$A$46,$E$1,$F$2,$I$1,$I$2,$M$9,$I$3,$I$4,$I$5)</f>
        <v>106767.93</v>
      </c>
      <c r="M46" s="30">
        <f ca="1">IFERROR(((L46/$L$40)*$L$39)-M19+M20,0)</f>
        <v>9.7155330000000002E-3</v>
      </c>
      <c r="N46" s="16">
        <f ca="1">_xll.DBRW("canaf:YLD_Components",$B$1,$A$46,$E$1,$F$7,$I$1,$I$2,$M$9,$I$3,$I$4,$I$5)</f>
        <v>1</v>
      </c>
      <c r="O46" s="69">
        <f ca="1">_xll.DBRW("canaf:YLD_Components",$B$1,$A$46,$E$1,$F$6,$I$1,$I$2,$Q$9,$I$3,$I$4,$I$5)</f>
        <v>11457469.290000001</v>
      </c>
      <c r="P46" s="69">
        <f ca="1">_xll.DBRW("canaf:YLD_Components",$B$1,$A$46,$E$1,$F$2,$I$1,$I$2,$Q$9,$I$3,$I$4,$I$5)</f>
        <v>60379.86</v>
      </c>
      <c r="Q46" s="17">
        <f ca="1">IFERROR(((P46/$P$40)*$P$39)-Q19+Q20,0)</f>
        <v>5.4046629999999997E-3</v>
      </c>
      <c r="R46" s="32">
        <f ca="1">_xll.DBRW("canaf:YLD_Components",$B$1,$A$46,$E$1,$F$7,$I$1,$I$2,$Q$9,$I$3,$I$4,$I$5)</f>
        <v>1</v>
      </c>
      <c r="S46" s="69">
        <f ca="1">_xll.DBRW("canaf:YLD_Components",$B$1,$A$46,$E$1,$F$6,$I$1,$I$2,$U$9,$I$3,$I$4,$I$5)</f>
        <v>11514671.699999999</v>
      </c>
      <c r="T46" s="69">
        <f ca="1">_xll.DBRW("canaf:YLD_Components",$B$1,$A$46,$E$1,$F$2,$I$1,$I$2,$U$9,$I$3,$I$4,$I$5)</f>
        <v>55873.290000000008</v>
      </c>
      <c r="U46" s="30">
        <f ca="1">IFERROR(((T46/$T$40)*$T$39)-U19+U20,0)</f>
        <v>4.9700000000000005E-3</v>
      </c>
      <c r="V46" s="16">
        <f ca="1">_xll.DBRW("canaf:YLD_Components",$B$1,$A$46,$E$1,$F$7,$I$1,$I$2,$U$9,$I$3,$I$4,$I$5)</f>
        <v>1</v>
      </c>
      <c r="W46" s="69">
        <f ca="1">_xll.DBRW("canaf:YLD_Components",$B$1,$A$46,$E$1,$F$6,$I$1,$I$2,$Y$9,$I$3,$I$4,$I$5)</f>
        <v>11566312.979999999</v>
      </c>
      <c r="X46" s="69">
        <f ca="1">_xll.DBRW("canaf:YLD_Components",$B$1,$A$46,$E$1,$F$2,$I$1,$I$2,$Y$9,$I$3,$I$4,$I$5)</f>
        <v>57199.380000000005</v>
      </c>
      <c r="Y46" s="17">
        <f ca="1">IFERROR(((X46/$X$40)*$X$39)-Y19+Y20,0)</f>
        <v>5.0399999999999993E-3</v>
      </c>
      <c r="Z46" s="32">
        <f ca="1">_xll.DBRW("canaf:YLD_Components",$B$1,$A$46,$E$1,$F$7,$I$1,$I$2,$Y$9,$I$3,$I$4,$I$5)</f>
        <v>1</v>
      </c>
      <c r="AA46" s="69">
        <f ca="1">_xll.DBRW("canaf:YLD_Components",$B$1,$A$46,$E$1,$F$6,$I$1,$I$2,$AC$9,$I$3,$I$4,$I$5)</f>
        <v>0</v>
      </c>
      <c r="AB46" s="69">
        <f ca="1">_xll.DBRW("canaf:YLD_Components",$B$1,$A$46,$E$1,$F$2,$I$1,$I$2,$AC$9,$I$3,$I$4,$I$5)</f>
        <v>0</v>
      </c>
      <c r="AC46" s="30">
        <f ca="1">IFERROR(((AB46/$AB$40)*$AB$39)-AC19+AC20,0)</f>
        <v>0</v>
      </c>
      <c r="AD46" s="16">
        <f ca="1">_xll.DBRW("canaf:YLD_Components",$B$1,$A$46,$E$1,$F$7,$I$1,$I$2,$AC$9,$I$3,$I$4,$I$5)</f>
        <v>0</v>
      </c>
      <c r="AE46" s="69">
        <f ca="1">_xll.DBRW("canaf:YLD_Components",$B$1,$A$46,$E$1,$F$6,$I$1,$I$2,$AG$9,$I$3,$I$4,$I$5)</f>
        <v>0</v>
      </c>
      <c r="AF46" s="69">
        <f ca="1">_xll.DBRW("canaf:YLD_Components",$B$1,$A$46,$E$1,$F$2,$I$1,$I$2,$AG$9,$I$3,$I$4,$I$5)</f>
        <v>0</v>
      </c>
      <c r="AG46" s="17">
        <f ca="1">IFERROR(((AF46/$AF$40)*$AF$39)-AG19+AG20,0)</f>
        <v>0</v>
      </c>
      <c r="AH46" s="32">
        <f ca="1">_xll.DBRW("canaf:YLD_Components",$B$1,$A$46,$E$1,$F$7,$I$1,$I$2,$AG$9,$I$3,$I$4,$I$5)</f>
        <v>0</v>
      </c>
      <c r="AI46" s="69">
        <f ca="1">_xll.DBRW("canaf:YLD_Components",$B$1,$A$46,$E$1,$F$6,$I$1,$I$2,$AK$9,$I$3,$I$4,$I$5)</f>
        <v>0</v>
      </c>
      <c r="AJ46" s="69">
        <f ca="1">_xll.DBRW("canaf:YLD_Components",$B$1,$A$46,$E$1,$F$2,$I$1,$I$2,$AK$9,$I$3,$I$4,$I$5)</f>
        <v>0</v>
      </c>
      <c r="AK46" s="30">
        <f ca="1">IFERROR(((AJ46/$AJ$40)*$AJ$39)-AK19+AK20,0)</f>
        <v>0</v>
      </c>
      <c r="AL46" s="16">
        <f ca="1">_xll.DBRW("canaf:YLD_Components",$B$1,$A$46,$E$1,$F$7,$I$1,$I$2,$AK$9,$I$3,$I$4,$I$5)</f>
        <v>0</v>
      </c>
      <c r="AM46" s="69">
        <f ca="1">_xll.DBRW("canaf:YLD_Components",$B$1,$A$46,$E$1,$F$6,$I$1,$I$2,$AO$9,$I$3,$I$4,$I$5)</f>
        <v>0</v>
      </c>
      <c r="AN46" s="69">
        <f ca="1">_xll.DBRW("canaf:YLD_Components",$B$1,$A$46,$E$1,$F$2,$I$1,$I$2,$AO$9,$I$3,$I$4,$I$5)</f>
        <v>0</v>
      </c>
      <c r="AO46" s="17">
        <f ca="1">IFERROR(((AN46/$AN$40)*$AN$39)-AO19+AO20,0)</f>
        <v>0</v>
      </c>
      <c r="AP46" s="32">
        <f ca="1">_xll.DBRW("canaf:YLD_Components",$B$1,$A$46,$E$1,$F$7,$I$1,$I$2,$AO$9,$I$3,$I$4,$I$5)</f>
        <v>0</v>
      </c>
      <c r="AQ46" s="69">
        <f ca="1">_xll.DBRW("canaf:YLD_Components",$B$1,$A$46,$E$1,$F$6,$I$1,$I$2,$AS$9,$I$3,$I$4,$I$5)</f>
        <v>0</v>
      </c>
      <c r="AR46" s="69">
        <f ca="1">_xll.DBRW("canaf:YLD_Components",$B$1,$A$46,$E$1,$F$2,$I$1,$I$2,$AS$9,$I$3,$I$4,$I$5)</f>
        <v>0</v>
      </c>
      <c r="AS46" s="30">
        <f ca="1">IFERROR(((AR46/$AR$40)*$AR$39)-AS19+AS20,0)</f>
        <v>0</v>
      </c>
      <c r="AT46" s="16">
        <f ca="1">_xll.DBRW("canaf:YLD_Components",$B$1,$A$46,$E$1,$F$7,$I$1,$I$2,$AS$9,$I$3,$I$4,$I$5)</f>
        <v>0</v>
      </c>
      <c r="AU46" s="69">
        <f ca="1">_xll.DBRW("canaf:YLD_Components",$B$1,$A$46,$E$1,$F$6,$I$1,$I$2,$AW$9,$I$3,$I$4,$I$5)</f>
        <v>0</v>
      </c>
      <c r="AV46" s="69">
        <f ca="1">_xll.DBRW("canaf:YLD_Components",$B$1,$A$46,$E$1,$F$2,$I$1,$I$2,$AW$9,$I$3,$I$4,$I$5)</f>
        <v>0</v>
      </c>
      <c r="AW46" s="17">
        <f ca="1">IFERROR(((AV46/$AV$40)*$AV$39)-AW19+AW20,0)</f>
        <v>0</v>
      </c>
      <c r="AX46" s="32">
        <f ca="1">_xll.DBRW("canaf:YLD_Components",$B$1,$A$46,$E$1,$F$7,$I$1,$I$2,$AW$9,$I$3,$I$4,$I$5)</f>
        <v>0</v>
      </c>
    </row>
    <row r="47" spans="1:53">
      <c r="A47" s="62" t="s">
        <v>154</v>
      </c>
      <c r="B47" s="19" t="s">
        <v>27</v>
      </c>
      <c r="C47" s="69">
        <f ca="1">_xll.DBRW("canaf:YLD_Components",$B$1,$A$47,$E$1,$F$6,$I$1,$I$2,$E$9,$I$3,$I$4,$I$5)</f>
        <v>0</v>
      </c>
      <c r="D47" s="69">
        <f ca="1">_xll.DBRW("canaf:YLD_Components",$B$1,$A$47,$E$1,$F$2,$I$1,$I$2,$E$9,$I$3,$I$4,$I$5)</f>
        <v>0</v>
      </c>
      <c r="E47" s="30">
        <f ca="1">IFERROR((D47/$D$40)*$D$39,0)</f>
        <v>0</v>
      </c>
      <c r="F47" s="16">
        <f ca="1">_xll.DBRW("canaf:YLD_Components",$B$1,$A$47,$E$1,$F$7,$I$1,$I$2,$E$9,$I$3,$I$4,$I$5)</f>
        <v>0</v>
      </c>
      <c r="G47" s="69">
        <f ca="1">_xll.DBRW("canaf:YLD_Components",$B$1,$A$47,$E$1,$F$6,$I$1,$I$2,$I$9,$I$3,$I$4,$I$5)</f>
        <v>0</v>
      </c>
      <c r="H47" s="69">
        <f ca="1">_xll.DBRW("canaf:YLD_Components",$B$1,$A$47,$E$1,$F$2,$I$1,$I$2,$I$9,$I$3,$I$4,$I$5)</f>
        <v>0</v>
      </c>
      <c r="I47" s="31">
        <f ca="1">IFERROR((H47/$H$40)*$H$39,0)</f>
        <v>0</v>
      </c>
      <c r="J47" s="17">
        <f ca="1">_xll.DBRW("canaf:YLD_Components",$B$1,$A$47,$E$1,$F$7,$I$1,$I$2,$I$9,$I$3,$I$4,$I$5)</f>
        <v>0</v>
      </c>
      <c r="K47" s="69">
        <f ca="1">_xll.DBRW("canaf:YLD_Components",$B$1,$A$47,$E$1,$F$6,$I$1,$I$2,$M$9,$I$3,$I$4,$I$5)</f>
        <v>0</v>
      </c>
      <c r="L47" s="69">
        <f ca="1">_xll.DBRW("canaf:YLD_Components",$B$1,$A$47,$E$1,$F$2,$I$1,$I$2,$M$9,$I$3,$I$4,$I$5)</f>
        <v>0</v>
      </c>
      <c r="M47" s="30">
        <f ca="1">IFERROR((L47/$L$40)*$L$39,0)</f>
        <v>0</v>
      </c>
      <c r="N47" s="16">
        <f ca="1">_xll.DBRW("canaf:YLD_Components",$B$1,$A$47,$E$1,$F$7,$I$1,$I$2,$M$9,$I$3,$I$4,$I$5)</f>
        <v>0</v>
      </c>
      <c r="O47" s="69">
        <f ca="1">_xll.DBRW("canaf:YLD_Components",$B$1,$A$47,$E$1,$F$6,$I$1,$I$2,$Q$9,$I$3,$I$4,$I$5)</f>
        <v>0</v>
      </c>
      <c r="P47" s="69">
        <f ca="1">_xll.DBRW("canaf:YLD_Components",$B$1,$A$47,$E$1,$F$2,$I$1,$I$2,$Q$9,$I$3,$I$4,$I$5)</f>
        <v>0</v>
      </c>
      <c r="Q47" s="31">
        <f ca="1">IFERROR((P47/$P$40)*$P$39,0)</f>
        <v>0</v>
      </c>
      <c r="R47" s="17">
        <f ca="1">_xll.DBRW("canaf:YLD_Components",$B$1,$A$47,$E$1,$F$7,$I$1,$I$2,$Q$9,$I$3,$I$4,$I$5)</f>
        <v>0</v>
      </c>
      <c r="S47" s="69">
        <f ca="1">_xll.DBRW("canaf:YLD_Components",$B$1,$A$47,$E$1,$F$6,$I$1,$I$2,$U$9,$I$3,$I$4,$I$5)</f>
        <v>0</v>
      </c>
      <c r="T47" s="69">
        <f ca="1">_xll.DBRW("canaf:YLD_Components",$B$1,$A$47,$E$1,$F$2,$I$1,$I$2,$U$9,$I$3,$I$4,$I$5)</f>
        <v>0</v>
      </c>
      <c r="U47" s="30">
        <f ca="1">IFERROR((T47/$T$40)*$T$39,0)</f>
        <v>0</v>
      </c>
      <c r="V47" s="16">
        <f ca="1">_xll.DBRW("canaf:YLD_Components",$B$1,$A$47,$E$1,$F$7,$I$1,$I$2,$U$9,$I$3,$I$4,$I$5)</f>
        <v>0</v>
      </c>
      <c r="W47" s="69">
        <f ca="1">_xll.DBRW("canaf:YLD_Components",$B$1,$A$47,$E$1,$F$6,$I$1,$I$2,$Y$9,$I$3,$I$4,$I$5)</f>
        <v>0</v>
      </c>
      <c r="X47" s="69">
        <f ca="1">_xll.DBRW("canaf:YLD_Components",$B$1,$A$47,$E$1,$F$2,$I$1,$I$2,$Y$9,$I$3,$I$4,$I$5)</f>
        <v>0</v>
      </c>
      <c r="Y47" s="31">
        <f ca="1">IFERROR((X47/$X$40)*$X$39,0)</f>
        <v>0</v>
      </c>
      <c r="Z47" s="17">
        <f ca="1">_xll.DBRW("canaf:YLD_Components",$B$1,$A$47,$E$1,$F$7,$I$1,$I$2,$Y$9,$I$3,$I$4,$I$5)</f>
        <v>0</v>
      </c>
      <c r="AA47" s="69">
        <f ca="1">_xll.DBRW("canaf:YLD_Components",$B$1,$A$47,$E$1,$F$6,$I$1,$I$2,$AC$9,$I$3,$I$4,$I$5)</f>
        <v>0</v>
      </c>
      <c r="AB47" s="69">
        <f ca="1">_xll.DBRW("canaf:YLD_Components",$B$1,$A$47,$E$1,$F$2,$I$1,$I$2,$AC$9,$I$3,$I$4,$I$5)</f>
        <v>0</v>
      </c>
      <c r="AC47" s="30">
        <f ca="1">IFERROR((AB47/$AB$40)*$AB$39,0)</f>
        <v>0</v>
      </c>
      <c r="AD47" s="16">
        <f ca="1">_xll.DBRW("canaf:YLD_Components",$B$1,$A$47,$E$1,$F$7,$I$1,$I$2,$AC$9,$I$3,$I$4,$I$5)</f>
        <v>0</v>
      </c>
      <c r="AE47" s="69">
        <f ca="1">_xll.DBRW("canaf:YLD_Components",$B$1,$A$47,$E$1,$F$6,$I$1,$I$2,$AG$9,$I$3,$I$4,$I$5)</f>
        <v>0</v>
      </c>
      <c r="AF47" s="69">
        <f ca="1">_xll.DBRW("canaf:YLD_Components",$B$1,$A$47,$E$1,$F$2,$I$1,$I$2,$AG$9,$I$3,$I$4,$I$5)</f>
        <v>0</v>
      </c>
      <c r="AG47" s="31">
        <f ca="1">IFERROR((AF47/$AF$40)*$AF$39,0)</f>
        <v>0</v>
      </c>
      <c r="AH47" s="17">
        <f ca="1">_xll.DBRW("canaf:YLD_Components",$B$1,$A$47,$E$1,$F$7,$I$1,$I$2,$AG$9,$I$3,$I$4,$I$5)</f>
        <v>0</v>
      </c>
      <c r="AI47" s="69">
        <f ca="1">_xll.DBRW("canaf:YLD_Components",$B$1,$A$47,$E$1,$F$6,$I$1,$I$2,$AK$9,$I$3,$I$4,$I$5)</f>
        <v>0</v>
      </c>
      <c r="AJ47" s="69">
        <f ca="1">_xll.DBRW("canaf:YLD_Components",$B$1,$A$47,$E$1,$F$2,$I$1,$I$2,$AK$9,$I$3,$I$4,$I$5)</f>
        <v>0</v>
      </c>
      <c r="AK47" s="30">
        <f ca="1">IFERROR((AJ47/$AJ$40)*$AJ$39,0)</f>
        <v>0</v>
      </c>
      <c r="AL47" s="16">
        <f ca="1">_xll.DBRW("canaf:YLD_Components",$B$1,$A$47,$E$1,$F$7,$I$1,$I$2,$AK$9,$I$3,$I$4,$I$5)</f>
        <v>0</v>
      </c>
      <c r="AM47" s="69">
        <f ca="1">_xll.DBRW("canaf:YLD_Components",$B$1,$A$47,$E$1,$F$6,$I$1,$I$2,$AO$9,$I$3,$I$4,$I$5)</f>
        <v>0</v>
      </c>
      <c r="AN47" s="69">
        <f ca="1">_xll.DBRW("canaf:YLD_Components",$B$1,$A$47,$E$1,$F$2,$I$1,$I$2,$AO$9,$I$3,$I$4,$I$5)</f>
        <v>0</v>
      </c>
      <c r="AO47" s="31">
        <f ca="1">IFERROR((AN47/$AN$40)*$AN$39,0)</f>
        <v>0</v>
      </c>
      <c r="AP47" s="17">
        <f ca="1">_xll.DBRW("canaf:YLD_Components",$B$1,$A$47,$E$1,$F$7,$I$1,$I$2,$AO$9,$I$3,$I$4,$I$5)</f>
        <v>0</v>
      </c>
      <c r="AQ47" s="69">
        <f ca="1">_xll.DBRW("canaf:YLD_Components",$B$1,$A$47,$E$1,$F$6,$I$1,$I$2,$AS$9,$I$3,$I$4,$I$5)</f>
        <v>0</v>
      </c>
      <c r="AR47" s="69">
        <f ca="1">_xll.DBRW("canaf:YLD_Components",$B$1,$A$47,$E$1,$F$2,$I$1,$I$2,$AS$9,$I$3,$I$4,$I$5)</f>
        <v>0</v>
      </c>
      <c r="AS47" s="30">
        <f ca="1">IFERROR((AR47/$AR$40)*$AR$39,0)</f>
        <v>0</v>
      </c>
      <c r="AT47" s="16">
        <f ca="1">_xll.DBRW("canaf:YLD_Components",$B$1,$A$47,$E$1,$F$7,$I$1,$I$2,$AS$9,$I$3,$I$4,$I$5)</f>
        <v>0</v>
      </c>
      <c r="AU47" s="69">
        <f ca="1">_xll.DBRW("canaf:YLD_Components",$B$1,$A$47,$E$1,$F$6,$I$1,$I$2,$AW$9,$I$3,$I$4,$I$5)</f>
        <v>0</v>
      </c>
      <c r="AV47" s="69">
        <f ca="1">_xll.DBRW("canaf:YLD_Components",$B$1,$A$47,$E$1,$F$2,$I$1,$I$2,$AW$9,$I$3,$I$4,$I$5)</f>
        <v>0</v>
      </c>
      <c r="AW47" s="31">
        <f ca="1">IFERROR((AV47/$AV$40)*$AV$39,0)</f>
        <v>0</v>
      </c>
      <c r="AX47" s="31">
        <f ca="1">_xll.DBRW("canaf:YLD_Components",$B$1,$A$47,$E$1,$F$7,$I$1,$I$2,$AW$9,$I$3,$I$4,$I$5)</f>
        <v>0</v>
      </c>
      <c r="BA47" s="41"/>
    </row>
    <row r="48" spans="1:53">
      <c r="B48" s="20" t="s">
        <v>22</v>
      </c>
      <c r="C48" s="91">
        <f ca="1">SUM(C46:C47)</f>
        <v>12471094.74</v>
      </c>
      <c r="D48" s="63"/>
      <c r="E48" s="21">
        <f ca="1">SUM(E46:E47)</f>
        <v>9.4810520000000002E-3</v>
      </c>
      <c r="F48" s="22">
        <f ca="1">SUM(F46:F47)</f>
        <v>1</v>
      </c>
      <c r="G48" s="92">
        <f ca="1">SUM(G46:G47)</f>
        <v>12344984.49</v>
      </c>
      <c r="H48" s="77"/>
      <c r="I48" s="23">
        <f ca="1">SUM(I46:I47)</f>
        <v>-2.7557723000000006E-2</v>
      </c>
      <c r="J48" s="24">
        <f ca="1">SUM(J46:J47)</f>
        <v>1</v>
      </c>
      <c r="K48" s="91">
        <f ca="1">SUM(K46:K47)</f>
        <v>11694782.810000001</v>
      </c>
      <c r="L48" s="63"/>
      <c r="M48" s="21">
        <f ca="1">SUM(M46:M47)</f>
        <v>9.7155330000000002E-3</v>
      </c>
      <c r="N48" s="22">
        <f ca="1">SUM(N46:N47)</f>
        <v>1</v>
      </c>
      <c r="O48" s="92">
        <f ca="1">SUM(O46:O47)</f>
        <v>11457469.290000001</v>
      </c>
      <c r="P48" s="77"/>
      <c r="Q48" s="23">
        <f ca="1">IFERROR(SUM(Q46:Q47),0)</f>
        <v>5.4046629999999997E-3</v>
      </c>
      <c r="R48" s="24">
        <f ca="1">SUM(R46:R47)</f>
        <v>1</v>
      </c>
      <c r="S48" s="91">
        <f ca="1">SUM(S46:S47)</f>
        <v>11514671.699999999</v>
      </c>
      <c r="T48" s="63"/>
      <c r="U48" s="21">
        <f ca="1">IFERROR(SUM(U46:U47),0)</f>
        <v>4.9700000000000005E-3</v>
      </c>
      <c r="V48" s="22">
        <f ca="1">SUM(V46:V47)</f>
        <v>1</v>
      </c>
      <c r="W48" s="92">
        <f ca="1">SUM(W46:W47)</f>
        <v>11566312.979999999</v>
      </c>
      <c r="X48" s="77"/>
      <c r="Y48" s="23">
        <f ca="1">IFERROR(SUM(Y46:Y47),0)</f>
        <v>5.0399999999999993E-3</v>
      </c>
      <c r="Z48" s="24">
        <f ca="1">SUM(Z46:Z47)</f>
        <v>1</v>
      </c>
      <c r="AA48" s="91">
        <f ca="1">SUM(AA46:AA47)</f>
        <v>0</v>
      </c>
      <c r="AB48" s="63"/>
      <c r="AC48" s="21">
        <f ca="1">IFERROR(SUM(AC46:AC47),0)</f>
        <v>0</v>
      </c>
      <c r="AD48" s="22">
        <f ca="1">SUM(AD46:AD47)</f>
        <v>0</v>
      </c>
      <c r="AE48" s="92">
        <f ca="1">SUM(AE46:AE47)</f>
        <v>0</v>
      </c>
      <c r="AF48" s="77"/>
      <c r="AG48" s="23">
        <f ca="1">IFERROR(SUM(AG46:AG47),0)</f>
        <v>0</v>
      </c>
      <c r="AH48" s="24">
        <f ca="1">SUM(AH46:AH47)</f>
        <v>0</v>
      </c>
      <c r="AI48" s="91">
        <f ca="1">SUM(AI46:AI47)</f>
        <v>0</v>
      </c>
      <c r="AJ48" s="63"/>
      <c r="AK48" s="21">
        <f ca="1">IFERROR(SUM(AK46:AK47),0)</f>
        <v>0</v>
      </c>
      <c r="AL48" s="22">
        <f ca="1">SUM(AL46:AL47)</f>
        <v>0</v>
      </c>
      <c r="AM48" s="92">
        <f ca="1">SUM(AM46:AM47)</f>
        <v>0</v>
      </c>
      <c r="AN48" s="77"/>
      <c r="AO48" s="23">
        <f ca="1">IFERROR(SUM(AO46:AO47),0)</f>
        <v>0</v>
      </c>
      <c r="AP48" s="24">
        <f ca="1">SUM(AP46:AP47)</f>
        <v>0</v>
      </c>
      <c r="AQ48" s="91">
        <f ca="1">SUM(AQ46:AQ47)</f>
        <v>0</v>
      </c>
      <c r="AR48" s="63"/>
      <c r="AS48" s="21">
        <f ca="1">IFERROR(SUM(AS46:AS47),0)</f>
        <v>0</v>
      </c>
      <c r="AT48" s="22">
        <f ca="1">SUM(AT46:AT47)</f>
        <v>0</v>
      </c>
      <c r="AU48" s="92">
        <f ca="1">SUM(AU46:AU47)</f>
        <v>0</v>
      </c>
      <c r="AV48" s="77"/>
      <c r="AW48" s="23">
        <f ca="1">IFERROR(SUM(AW46:AW47),0)</f>
        <v>0</v>
      </c>
      <c r="AX48" s="24">
        <f ca="1">SUM(AX46:AX47)</f>
        <v>0</v>
      </c>
    </row>
    <row r="49" spans="1:50" ht="15.75" thickBot="1">
      <c r="B49" s="1"/>
      <c r="C49" s="1"/>
      <c r="D49" s="1"/>
      <c r="E49" s="35"/>
      <c r="F49" s="1"/>
      <c r="G49" s="74"/>
      <c r="H49" s="74"/>
      <c r="I49" s="35"/>
      <c r="J49" s="1"/>
      <c r="K49" s="74"/>
      <c r="L49" s="74"/>
      <c r="M49" s="35"/>
      <c r="N49" s="1"/>
      <c r="O49" s="74"/>
      <c r="P49" s="74"/>
      <c r="Q49" s="35"/>
      <c r="R49" s="1"/>
      <c r="S49" s="74"/>
      <c r="T49" s="74"/>
      <c r="U49" s="35"/>
      <c r="V49" s="1"/>
      <c r="W49" s="74"/>
      <c r="X49" s="74"/>
      <c r="Y49" s="35"/>
      <c r="Z49" s="1"/>
      <c r="AA49" s="74"/>
      <c r="AB49" s="74"/>
      <c r="AC49" s="42"/>
      <c r="AD49" s="1"/>
      <c r="AE49" s="74"/>
      <c r="AF49" s="74"/>
      <c r="AG49" s="42"/>
      <c r="AH49" s="1"/>
      <c r="AI49" s="74"/>
      <c r="AJ49" s="74"/>
      <c r="AK49" s="42"/>
      <c r="AL49" s="1"/>
      <c r="AM49" s="74"/>
      <c r="AN49" s="74"/>
      <c r="AO49" s="1"/>
      <c r="AP49" s="1"/>
      <c r="AQ49" s="74"/>
      <c r="AR49" s="74"/>
      <c r="AS49" s="1"/>
      <c r="AT49" s="1"/>
      <c r="AU49" s="74"/>
      <c r="AV49" s="74"/>
      <c r="AW49" s="1"/>
      <c r="AX49" s="1"/>
    </row>
    <row r="50" spans="1:50" ht="29.25">
      <c r="A50" s="18">
        <f ca="1">1+E31</f>
        <v>1</v>
      </c>
      <c r="B50" s="145"/>
      <c r="C50" s="153" t="s">
        <v>117</v>
      </c>
      <c r="D50" s="154">
        <f ca="1">E166-SUM(D54:D71)</f>
        <v>8.6211955549727118E-5</v>
      </c>
      <c r="E50" s="37"/>
      <c r="F50" s="37"/>
      <c r="G50" s="153" t="s">
        <v>117</v>
      </c>
      <c r="H50" s="159">
        <f ca="1">F166-SUM(H54:H71)</f>
        <v>2.2750580030623212E-4</v>
      </c>
      <c r="I50" s="216"/>
      <c r="J50" s="217"/>
      <c r="K50" s="153" t="s">
        <v>117</v>
      </c>
      <c r="L50" s="164">
        <f ca="1">I166-SUM(L54:L71)</f>
        <v>6.6E-3</v>
      </c>
      <c r="M50" s="37"/>
      <c r="N50" s="37"/>
      <c r="O50" s="153" t="s">
        <v>117</v>
      </c>
      <c r="P50" s="164">
        <f ca="1">J166-SUM(P54:P71)</f>
        <v>6.6E-3</v>
      </c>
      <c r="Q50" s="38"/>
      <c r="R50" s="38"/>
      <c r="S50" s="74"/>
      <c r="T50" s="74"/>
      <c r="U50" s="1"/>
      <c r="V50" s="1"/>
      <c r="W50" s="74"/>
      <c r="X50" s="74"/>
      <c r="Y50" s="1"/>
      <c r="Z50" s="39"/>
      <c r="AA50" s="74"/>
      <c r="AB50" s="74"/>
      <c r="AC50" s="1"/>
      <c r="AD50" s="1"/>
      <c r="AE50" s="74"/>
      <c r="AF50" s="74"/>
      <c r="AG50" s="1"/>
      <c r="AH50" s="1"/>
      <c r="AI50" s="74"/>
      <c r="AJ50" s="74"/>
      <c r="AK50" s="1"/>
      <c r="AL50" s="1"/>
      <c r="AM50" s="74"/>
      <c r="AN50" s="74"/>
      <c r="AO50" s="1"/>
      <c r="AP50" s="1"/>
      <c r="AQ50" s="74"/>
      <c r="AR50" s="74"/>
      <c r="AS50" s="1"/>
      <c r="AT50" s="1"/>
      <c r="AU50" s="74"/>
      <c r="AV50" s="74"/>
      <c r="AW50" s="1"/>
      <c r="AX50" s="1"/>
    </row>
    <row r="51" spans="1:50" ht="30">
      <c r="A51" s="18">
        <f ca="1">1+I31</f>
        <v>1</v>
      </c>
      <c r="B51" s="6" t="s">
        <v>28</v>
      </c>
      <c r="C51" s="155" t="s">
        <v>118</v>
      </c>
      <c r="D51" s="156">
        <f ca="1">D53</f>
        <v>3.6437920188503448E-4</v>
      </c>
      <c r="E51" s="218" t="str">
        <f ca="1">"ינואר - מרץ"&amp;" "&amp;$I$2</f>
        <v>ינואר - מרץ 2023</v>
      </c>
      <c r="F51" s="219"/>
      <c r="G51" s="155" t="s">
        <v>118</v>
      </c>
      <c r="H51" s="156">
        <f ca="1">H53</f>
        <v>4.355777403901584E-4</v>
      </c>
      <c r="I51" s="214" t="str">
        <f ca="1">IF(#REF!=1,"","ינואר - יוני"&amp;" "&amp;$I$2)</f>
        <v>ינואר - יוני 2023</v>
      </c>
      <c r="J51" s="220"/>
      <c r="K51" s="155" t="s">
        <v>118</v>
      </c>
      <c r="L51" s="165">
        <f ca="1">L53</f>
        <v>0</v>
      </c>
      <c r="M51" s="218" t="str">
        <f ca="1">IF(OR(#REF!=1,#REF!=2),"","ינואר - ספטמבר"&amp;" "&amp;$I$2)</f>
        <v/>
      </c>
      <c r="N51" s="219"/>
      <c r="O51" s="155" t="s">
        <v>118</v>
      </c>
      <c r="P51" s="165">
        <f ca="1">P53</f>
        <v>0</v>
      </c>
      <c r="Q51" s="214" t="str">
        <f ca="1">IF(OR(#REF!=1,#REF!=2,#REF!=3),"","ינואר - דצמבר"&amp;" "&amp;$I$2)</f>
        <v/>
      </c>
      <c r="R51" s="215"/>
      <c r="S51" s="78"/>
      <c r="T51" s="78"/>
      <c r="U51" s="1"/>
      <c r="V51" s="1"/>
      <c r="W51" s="78"/>
      <c r="X51" s="78"/>
      <c r="Y51" s="1"/>
      <c r="Z51" s="39"/>
      <c r="AA51" s="78"/>
      <c r="AB51" s="78"/>
      <c r="AC51" s="1"/>
      <c r="AD51" s="1"/>
      <c r="AE51" s="78"/>
      <c r="AF51" s="78"/>
      <c r="AG51" s="1"/>
      <c r="AH51" s="1"/>
      <c r="AI51" s="78"/>
      <c r="AJ51" s="78"/>
      <c r="AK51" s="1"/>
      <c r="AL51" s="1"/>
      <c r="AM51" s="78"/>
      <c r="AN51" s="78"/>
      <c r="AO51" s="1"/>
      <c r="AP51" s="1"/>
      <c r="AQ51" s="78"/>
      <c r="AR51" s="78"/>
      <c r="AS51" s="1"/>
      <c r="AT51" s="1"/>
      <c r="AU51" s="78"/>
      <c r="AV51" s="78"/>
      <c r="AW51" s="1"/>
      <c r="AX51" s="1"/>
    </row>
    <row r="52" spans="1:50" ht="45.75" thickBot="1">
      <c r="A52" s="18">
        <f ca="1">1+I31</f>
        <v>1</v>
      </c>
      <c r="B52" s="11"/>
      <c r="C52" s="157" t="s">
        <v>119</v>
      </c>
      <c r="D52" s="158">
        <f ca="1">D50-D51</f>
        <v>-2.7816724633530736E-4</v>
      </c>
      <c r="E52" s="148" t="s">
        <v>1</v>
      </c>
      <c r="F52" s="150" t="s">
        <v>2</v>
      </c>
      <c r="G52" s="157" t="s">
        <v>119</v>
      </c>
      <c r="H52" s="190">
        <f ca="1">H50-H51</f>
        <v>-2.0807194008392628E-4</v>
      </c>
      <c r="I52" s="151" t="s">
        <v>1</v>
      </c>
      <c r="J52" s="14" t="s">
        <v>2</v>
      </c>
      <c r="K52" s="157" t="s">
        <v>119</v>
      </c>
      <c r="L52" s="189">
        <f ca="1">L50-L51</f>
        <v>6.6E-3</v>
      </c>
      <c r="M52" s="148" t="s">
        <v>1</v>
      </c>
      <c r="N52" s="12" t="s">
        <v>2</v>
      </c>
      <c r="O52" s="157" t="s">
        <v>119</v>
      </c>
      <c r="P52" s="189">
        <f ca="1">P50-P51</f>
        <v>6.6E-3</v>
      </c>
      <c r="Q52" s="13" t="s">
        <v>1</v>
      </c>
      <c r="R52" s="14" t="s">
        <v>2</v>
      </c>
      <c r="S52" s="79"/>
      <c r="T52" s="79"/>
      <c r="U52" s="1"/>
      <c r="V52" s="1"/>
      <c r="W52" s="79"/>
      <c r="X52" s="79"/>
      <c r="Y52" s="1"/>
      <c r="Z52" s="39"/>
      <c r="AA52" s="79"/>
      <c r="AB52" s="1"/>
      <c r="AC52" s="1"/>
      <c r="AD52" s="1"/>
      <c r="AE52" s="79"/>
      <c r="AF52" s="79"/>
      <c r="AG52" s="1"/>
      <c r="AH52" s="1"/>
      <c r="AI52" s="79"/>
      <c r="AJ52" s="79"/>
      <c r="AK52" s="1"/>
      <c r="AL52" s="1"/>
      <c r="AM52" s="79"/>
      <c r="AN52" s="79"/>
      <c r="AO52" s="1"/>
      <c r="AP52" s="1"/>
      <c r="AQ52" s="79"/>
      <c r="AR52" s="79"/>
      <c r="AS52" s="1"/>
      <c r="AT52" s="1"/>
      <c r="AU52" s="79"/>
      <c r="AV52" s="79"/>
      <c r="AW52" s="1"/>
      <c r="AX52" s="1"/>
    </row>
    <row r="53" spans="1:50">
      <c r="B53" s="15" t="s">
        <v>3</v>
      </c>
      <c r="C53" s="76"/>
      <c r="D53" s="152">
        <f t="shared" ref="D53:D71" ca="1" si="12">(1+E20)*(1+I20)*(1+M20)-1</f>
        <v>3.6437920188503448E-4</v>
      </c>
      <c r="E53" s="47">
        <f ca="1">E72-SUM(E54:E71)</f>
        <v>3.6437920188503274E-4</v>
      </c>
      <c r="F53" s="48">
        <f ca="1">(F20+J20+N20)/3</f>
        <v>2.0924242949742652E-2</v>
      </c>
      <c r="H53" s="152">
        <f ca="1">IF(#REF!=1,0,(1+E20)*(1+I20)*(1+M20)*(1+Q20)*(1+U20)*(1+Y20)-1)</f>
        <v>4.355777403901584E-4</v>
      </c>
      <c r="I53" s="49">
        <f ca="1">IFERROR(I72-SUM(I54:I71),0)</f>
        <v>4.3557774039015753E-4</v>
      </c>
      <c r="J53" s="49">
        <f ca="1">IF(#REF!=1,0,(F20+J20+N20+R20+V20+Z20)/6)</f>
        <v>1.4886680588356771E-2</v>
      </c>
      <c r="L53" s="188">
        <f ca="1">IF(OR(#REF!=1,#REF!=2),0,(1+E20)*(1+I20)*(1+M20)*(1+Q20)*(1+U20)*(1+Y20)*(1+AC20)*(1+AG20)*(1+AK20)-1)</f>
        <v>0</v>
      </c>
      <c r="M53" s="47">
        <f ca="1">IFERROR(M72-SUM(M54:M71),0)</f>
        <v>0</v>
      </c>
      <c r="N53" s="48">
        <f ca="1">IF(OR(#REF!=1,#REF!=2),0,(F20+J20+N20+R20+V20+Z20+AD20+AH20+AL20)/9)</f>
        <v>0</v>
      </c>
      <c r="O53" s="85"/>
      <c r="P53" s="188">
        <f ca="1">IF(OR(#REF!=1,#REF!=2,#REF!=3),0,(1+E20)*(1+I20)*(1+M20)*(1+Q20)*(1+U20)*(1+Y20)*(1+AC20)*(1+AG20)*(1+AK20)*(1+AO20)*(1+AS20)*(1+AW20)-1)</f>
        <v>0</v>
      </c>
      <c r="Q53" s="49">
        <f ca="1">IFERROR(Q72-SUM(Q54:Q71),0)</f>
        <v>0</v>
      </c>
      <c r="R53" s="49">
        <f ca="1">IF(OR(#REF!=1,#REF!=2,#REF!=3),0,(F20+J20+N20+R20+V20+Z20+AD20+AH20+AL20+AP20+AT20+AX20)/12)</f>
        <v>0</v>
      </c>
      <c r="S53" s="80"/>
      <c r="T53" s="80"/>
      <c r="U53" s="1"/>
      <c r="V53" s="39"/>
      <c r="W53" s="80"/>
      <c r="X53" s="80"/>
      <c r="Y53" s="39"/>
      <c r="Z53" s="39"/>
      <c r="AA53" s="80"/>
      <c r="AB53" s="1"/>
      <c r="AC53" s="1"/>
      <c r="AD53" s="1"/>
      <c r="AE53" s="80"/>
      <c r="AF53" s="80"/>
      <c r="AG53" s="1"/>
      <c r="AH53" s="1"/>
      <c r="AI53" s="80"/>
      <c r="AJ53" s="80"/>
      <c r="AK53" s="1"/>
      <c r="AL53" s="1"/>
      <c r="AM53" s="80"/>
      <c r="AN53" s="80"/>
      <c r="AO53" s="1"/>
      <c r="AP53" s="1"/>
      <c r="AQ53" s="80"/>
      <c r="AR53" s="80"/>
      <c r="AS53" s="1"/>
      <c r="AT53" s="1"/>
      <c r="AU53" s="80"/>
      <c r="AV53" s="80"/>
      <c r="AW53" s="1"/>
      <c r="AX53" s="1"/>
    </row>
    <row r="54" spans="1:50">
      <c r="B54" s="19" t="s">
        <v>4</v>
      </c>
      <c r="C54" s="76"/>
      <c r="D54" s="149">
        <f t="shared" ca="1" si="12"/>
        <v>5.2602735090452324E-3</v>
      </c>
      <c r="E54" s="47">
        <f t="shared" ref="E54:E71" ca="1" si="13">IFERROR(D54+($D$52*F54/($F$72-$F$53)),0)</f>
        <v>5.0649105137090386E-3</v>
      </c>
      <c r="F54" s="48">
        <f t="shared" ref="F54:F71" ca="1" si="14">(F21+J21+N21)/3</f>
        <v>0.68762650915350398</v>
      </c>
      <c r="H54" s="152">
        <f ca="1">IF(#REF!=1,0,(1+E21)*(1+I21)*(1+M21)*(1+Q21)*(1+U21)*(1+Y21)-1)</f>
        <v>1.0966160700505823E-2</v>
      </c>
      <c r="I54" s="49">
        <f ca="1">IFERROR(H54+($H$52*J54/($J$72-$J$53)),0)</f>
        <v>1.0820214069000376E-2</v>
      </c>
      <c r="J54" s="49">
        <f ca="1">IF(#REF!=1,0,(F21+J21+N21+R21+V21+Z21)/6)</f>
        <v>0.69098202554985155</v>
      </c>
      <c r="L54" s="188">
        <f ca="1">IF(OR(#REF!=1,#REF!=2),0,(1+E21)*(1+I21)*(1+M21)*(1+Q21)*(1+U21)*(1+Y21)*(1+AC21)*(1+AG21)*(1+AK21)-1)</f>
        <v>0</v>
      </c>
      <c r="M54" s="47">
        <f t="shared" ref="M54:M71" ca="1" si="15">IFERROR(L54+($L$52*N54/($N$72-$N$53)),0)</f>
        <v>0</v>
      </c>
      <c r="N54" s="48">
        <f ca="1">IF(OR(#REF!=1,#REF!=2),0,(F21+J21+N21+R21+V21+Z21+AD21+AH21+AL21)/9)</f>
        <v>0</v>
      </c>
      <c r="O54" s="81"/>
      <c r="P54" s="188">
        <f ca="1">IF(OR(#REF!=1,#REF!=2,#REF!=3),0,(1+E21)*(1+I21)*(1+M21)*(1+Q21)*(1+U21)*(1+Y21)*(1+AC21)*(1+AG21)*(1+AK21)*(1+AO21)*(1+AS21)*(1+AW21)-1)</f>
        <v>0</v>
      </c>
      <c r="Q54" s="49">
        <f t="shared" ref="Q54:Q71" ca="1" si="16">IFERROR(P54+($P$52*R54/($R$72-$R$53)),0)</f>
        <v>0</v>
      </c>
      <c r="R54" s="49">
        <f ca="1">IF(OR(#REF!=1,#REF!=2,#REF!=3),0,(F21+J21+N21+R21+V21+Z21+AD21+AH21+AL21+AP21+AT21+AX21)/12)</f>
        <v>0</v>
      </c>
      <c r="S54" s="81"/>
      <c r="T54" s="81"/>
      <c r="U54" s="1"/>
      <c r="V54" s="39"/>
      <c r="W54" s="81"/>
      <c r="X54" s="81"/>
      <c r="Y54" s="1"/>
      <c r="Z54" s="1"/>
      <c r="AA54" s="81"/>
      <c r="AB54" s="1"/>
      <c r="AC54" s="1"/>
      <c r="AD54" s="1"/>
      <c r="AE54" s="81"/>
      <c r="AF54" s="81"/>
      <c r="AG54" s="1"/>
      <c r="AH54" s="1"/>
      <c r="AI54" s="81"/>
      <c r="AJ54" s="81"/>
      <c r="AK54" s="1"/>
      <c r="AL54" s="1"/>
      <c r="AM54" s="81"/>
      <c r="AN54" s="81"/>
      <c r="AO54" s="1"/>
      <c r="AP54" s="1"/>
      <c r="AQ54" s="81"/>
      <c r="AR54" s="81"/>
      <c r="AS54" s="1"/>
      <c r="AT54" s="1"/>
      <c r="AU54" s="81"/>
      <c r="AV54" s="81"/>
      <c r="AW54" s="1"/>
      <c r="AX54" s="1"/>
    </row>
    <row r="55" spans="1:50">
      <c r="B55" s="19" t="s">
        <v>5</v>
      </c>
      <c r="C55" s="76"/>
      <c r="D55" s="149">
        <f t="shared" ca="1" si="12"/>
        <v>0</v>
      </c>
      <c r="E55" s="47">
        <f t="shared" ca="1" si="13"/>
        <v>0</v>
      </c>
      <c r="F55" s="48">
        <f t="shared" ca="1" si="14"/>
        <v>0</v>
      </c>
      <c r="H55" s="152">
        <f ca="1">IF(#REF!=1,0,(1+E22)*(1+I22)*(1+M22)*(1+Q22)*(1+U22)*(1+Y22)-1)</f>
        <v>0</v>
      </c>
      <c r="I55" s="49">
        <f t="shared" ref="I55:I71" ca="1" si="17">IFERROR(H55+($H$52*J55/($J$72-$J$53)),0)</f>
        <v>0</v>
      </c>
      <c r="J55" s="49">
        <f ca="1">IF(#REF!=1,0,(F22+J22+N22+R22+V22+Z22)/6)</f>
        <v>0</v>
      </c>
      <c r="L55" s="188">
        <f ca="1">IF(OR(#REF!=1,#REF!=2),0,(1+E22)*(1+I22)*(1+M22)*(1+Q22)*(1+U22)*(1+Y22)*(1+AC22)*(1+AG22)*(1+AK22)-1)</f>
        <v>0</v>
      </c>
      <c r="M55" s="47">
        <f t="shared" ca="1" si="15"/>
        <v>0</v>
      </c>
      <c r="N55" s="48">
        <f ca="1">IF(OR(#REF!=1,#REF!=2),0,(F22+J22+N22+R22+V22+Z22+AD22+AH22+AL22)/9)</f>
        <v>0</v>
      </c>
      <c r="O55" s="81"/>
      <c r="P55" s="188">
        <f ca="1">IF(OR(#REF!=1,#REF!=2,#REF!=3),0,(1+E22)*(1+I22)*(1+M22)*(1+Q22)*(1+U22)*(1+Y22)*(1+AC22)*(1+AG22)*(1+AK22)*(1+AO22)*(1+AS22)*(1+AW22)-1)</f>
        <v>0</v>
      </c>
      <c r="Q55" s="49">
        <f t="shared" ca="1" si="16"/>
        <v>0</v>
      </c>
      <c r="R55" s="49">
        <f ca="1">IF(OR(#REF!=1,#REF!=2,#REF!=3),0,(F22+J22+N22+R22+V22+Z22+AD22+AH22+AL22+AP22+AT22+AX22)/12)</f>
        <v>0</v>
      </c>
      <c r="S55" s="81"/>
      <c r="T55" s="81"/>
      <c r="U55" s="1"/>
      <c r="V55" s="39"/>
      <c r="W55" s="81"/>
      <c r="X55" s="81"/>
      <c r="Y55" s="1"/>
      <c r="Z55" s="1"/>
      <c r="AA55" s="81"/>
      <c r="AB55" s="1"/>
      <c r="AC55" s="1"/>
      <c r="AD55" s="1"/>
      <c r="AE55" s="81"/>
      <c r="AF55" s="81"/>
      <c r="AG55" s="1"/>
      <c r="AH55" s="1"/>
      <c r="AI55" s="81"/>
      <c r="AJ55" s="81"/>
      <c r="AK55" s="1"/>
      <c r="AL55" s="1"/>
      <c r="AM55" s="81"/>
      <c r="AN55" s="81"/>
      <c r="AO55" s="1"/>
      <c r="AP55" s="1"/>
      <c r="AQ55" s="81"/>
      <c r="AR55" s="81"/>
      <c r="AS55" s="1"/>
      <c r="AT55" s="1"/>
      <c r="AU55" s="81"/>
      <c r="AV55" s="81"/>
      <c r="AW55" s="1"/>
      <c r="AX55" s="1"/>
    </row>
    <row r="56" spans="1:50">
      <c r="B56" s="19" t="s">
        <v>6</v>
      </c>
      <c r="C56" s="76"/>
      <c r="D56" s="149">
        <f t="shared" ca="1" si="12"/>
        <v>0</v>
      </c>
      <c r="E56" s="47">
        <f t="shared" ca="1" si="13"/>
        <v>0</v>
      </c>
      <c r="F56" s="48">
        <f t="shared" ca="1" si="14"/>
        <v>0</v>
      </c>
      <c r="H56" s="152">
        <f ca="1">IF(#REF!=1,0,(1+E23)*(1+I23)*(1+M23)*(1+Q23)*(1+U23)*(1+Y23)-1)</f>
        <v>0</v>
      </c>
      <c r="I56" s="49">
        <f t="shared" ca="1" si="17"/>
        <v>0</v>
      </c>
      <c r="J56" s="49">
        <f ca="1">IF(#REF!=1,0,(F23+J23+N23+R23+V23+Z23)/6)</f>
        <v>0</v>
      </c>
      <c r="L56" s="188">
        <f ca="1">IF(OR(#REF!=1,#REF!=2),0,(1+E23)*(1+I23)*(1+M23)*(1+Q23)*(1+U23)*(1+Y23)*(1+AC23)*(1+AG23)*(1+AK23)-1)</f>
        <v>0</v>
      </c>
      <c r="M56" s="47">
        <f t="shared" ca="1" si="15"/>
        <v>0</v>
      </c>
      <c r="N56" s="48">
        <f ca="1">IF(OR(#REF!=1,#REF!=2),0,(F23+J23+N23+R23+V23+Z23+AD23+AH23+AL23)/9)</f>
        <v>0</v>
      </c>
      <c r="O56" s="81"/>
      <c r="P56" s="188">
        <f ca="1">IF(OR(#REF!=1,#REF!=2,#REF!=3),0,(1+E23)*(1+I23)*(1+M23)*(1+Q23)*(1+U23)*(1+Y23)*(1+AC23)*(1+AG23)*(1+AK23)*(1+AO23)*(1+AS23)*(1+AW23)-1)</f>
        <v>0</v>
      </c>
      <c r="Q56" s="49">
        <f t="shared" ca="1" si="16"/>
        <v>0</v>
      </c>
      <c r="R56" s="49">
        <f ca="1">IF(OR(#REF!=1,#REF!=2,#REF!=3),0,(F23+J23+N23+R23+V23+Z23+AD23+AH23+AL23+AP23+AT23+AX23)/12)</f>
        <v>0</v>
      </c>
      <c r="S56" s="81"/>
      <c r="T56" s="81"/>
      <c r="U56" s="1"/>
      <c r="V56" s="39"/>
      <c r="W56" s="81"/>
      <c r="X56" s="81"/>
      <c r="Y56" s="1"/>
      <c r="Z56" s="1"/>
      <c r="AA56" s="81"/>
      <c r="AB56" s="1"/>
      <c r="AC56" s="1"/>
      <c r="AD56" s="1"/>
      <c r="AE56" s="81"/>
      <c r="AF56" s="81"/>
      <c r="AG56" s="1"/>
      <c r="AH56" s="1"/>
      <c r="AI56" s="81"/>
      <c r="AJ56" s="81"/>
      <c r="AK56" s="1"/>
      <c r="AL56" s="1"/>
      <c r="AM56" s="81"/>
      <c r="AN56" s="81"/>
      <c r="AO56" s="1"/>
      <c r="AP56" s="1"/>
      <c r="AQ56" s="81"/>
      <c r="AR56" s="81"/>
      <c r="AS56" s="1"/>
      <c r="AT56" s="1"/>
      <c r="AU56" s="81"/>
      <c r="AV56" s="81"/>
      <c r="AW56" s="1"/>
      <c r="AX56" s="1"/>
    </row>
    <row r="57" spans="1:50">
      <c r="B57" s="19" t="s">
        <v>7</v>
      </c>
      <c r="C57" s="76"/>
      <c r="D57" s="149">
        <f t="shared" ca="1" si="12"/>
        <v>0</v>
      </c>
      <c r="E57" s="47">
        <f t="shared" ca="1" si="13"/>
        <v>0</v>
      </c>
      <c r="F57" s="48">
        <f t="shared" ca="1" si="14"/>
        <v>0</v>
      </c>
      <c r="H57" s="152">
        <f ca="1">IF(#REF!=1,0,(1+E24)*(1+I24)*(1+M24)*(1+Q24)*(1+U24)*(1+Y24)-1)</f>
        <v>0</v>
      </c>
      <c r="I57" s="49">
        <f t="shared" ca="1" si="17"/>
        <v>0</v>
      </c>
      <c r="J57" s="49">
        <f ca="1">IF(#REF!=1,0,(F24+J24+N24+R24+V24+Z24)/6)</f>
        <v>0</v>
      </c>
      <c r="L57" s="188">
        <f ca="1">IF(OR(#REF!=1,#REF!=2),0,(1+E24)*(1+I24)*(1+M24)*(1+Q24)*(1+U24)*(1+Y24)*(1+AC24)*(1+AG24)*(1+AK24)-1)</f>
        <v>0</v>
      </c>
      <c r="M57" s="47">
        <f t="shared" ca="1" si="15"/>
        <v>0</v>
      </c>
      <c r="N57" s="48">
        <f ca="1">IF(OR(#REF!=1,#REF!=2),0,(F24+J24+N24+R24+V24+Z24+AD24+AH24+AL24)/9)</f>
        <v>0</v>
      </c>
      <c r="O57" s="81"/>
      <c r="P57" s="188">
        <f ca="1">IF(OR(#REF!=1,#REF!=2,#REF!=3),0,(1+E24)*(1+I24)*(1+M24)*(1+Q24)*(1+U24)*(1+Y24)*(1+AC24)*(1+AG24)*(1+AK24)*(1+AO24)*(1+AS24)*(1+AW24)-1)</f>
        <v>0</v>
      </c>
      <c r="Q57" s="49">
        <f t="shared" ca="1" si="16"/>
        <v>0</v>
      </c>
      <c r="R57" s="49">
        <f ca="1">IF(OR(#REF!=1,#REF!=2,#REF!=3),0,(F24+J24+N24+R24+V24+Z24+AD24+AH24+AL24+AP24+AT24+AX24)/12)</f>
        <v>0</v>
      </c>
      <c r="S57" s="81"/>
      <c r="T57" s="81"/>
      <c r="U57" s="1"/>
      <c r="V57" s="39"/>
      <c r="W57" s="81"/>
      <c r="X57" s="81"/>
      <c r="Y57" s="1"/>
      <c r="Z57" s="1"/>
      <c r="AA57" s="81"/>
      <c r="AB57" s="1"/>
      <c r="AC57" s="1"/>
      <c r="AD57" s="1"/>
      <c r="AE57" s="81"/>
      <c r="AF57" s="81"/>
      <c r="AG57" s="1"/>
      <c r="AH57" s="1"/>
      <c r="AI57" s="81"/>
      <c r="AJ57" s="81"/>
      <c r="AK57" s="1"/>
      <c r="AL57" s="1"/>
      <c r="AM57" s="81"/>
      <c r="AN57" s="81"/>
      <c r="AO57" s="1"/>
      <c r="AP57" s="1"/>
      <c r="AQ57" s="81"/>
      <c r="AR57" s="81"/>
      <c r="AS57" s="1"/>
      <c r="AT57" s="1"/>
      <c r="AU57" s="81"/>
      <c r="AV57" s="81"/>
      <c r="AW57" s="1"/>
      <c r="AX57" s="1"/>
    </row>
    <row r="58" spans="1:50">
      <c r="B58" s="19" t="s">
        <v>8</v>
      </c>
      <c r="C58" s="76"/>
      <c r="D58" s="149">
        <f t="shared" ca="1" si="12"/>
        <v>0</v>
      </c>
      <c r="E58" s="47">
        <f t="shared" ca="1" si="13"/>
        <v>0</v>
      </c>
      <c r="F58" s="48">
        <f t="shared" ca="1" si="14"/>
        <v>0</v>
      </c>
      <c r="H58" s="152">
        <f ca="1">IF(#REF!=1,0,(1+E25)*(1+I25)*(1+M25)*(1+Q25)*(1+U25)*(1+Y25)-1)</f>
        <v>0</v>
      </c>
      <c r="I58" s="49">
        <f t="shared" ca="1" si="17"/>
        <v>0</v>
      </c>
      <c r="J58" s="49">
        <f ca="1">IF(#REF!=1,0,(F25+J25+N25+R25+V25+Z25)/6)</f>
        <v>0</v>
      </c>
      <c r="L58" s="188">
        <f ca="1">IF(OR(#REF!=1,#REF!=2),0,(1+E25)*(1+I25)*(1+M25)*(1+Q25)*(1+U25)*(1+Y25)*(1+AC25)*(1+AG25)*(1+AK25)-1)</f>
        <v>0</v>
      </c>
      <c r="M58" s="47">
        <f t="shared" ca="1" si="15"/>
        <v>0</v>
      </c>
      <c r="N58" s="48">
        <f ca="1">IF(OR(#REF!=1,#REF!=2),0,(F25+J25+N25+R25+V25+Z25+AD25+AH25+AL25)/9)</f>
        <v>0</v>
      </c>
      <c r="O58" s="81"/>
      <c r="P58" s="188">
        <f ca="1">IF(OR(#REF!=1,#REF!=2,#REF!=3),0,(1+E25)*(1+I25)*(1+M25)*(1+Q25)*(1+U25)*(1+Y25)*(1+AC25)*(1+AG25)*(1+AK25)*(1+AO25)*(1+AS25)*(1+AW25)-1)</f>
        <v>0</v>
      </c>
      <c r="Q58" s="49">
        <f t="shared" ca="1" si="16"/>
        <v>0</v>
      </c>
      <c r="R58" s="49">
        <f ca="1">IF(OR(#REF!=1,#REF!=2,#REF!=3),0,(F25+J25+N25+R25+V25+Z25+AD25+AH25+AL25+AP25+AT25+AX25)/12)</f>
        <v>0</v>
      </c>
      <c r="S58" s="81"/>
      <c r="T58" s="81"/>
      <c r="U58" s="1"/>
      <c r="V58" s="39"/>
      <c r="W58" s="81"/>
      <c r="X58" s="81"/>
      <c r="Y58" s="1"/>
      <c r="Z58" s="1"/>
      <c r="AA58" s="81"/>
      <c r="AB58" s="1"/>
      <c r="AC58" s="1"/>
      <c r="AD58" s="1"/>
      <c r="AE58" s="81"/>
      <c r="AF58" s="81"/>
      <c r="AG58" s="1"/>
      <c r="AH58" s="1"/>
      <c r="AI58" s="81"/>
      <c r="AJ58" s="81"/>
      <c r="AK58" s="1"/>
      <c r="AL58" s="1"/>
      <c r="AM58" s="81"/>
      <c r="AN58" s="81"/>
      <c r="AO58" s="1"/>
      <c r="AP58" s="1"/>
      <c r="AQ58" s="81"/>
      <c r="AR58" s="81"/>
      <c r="AS58" s="1"/>
      <c r="AT58" s="1"/>
      <c r="AU58" s="81"/>
      <c r="AV58" s="81"/>
      <c r="AW58" s="1"/>
      <c r="AX58" s="1"/>
    </row>
    <row r="59" spans="1:50">
      <c r="B59" s="19" t="s">
        <v>9</v>
      </c>
      <c r="C59" s="76"/>
      <c r="D59" s="149">
        <f t="shared" ca="1" si="12"/>
        <v>0</v>
      </c>
      <c r="E59" s="47">
        <f t="shared" ca="1" si="13"/>
        <v>0</v>
      </c>
      <c r="F59" s="48">
        <f t="shared" ca="1" si="14"/>
        <v>0</v>
      </c>
      <c r="H59" s="152">
        <f ca="1">IF(#REF!=1,0,(1+E26)*(1+I26)*(1+M26)*(1+Q26)*(1+U26)*(1+Y26)-1)</f>
        <v>0</v>
      </c>
      <c r="I59" s="49">
        <f t="shared" ca="1" si="17"/>
        <v>0</v>
      </c>
      <c r="J59" s="49">
        <f ca="1">IF(#REF!=1,0,(F26+J26+N26+R26+V26+Z26)/6)</f>
        <v>0</v>
      </c>
      <c r="L59" s="188">
        <f ca="1">IF(OR(#REF!=1,#REF!=2),0,(1+E26)*(1+I26)*(1+M26)*(1+Q26)*(1+U26)*(1+Y26)*(1+AC26)*(1+AG26)*(1+AK26)-1)</f>
        <v>0</v>
      </c>
      <c r="M59" s="47">
        <f t="shared" ca="1" si="15"/>
        <v>0</v>
      </c>
      <c r="N59" s="48">
        <f ca="1">IF(OR(#REF!=1,#REF!=2),0,(F26+J26+N26+R26+V26+Z26+AD26+AH26+AL26)/9)</f>
        <v>0</v>
      </c>
      <c r="O59" s="81"/>
      <c r="P59" s="188">
        <f ca="1">IF(OR(#REF!=1,#REF!=2,#REF!=3),0,(1+E26)*(1+I26)*(1+M26)*(1+Q26)*(1+U26)*(1+Y26)*(1+AC26)*(1+AG26)*(1+AK26)*(1+AO26)*(1+AS26)*(1+AW26)-1)</f>
        <v>0</v>
      </c>
      <c r="Q59" s="49">
        <f t="shared" ca="1" si="16"/>
        <v>0</v>
      </c>
      <c r="R59" s="49">
        <f ca="1">IF(OR(#REF!=1,#REF!=2,#REF!=3),0,(F26+J26+N26+R26+V26+Z26+AD26+AH26+AL26+AP26+AT26+AX26)/12)</f>
        <v>0</v>
      </c>
      <c r="S59" s="81"/>
      <c r="T59" s="81"/>
      <c r="U59" s="1"/>
      <c r="V59" s="39"/>
      <c r="W59" s="81"/>
      <c r="X59" s="81"/>
      <c r="Y59" s="1"/>
      <c r="Z59" s="1"/>
      <c r="AA59" s="81"/>
      <c r="AB59" s="1"/>
      <c r="AC59" s="1"/>
      <c r="AD59" s="1"/>
      <c r="AE59" s="81"/>
      <c r="AF59" s="81"/>
      <c r="AG59" s="1"/>
      <c r="AH59" s="1"/>
      <c r="AI59" s="81"/>
      <c r="AJ59" s="81"/>
      <c r="AK59" s="1"/>
      <c r="AL59" s="1"/>
      <c r="AM59" s="81"/>
      <c r="AN59" s="81"/>
      <c r="AO59" s="1"/>
      <c r="AP59" s="1"/>
      <c r="AQ59" s="81"/>
      <c r="AR59" s="81"/>
      <c r="AS59" s="1"/>
      <c r="AT59" s="1"/>
      <c r="AU59" s="81"/>
      <c r="AV59" s="81"/>
      <c r="AW59" s="1"/>
      <c r="AX59" s="1"/>
    </row>
    <row r="60" spans="1:50">
      <c r="B60" s="19" t="s">
        <v>10</v>
      </c>
      <c r="C60" s="76"/>
      <c r="D60" s="149">
        <f t="shared" ca="1" si="12"/>
        <v>-1.414648546459496E-2</v>
      </c>
      <c r="E60" s="47">
        <f t="shared" ca="1" si="13"/>
        <v>-1.4229289715594073E-2</v>
      </c>
      <c r="F60" s="48">
        <f t="shared" ca="1" si="14"/>
        <v>0.29144924789675336</v>
      </c>
      <c r="H60" s="152">
        <f ca="1">IF(#REF!=1,0,(1+E27)*(1+I27)*(1+M27)*(1+Q27)*(1+U27)*(1+Y27)-1)</f>
        <v>-4.5936665008120547E-3</v>
      </c>
      <c r="I60" s="49">
        <f t="shared" ca="1" si="17"/>
        <v>-4.655791809390534E-3</v>
      </c>
      <c r="J60" s="49">
        <f ca="1">IF(#REF!=1,0,(F27+J27+N27+R27+V27+Z27)/6)</f>
        <v>0.29413129386179165</v>
      </c>
      <c r="L60" s="188">
        <f ca="1">IF(OR(#REF!=1,#REF!=2),0,(1+E27)*(1+I27)*(1+M27)*(1+Q27)*(1+U27)*(1+Y27)*(1+AC27)*(1+AG27)*(1+AK27)-1)</f>
        <v>0</v>
      </c>
      <c r="M60" s="47">
        <f t="shared" ca="1" si="15"/>
        <v>0</v>
      </c>
      <c r="N60" s="48">
        <f ca="1">IF(OR(#REF!=1,#REF!=2),0,(F27+J27+N27+R27+V27+Z27+AD27+AH27+AL27)/9)</f>
        <v>0</v>
      </c>
      <c r="O60" s="81"/>
      <c r="P60" s="188">
        <f ca="1">IF(OR(#REF!=1,#REF!=2,#REF!=3),0,(1+E27)*(1+I27)*(1+M27)*(1+Q27)*(1+U27)*(1+Y27)*(1+AC27)*(1+AG27)*(1+AK27)*(1+AO27)*(1+AS27)*(1+AW27)-1)</f>
        <v>0</v>
      </c>
      <c r="Q60" s="49">
        <f t="shared" ca="1" si="16"/>
        <v>0</v>
      </c>
      <c r="R60" s="49">
        <f ca="1">IF(OR(#REF!=1,#REF!=2,#REF!=3),0,(F27+J27+N27+R27+V27+Z27+AD27+AH27+AL27+AP27+AT27+AX27)/12)</f>
        <v>0</v>
      </c>
      <c r="S60" s="81"/>
      <c r="T60" s="81"/>
      <c r="U60" s="1"/>
      <c r="V60" s="39"/>
      <c r="W60" s="81"/>
      <c r="X60" s="81"/>
      <c r="Y60" s="1"/>
      <c r="Z60" s="1"/>
      <c r="AA60" s="81"/>
      <c r="AB60" s="1"/>
      <c r="AC60" s="1"/>
      <c r="AD60" s="1"/>
      <c r="AE60" s="81"/>
      <c r="AF60" s="81"/>
      <c r="AG60" s="1"/>
      <c r="AH60" s="1"/>
      <c r="AI60" s="81"/>
      <c r="AJ60" s="81"/>
      <c r="AK60" s="1"/>
      <c r="AL60" s="1"/>
      <c r="AM60" s="81"/>
      <c r="AN60" s="81"/>
      <c r="AO60" s="1"/>
      <c r="AP60" s="1"/>
      <c r="AQ60" s="81"/>
      <c r="AR60" s="81"/>
      <c r="AS60" s="1"/>
      <c r="AT60" s="1"/>
      <c r="AU60" s="81"/>
      <c r="AV60" s="81"/>
      <c r="AW60" s="1"/>
      <c r="AX60" s="1"/>
    </row>
    <row r="61" spans="1:50">
      <c r="B61" s="19" t="s">
        <v>11</v>
      </c>
      <c r="C61" s="76"/>
      <c r="D61" s="149">
        <f t="shared" ca="1" si="12"/>
        <v>0</v>
      </c>
      <c r="E61" s="47">
        <f t="shared" ca="1" si="13"/>
        <v>0</v>
      </c>
      <c r="F61" s="48">
        <f t="shared" ca="1" si="14"/>
        <v>0</v>
      </c>
      <c r="H61" s="152">
        <f ca="1">IF(#REF!=1,0,(1+E28)*(1+I28)*(1+M28)*(1+Q28)*(1+U28)*(1+Y28)-1)</f>
        <v>0</v>
      </c>
      <c r="I61" s="49">
        <f t="shared" ca="1" si="17"/>
        <v>0</v>
      </c>
      <c r="J61" s="49">
        <f ca="1">IF(#REF!=1,0,(F28+J28+N28+R28+V28+Z28)/6)</f>
        <v>0</v>
      </c>
      <c r="L61" s="188">
        <f ca="1">IF(OR(#REF!=1,#REF!=2),0,(1+E28)*(1+I28)*(1+M28)*(1+Q28)*(1+U28)*(1+Y28)*(1+AC28)*(1+AG28)*(1+AK28)-1)</f>
        <v>0</v>
      </c>
      <c r="M61" s="47">
        <f t="shared" ca="1" si="15"/>
        <v>0</v>
      </c>
      <c r="N61" s="48">
        <f ca="1">IF(OR(#REF!=1,#REF!=2),0,(F28+J28+N28+R28+V28+Z28+AD28+AH28+AL28)/9)</f>
        <v>0</v>
      </c>
      <c r="O61" s="81"/>
      <c r="P61" s="188">
        <f ca="1">IF(OR(#REF!=1,#REF!=2,#REF!=3),0,(1+E28)*(1+I28)*(1+M28)*(1+Q28)*(1+U28)*(1+Y28)*(1+AC28)*(1+AG28)*(1+AK28)*(1+AO28)*(1+AS28)*(1+AW28)-1)</f>
        <v>0</v>
      </c>
      <c r="Q61" s="49">
        <f t="shared" ca="1" si="16"/>
        <v>0</v>
      </c>
      <c r="R61" s="49">
        <f ca="1">IF(OR(#REF!=1,#REF!=2,#REF!=3),0,(F28+J28+N28+R28+V28+Z28+AD28+AH28+AL28+AP28+AT28+AX28)/12)</f>
        <v>0</v>
      </c>
      <c r="S61" s="81"/>
      <c r="T61" s="81"/>
      <c r="U61" s="1"/>
      <c r="V61" s="39"/>
      <c r="W61" s="81"/>
      <c r="X61" s="81"/>
      <c r="Y61" s="1"/>
      <c r="Z61" s="1"/>
      <c r="AA61" s="81"/>
      <c r="AB61" s="1"/>
      <c r="AC61" s="1"/>
      <c r="AD61" s="1"/>
      <c r="AE61" s="81"/>
      <c r="AF61" s="81"/>
      <c r="AG61" s="1"/>
      <c r="AH61" s="1"/>
      <c r="AI61" s="81"/>
      <c r="AJ61" s="81"/>
      <c r="AK61" s="1"/>
      <c r="AL61" s="1"/>
      <c r="AM61" s="81"/>
      <c r="AN61" s="81"/>
      <c r="AO61" s="1"/>
      <c r="AP61" s="1"/>
      <c r="AQ61" s="81"/>
      <c r="AR61" s="81"/>
      <c r="AS61" s="1"/>
      <c r="AT61" s="1"/>
      <c r="AU61" s="81"/>
      <c r="AV61" s="81"/>
      <c r="AW61" s="1"/>
      <c r="AX61" s="1"/>
    </row>
    <row r="62" spans="1:50">
      <c r="B62" s="19" t="s">
        <v>12</v>
      </c>
      <c r="C62" s="76"/>
      <c r="D62" s="149">
        <f t="shared" ca="1" si="12"/>
        <v>0</v>
      </c>
      <c r="E62" s="47">
        <f t="shared" ca="1" si="13"/>
        <v>0</v>
      </c>
      <c r="F62" s="48">
        <f t="shared" ca="1" si="14"/>
        <v>0</v>
      </c>
      <c r="H62" s="152">
        <f ca="1">IF(#REF!=1,0,(1+E29)*(1+I29)*(1+M29)*(1+Q29)*(1+U29)*(1+Y29)-1)</f>
        <v>0</v>
      </c>
      <c r="I62" s="49">
        <f t="shared" ca="1" si="17"/>
        <v>0</v>
      </c>
      <c r="J62" s="49">
        <f ca="1">IF(#REF!=1,0,(F29+J29+N29+R29+V29+Z29)/6)</f>
        <v>0</v>
      </c>
      <c r="L62" s="188">
        <f ca="1">IF(OR(#REF!=1,#REF!=2),0,(1+E29)*(1+I29)*(1+M29)*(1+Q29)*(1+U29)*(1+Y29)*(1+AC29)*(1+AG29)*(1+AK29)-1)</f>
        <v>0</v>
      </c>
      <c r="M62" s="47">
        <f t="shared" ca="1" si="15"/>
        <v>0</v>
      </c>
      <c r="N62" s="48">
        <f ca="1">IF(OR(#REF!=1,#REF!=2),0,(F29+J29+N29+R29+V29+Z29+AD29+AH29+AL29)/9)</f>
        <v>0</v>
      </c>
      <c r="O62" s="81"/>
      <c r="P62" s="188">
        <f ca="1">IF(OR(#REF!=1,#REF!=2,#REF!=3),0,(1+E29)*(1+I29)*(1+M29)*(1+Q29)*(1+U29)*(1+Y29)*(1+AC29)*(1+AG29)*(1+AK29)*(1+AO29)*(1+AS29)*(1+AW29)-1)</f>
        <v>0</v>
      </c>
      <c r="Q62" s="49">
        <f t="shared" ca="1" si="16"/>
        <v>0</v>
      </c>
      <c r="R62" s="49">
        <f ca="1">IF(OR(#REF!=1,#REF!=2,#REF!=3),0,(F29+J29+N29+R29+V29+Z29+AD29+AH29+AL29+AP29+AT29+AX29)/12)</f>
        <v>0</v>
      </c>
      <c r="S62" s="81"/>
      <c r="T62" s="81"/>
      <c r="U62" s="1"/>
      <c r="V62" s="39"/>
      <c r="W62" s="81"/>
      <c r="X62" s="81"/>
      <c r="Y62" s="1"/>
      <c r="Z62" s="1"/>
      <c r="AA62" s="81"/>
      <c r="AB62" s="1"/>
      <c r="AC62" s="1"/>
      <c r="AD62" s="1"/>
      <c r="AE62" s="81"/>
      <c r="AF62" s="81"/>
      <c r="AG62" s="1"/>
      <c r="AH62" s="1"/>
      <c r="AI62" s="81"/>
      <c r="AJ62" s="81"/>
      <c r="AK62" s="1"/>
      <c r="AL62" s="1"/>
      <c r="AM62" s="81"/>
      <c r="AN62" s="81"/>
      <c r="AO62" s="1"/>
      <c r="AP62" s="1"/>
      <c r="AQ62" s="81"/>
      <c r="AR62" s="81"/>
      <c r="AS62" s="1"/>
      <c r="AT62" s="1"/>
      <c r="AU62" s="81"/>
      <c r="AV62" s="81"/>
      <c r="AW62" s="1"/>
      <c r="AX62" s="1"/>
    </row>
    <row r="63" spans="1:50">
      <c r="B63" s="19" t="s">
        <v>13</v>
      </c>
      <c r="C63" s="76"/>
      <c r="D63" s="149">
        <f t="shared" ca="1" si="12"/>
        <v>0</v>
      </c>
      <c r="E63" s="47">
        <f t="shared" ca="1" si="13"/>
        <v>0</v>
      </c>
      <c r="F63" s="48">
        <f t="shared" ca="1" si="14"/>
        <v>0</v>
      </c>
      <c r="H63" s="152">
        <f ca="1">IF(#REF!=1,0,(1+E30)*(1+I30)*(1+M30)*(1+Q30)*(1+U30)*(1+Y30)-1)</f>
        <v>0</v>
      </c>
      <c r="I63" s="49">
        <f t="shared" ca="1" si="17"/>
        <v>0</v>
      </c>
      <c r="J63" s="49">
        <f ca="1">IF(#REF!=1,0,(F30+J30+N30+R30+V30+Z30)/6)</f>
        <v>0</v>
      </c>
      <c r="L63" s="188">
        <f ca="1">IF(OR(#REF!=1,#REF!=2),0,(1+E30)*(1+I30)*(1+M30)*(1+Q30)*(1+U30)*(1+Y30)*(1+AC30)*(1+AG30)*(1+AK30)-1)</f>
        <v>0</v>
      </c>
      <c r="M63" s="47">
        <f t="shared" ca="1" si="15"/>
        <v>0</v>
      </c>
      <c r="N63" s="48">
        <f ca="1">IF(OR(#REF!=1,#REF!=2),0,(F30+J30+N30+R30+V30+Z30+AD30+AH30+AL30)/9)</f>
        <v>0</v>
      </c>
      <c r="O63" s="81"/>
      <c r="P63" s="188">
        <f ca="1">IF(OR(#REF!=1,#REF!=2,#REF!=3),0,(1+E30)*(1+I30)*(1+M30)*(1+Q30)*(1+U30)*(1+Y30)*(1+AC30)*(1+AG30)*(1+AK30)*(1+AO30)*(1+AS30)*(1+AW30)-1)</f>
        <v>0</v>
      </c>
      <c r="Q63" s="49">
        <f t="shared" ca="1" si="16"/>
        <v>0</v>
      </c>
      <c r="R63" s="49">
        <f ca="1">IF(OR(#REF!=1,#REF!=2,#REF!=3),0,(F30+J30+N30+R30+V30+Z30+AD30+AH30+AL30+AP30+AT30+AX30)/12)</f>
        <v>0</v>
      </c>
      <c r="S63" s="81"/>
      <c r="T63" s="81"/>
      <c r="U63" s="1"/>
      <c r="V63" s="39"/>
      <c r="W63" s="81"/>
      <c r="X63" s="81"/>
      <c r="Y63" s="1"/>
      <c r="Z63" s="1"/>
      <c r="AA63" s="81"/>
      <c r="AB63" s="1"/>
      <c r="AC63" s="1"/>
      <c r="AD63" s="1"/>
      <c r="AE63" s="81"/>
      <c r="AF63" s="81"/>
      <c r="AG63" s="1"/>
      <c r="AH63" s="1"/>
      <c r="AI63" s="81"/>
      <c r="AJ63" s="81"/>
      <c r="AK63" s="1"/>
      <c r="AL63" s="1"/>
      <c r="AM63" s="81"/>
      <c r="AN63" s="81"/>
      <c r="AO63" s="1"/>
      <c r="AP63" s="1"/>
      <c r="AQ63" s="81"/>
      <c r="AR63" s="81"/>
      <c r="AS63" s="1"/>
      <c r="AT63" s="1"/>
      <c r="AU63" s="81"/>
      <c r="AV63" s="81"/>
      <c r="AW63" s="1"/>
      <c r="AX63" s="1"/>
    </row>
    <row r="64" spans="1:50">
      <c r="B64" s="19" t="s">
        <v>14</v>
      </c>
      <c r="C64" s="76"/>
      <c r="D64" s="149">
        <f t="shared" ca="1" si="12"/>
        <v>0</v>
      </c>
      <c r="E64" s="47">
        <f t="shared" ca="1" si="13"/>
        <v>0</v>
      </c>
      <c r="F64" s="48">
        <f t="shared" ca="1" si="14"/>
        <v>0</v>
      </c>
      <c r="H64" s="152">
        <f ca="1">IF(#REF!=1,0,(1+E31)*(1+I31)*(1+M31)*(1+Q31)*(1+U31)*(1+Y31)-1)</f>
        <v>0</v>
      </c>
      <c r="I64" s="49">
        <f t="shared" ca="1" si="17"/>
        <v>0</v>
      </c>
      <c r="J64" s="49">
        <f ca="1">IF(#REF!=1,0,(F31+J31+N31+R31+V31+Z31)/6)</f>
        <v>0</v>
      </c>
      <c r="L64" s="188">
        <f ca="1">IF(OR(#REF!=1,#REF!=2),0,(1+E31)*(1+I31)*(1+M31)*(1+Q31)*(1+U31)*(1+Y31)*(1+AC31)*(1+AG31)*(1+AK31)-1)</f>
        <v>0</v>
      </c>
      <c r="M64" s="47">
        <f t="shared" ca="1" si="15"/>
        <v>0</v>
      </c>
      <c r="N64" s="48">
        <f ca="1">IF(OR(#REF!=1,#REF!=2),0,(F31+J31+N31+R31+V31+Z31+AD31+AH31+AL31)/9)</f>
        <v>0</v>
      </c>
      <c r="O64" s="81"/>
      <c r="P64" s="188">
        <f ca="1">IF(OR(#REF!=1,#REF!=2,#REF!=3),0,(1+E31)*(1+I31)*(1+M31)*(1+Q31)*(1+U31)*(1+Y31)*(1+AC31)*(1+AG31)*(1+AK31)*(1+AO31)*(1+AS31)*(1+AW31)-1)</f>
        <v>0</v>
      </c>
      <c r="Q64" s="49">
        <f t="shared" ca="1" si="16"/>
        <v>0</v>
      </c>
      <c r="R64" s="49">
        <f ca="1">IF(OR(#REF!=1,#REF!=2,#REF!=3),0,(F31+J31+N31+R31+V31+Z31+AD31+AH31+AL31+AP31+AT31+AX31)/12)</f>
        <v>0</v>
      </c>
      <c r="S64" s="81"/>
      <c r="T64" s="81"/>
      <c r="U64" s="1"/>
      <c r="V64" s="39"/>
      <c r="W64" s="81"/>
      <c r="X64" s="81"/>
      <c r="Y64" s="1"/>
      <c r="Z64" s="1"/>
      <c r="AA64" s="81"/>
      <c r="AB64" s="1"/>
      <c r="AC64" s="1"/>
      <c r="AD64" s="1"/>
      <c r="AE64" s="81"/>
      <c r="AF64" s="81"/>
      <c r="AG64" s="1"/>
      <c r="AH64" s="1"/>
      <c r="AI64" s="81"/>
      <c r="AJ64" s="81"/>
      <c r="AK64" s="1"/>
      <c r="AL64" s="1"/>
      <c r="AM64" s="81"/>
      <c r="AN64" s="81"/>
      <c r="AO64" s="1"/>
      <c r="AP64" s="1"/>
      <c r="AQ64" s="81"/>
      <c r="AR64" s="81"/>
      <c r="AS64" s="1"/>
      <c r="AT64" s="1"/>
      <c r="AU64" s="81"/>
      <c r="AV64" s="81"/>
      <c r="AW64" s="1"/>
      <c r="AX64" s="1"/>
    </row>
    <row r="65" spans="2:50">
      <c r="B65" s="19" t="s">
        <v>15</v>
      </c>
      <c r="C65" s="76"/>
      <c r="D65" s="149">
        <f t="shared" ca="1" si="12"/>
        <v>0</v>
      </c>
      <c r="E65" s="47">
        <f t="shared" ca="1" si="13"/>
        <v>0</v>
      </c>
      <c r="F65" s="48">
        <f t="shared" ca="1" si="14"/>
        <v>0</v>
      </c>
      <c r="H65" s="152">
        <f ca="1">IF(#REF!=1,0,(1+E32)*(1+I32)*(1+M32)*(1+Q32)*(1+U32)*(1+Y32)-1)</f>
        <v>0</v>
      </c>
      <c r="I65" s="49">
        <f t="shared" ca="1" si="17"/>
        <v>0</v>
      </c>
      <c r="J65" s="49">
        <f ca="1">IF(#REF!=1,0,(F32+J32+N32+R32+V32+Z32)/6)</f>
        <v>0</v>
      </c>
      <c r="L65" s="188">
        <f ca="1">IF(OR(#REF!=1,#REF!=2),0,(1+E32)*(1+I32)*(1+M32)*(1+Q32)*(1+U32)*(1+Y32)*(1+AC32)*(1+AG32)*(1+AK32)-1)</f>
        <v>0</v>
      </c>
      <c r="M65" s="47">
        <f t="shared" ca="1" si="15"/>
        <v>0</v>
      </c>
      <c r="N65" s="48">
        <f ca="1">IF(OR(#REF!=1,#REF!=2),0,(F32+J32+N32+R32+V32+Z32+AD32+AH32+AL32)/9)</f>
        <v>0</v>
      </c>
      <c r="O65" s="81"/>
      <c r="P65" s="188">
        <f ca="1">IF(OR(#REF!=1,#REF!=2,#REF!=3),0,(1+E32)*(1+I32)*(1+M32)*(1+Q32)*(1+U32)*(1+Y32)*(1+AC32)*(1+AG32)*(1+AK32)*(1+AO32)*(1+AS32)*(1+AW32)-1)</f>
        <v>0</v>
      </c>
      <c r="Q65" s="49">
        <f t="shared" ca="1" si="16"/>
        <v>0</v>
      </c>
      <c r="R65" s="49">
        <f ca="1">IF(OR(#REF!=1,#REF!=2,#REF!=3),0,(F32+J32+N32+R32+V32+Z32+AD32+AH32+AL32+AP32+AT32+AX32)/12)</f>
        <v>0</v>
      </c>
      <c r="S65" s="81"/>
      <c r="T65" s="81"/>
      <c r="U65" s="1"/>
      <c r="V65" s="39"/>
      <c r="W65" s="81"/>
      <c r="X65" s="81"/>
      <c r="Y65" s="1"/>
      <c r="Z65" s="1"/>
      <c r="AA65" s="81"/>
      <c r="AB65" s="1"/>
      <c r="AC65" s="1"/>
      <c r="AD65" s="1"/>
      <c r="AE65" s="81"/>
      <c r="AF65" s="81"/>
      <c r="AG65" s="1"/>
      <c r="AH65" s="1"/>
      <c r="AI65" s="81"/>
      <c r="AJ65" s="81"/>
      <c r="AK65" s="1"/>
      <c r="AL65" s="1"/>
      <c r="AM65" s="81"/>
      <c r="AN65" s="81"/>
      <c r="AO65" s="1"/>
      <c r="AP65" s="1"/>
      <c r="AQ65" s="81"/>
      <c r="AR65" s="81"/>
      <c r="AS65" s="1"/>
      <c r="AT65" s="1"/>
      <c r="AU65" s="81"/>
      <c r="AV65" s="81"/>
      <c r="AW65" s="1"/>
      <c r="AX65" s="1"/>
    </row>
    <row r="66" spans="2:50">
      <c r="B66" s="19" t="s">
        <v>16</v>
      </c>
      <c r="C66" s="76"/>
      <c r="D66" s="149">
        <f t="shared" ca="1" si="12"/>
        <v>0</v>
      </c>
      <c r="E66" s="47">
        <f t="shared" ca="1" si="13"/>
        <v>0</v>
      </c>
      <c r="F66" s="48">
        <f t="shared" ca="1" si="14"/>
        <v>0</v>
      </c>
      <c r="H66" s="152">
        <f ca="1">IF(#REF!=1,0,(1+E33)*(1+I33)*(1+M33)*(1+Q33)*(1+U33)*(1+Y33)-1)</f>
        <v>0</v>
      </c>
      <c r="I66" s="49">
        <f t="shared" ca="1" si="17"/>
        <v>0</v>
      </c>
      <c r="J66" s="49">
        <f ca="1">IF(#REF!=1,0,(F33+J33+N33+R33+V33+Z33)/6)</f>
        <v>0</v>
      </c>
      <c r="L66" s="188">
        <f ca="1">IF(OR(#REF!=1,#REF!=2),0,(1+E33)*(1+I33)*(1+M33)*(1+Q33)*(1+U33)*(1+Y33)*(1+AC33)*(1+AG33)*(1+AK33)-1)</f>
        <v>0</v>
      </c>
      <c r="M66" s="47">
        <f t="shared" ca="1" si="15"/>
        <v>0</v>
      </c>
      <c r="N66" s="48">
        <f ca="1">IF(OR(#REF!=1,#REF!=2),0,(F33+J33+N33+R33+V33+Z33+AD33+AH33+AL33)/9)</f>
        <v>0</v>
      </c>
      <c r="O66" s="81"/>
      <c r="P66" s="188">
        <f ca="1">IF(OR(#REF!=1,#REF!=2,#REF!=3),0,(1+E33)*(1+I33)*(1+M33)*(1+Q33)*(1+U33)*(1+Y33)*(1+AC33)*(1+AG33)*(1+AK33)*(1+AO33)*(1+AS33)*(1+AW33)-1)</f>
        <v>0</v>
      </c>
      <c r="Q66" s="49">
        <f t="shared" ca="1" si="16"/>
        <v>0</v>
      </c>
      <c r="R66" s="49">
        <f ca="1">IF(OR(#REF!=1,#REF!=2,#REF!=3),0,(F33+J33+N33+R33+V33+Z33+AD33+AH33+AL33+AP33+AT33+AX33)/12)</f>
        <v>0</v>
      </c>
      <c r="S66" s="81"/>
      <c r="T66" s="81"/>
      <c r="U66" s="1"/>
      <c r="V66" s="39"/>
      <c r="W66" s="81"/>
      <c r="X66" s="81"/>
      <c r="Y66" s="1"/>
      <c r="Z66" s="1"/>
      <c r="AA66" s="81"/>
      <c r="AB66" s="1"/>
      <c r="AC66" s="1"/>
      <c r="AD66" s="1"/>
      <c r="AE66" s="81"/>
      <c r="AF66" s="81"/>
      <c r="AG66" s="1"/>
      <c r="AH66" s="1"/>
      <c r="AI66" s="81"/>
      <c r="AJ66" s="81"/>
      <c r="AK66" s="1"/>
      <c r="AL66" s="1"/>
      <c r="AM66" s="81"/>
      <c r="AN66" s="81"/>
      <c r="AO66" s="1"/>
      <c r="AP66" s="1"/>
      <c r="AQ66" s="81"/>
      <c r="AR66" s="81"/>
      <c r="AS66" s="1"/>
      <c r="AT66" s="1"/>
      <c r="AU66" s="81"/>
      <c r="AV66" s="81"/>
      <c r="AW66" s="1"/>
      <c r="AX66" s="1"/>
    </row>
    <row r="67" spans="2:50">
      <c r="B67" s="19" t="s">
        <v>17</v>
      </c>
      <c r="C67" s="76"/>
      <c r="D67" s="149">
        <f t="shared" ca="1" si="12"/>
        <v>0</v>
      </c>
      <c r="E67" s="47">
        <f t="shared" ca="1" si="13"/>
        <v>0</v>
      </c>
      <c r="F67" s="48">
        <f t="shared" ca="1" si="14"/>
        <v>0</v>
      </c>
      <c r="H67" s="152">
        <f ca="1">IF(#REF!=1,0,(1+E34)*(1+I34)*(1+M34)*(1+Q34)*(1+U34)*(1+Y34)-1)</f>
        <v>0</v>
      </c>
      <c r="I67" s="49">
        <f t="shared" ca="1" si="17"/>
        <v>0</v>
      </c>
      <c r="J67" s="49">
        <f ca="1">IF(#REF!=1,0,(F34+J34+N34+R34+V34+Z34)/6)</f>
        <v>0</v>
      </c>
      <c r="L67" s="188">
        <f ca="1">IF(OR(#REF!=1,#REF!=2),0,(1+E34)*(1+I34)*(1+M34)*(1+Q34)*(1+U34)*(1+Y34)*(1+AC34)*(1+AG34)*(1+AK34)-1)</f>
        <v>0</v>
      </c>
      <c r="M67" s="47">
        <f t="shared" ca="1" si="15"/>
        <v>0</v>
      </c>
      <c r="N67" s="48">
        <f ca="1">IF(OR(#REF!=1,#REF!=2),0,(F34+J34+N34+R34+V34+Z34+AD34+AH34+AL34)/9)</f>
        <v>0</v>
      </c>
      <c r="O67" s="81"/>
      <c r="P67" s="188">
        <f ca="1">IF(OR(#REF!=1,#REF!=2,#REF!=3),0,(1+E34)*(1+I34)*(1+M34)*(1+Q34)*(1+U34)*(1+Y34)*(1+AC34)*(1+AG34)*(1+AK34)*(1+AO34)*(1+AS34)*(1+AW34)-1)</f>
        <v>0</v>
      </c>
      <c r="Q67" s="49">
        <f t="shared" ca="1" si="16"/>
        <v>0</v>
      </c>
      <c r="R67" s="49">
        <f ca="1">IF(OR(#REF!=1,#REF!=2,#REF!=3),0,(F34+J34+N34+R34+V34+Z34+AD34+AH34+AL34+AP34+AT34+AX34)/12)</f>
        <v>0</v>
      </c>
      <c r="S67" s="81"/>
      <c r="T67" s="81"/>
      <c r="U67" s="1"/>
      <c r="V67" s="39"/>
      <c r="W67" s="81"/>
      <c r="X67" s="81"/>
      <c r="Y67" s="1"/>
      <c r="Z67" s="1"/>
      <c r="AA67" s="81"/>
      <c r="AB67" s="1"/>
      <c r="AC67" s="1"/>
      <c r="AD67" s="1"/>
      <c r="AE67" s="81"/>
      <c r="AF67" s="81"/>
      <c r="AG67" s="1"/>
      <c r="AH67" s="1"/>
      <c r="AI67" s="81"/>
      <c r="AJ67" s="81"/>
      <c r="AK67" s="1"/>
      <c r="AL67" s="1"/>
      <c r="AM67" s="81"/>
      <c r="AN67" s="81"/>
      <c r="AO67" s="1"/>
      <c r="AP67" s="1"/>
      <c r="AQ67" s="81"/>
      <c r="AR67" s="81"/>
      <c r="AS67" s="1"/>
      <c r="AT67" s="1"/>
      <c r="AU67" s="81"/>
      <c r="AV67" s="81"/>
      <c r="AW67" s="1"/>
      <c r="AX67" s="1"/>
    </row>
    <row r="68" spans="2:50">
      <c r="B68" s="19" t="s">
        <v>18</v>
      </c>
      <c r="C68" s="76"/>
      <c r="D68" s="149">
        <f t="shared" ca="1" si="12"/>
        <v>0</v>
      </c>
      <c r="E68" s="47">
        <f t="shared" ca="1" si="13"/>
        <v>0</v>
      </c>
      <c r="F68" s="48">
        <f t="shared" ca="1" si="14"/>
        <v>0</v>
      </c>
      <c r="H68" s="152">
        <f ca="1">IF(#REF!=1,0,(1+E35)*(1+I35)*(1+M35)*(1+Q35)*(1+U35)*(1+Y35)-1)</f>
        <v>0</v>
      </c>
      <c r="I68" s="49">
        <f t="shared" ca="1" si="17"/>
        <v>0</v>
      </c>
      <c r="J68" s="49">
        <f ca="1">IF(#REF!=1,0,(F35+J35+N35+R35+V35+Z35)/6)</f>
        <v>0</v>
      </c>
      <c r="L68" s="188">
        <f ca="1">IF(OR(#REF!=1,#REF!=2),0,(1+E35)*(1+I35)*(1+M35)*(1+Q35)*(1+U35)*(1+Y35)*(1+AC35)*(1+AG35)*(1+AK35)-1)</f>
        <v>0</v>
      </c>
      <c r="M68" s="47">
        <f t="shared" ca="1" si="15"/>
        <v>0</v>
      </c>
      <c r="N68" s="48">
        <f ca="1">IF(OR(#REF!=1,#REF!=2),0,(F35+J35+N35+R35+V35+Z35+AD35+AH35+AL35)/9)</f>
        <v>0</v>
      </c>
      <c r="O68" s="81"/>
      <c r="P68" s="188">
        <f ca="1">IF(OR(#REF!=1,#REF!=2,#REF!=3),0,(1+E35)*(1+I35)*(1+M35)*(1+Q35)*(1+U35)*(1+Y35)*(1+AC35)*(1+AG35)*(1+AK35)*(1+AO35)*(1+AS35)*(1+AW35)-1)</f>
        <v>0</v>
      </c>
      <c r="Q68" s="49">
        <f t="shared" ca="1" si="16"/>
        <v>0</v>
      </c>
      <c r="R68" s="49">
        <f ca="1">IF(OR(#REF!=1,#REF!=2,#REF!=3),0,(F35+J35+N35+R35+V35+Z35+AD35+AH35+AL35+AP35+AT35+AX35)/12)</f>
        <v>0</v>
      </c>
      <c r="S68" s="81"/>
      <c r="T68" s="81"/>
      <c r="U68" s="1"/>
      <c r="V68" s="39"/>
      <c r="W68" s="81"/>
      <c r="X68" s="81"/>
      <c r="Y68" s="1"/>
      <c r="Z68" s="1"/>
      <c r="AA68" s="81"/>
      <c r="AB68" s="1"/>
      <c r="AC68" s="1"/>
      <c r="AD68" s="1"/>
      <c r="AE68" s="81"/>
      <c r="AF68" s="81"/>
      <c r="AG68" s="1"/>
      <c r="AH68" s="1"/>
      <c r="AI68" s="81"/>
      <c r="AJ68" s="81"/>
      <c r="AK68" s="1"/>
      <c r="AL68" s="1"/>
      <c r="AM68" s="81"/>
      <c r="AN68" s="81"/>
      <c r="AO68" s="1"/>
      <c r="AP68" s="1"/>
      <c r="AQ68" s="81"/>
      <c r="AR68" s="81"/>
      <c r="AS68" s="1"/>
      <c r="AT68" s="1"/>
      <c r="AU68" s="81"/>
      <c r="AV68" s="81"/>
      <c r="AW68" s="1"/>
      <c r="AX68" s="1"/>
    </row>
    <row r="69" spans="2:50">
      <c r="B69" s="19" t="s">
        <v>19</v>
      </c>
      <c r="C69" s="76"/>
      <c r="D69" s="149">
        <f t="shared" ca="1" si="12"/>
        <v>0</v>
      </c>
      <c r="E69" s="47">
        <f t="shared" ca="1" si="13"/>
        <v>0</v>
      </c>
      <c r="F69" s="48">
        <f t="shared" ca="1" si="14"/>
        <v>0</v>
      </c>
      <c r="H69" s="152">
        <f ca="1">IF(#REF!=1,0,(1+E36)*(1+I36)*(1+M36)*(1+Q36)*(1+U36)*(1+Y36)-1)</f>
        <v>0</v>
      </c>
      <c r="I69" s="49">
        <f t="shared" ca="1" si="17"/>
        <v>0</v>
      </c>
      <c r="J69" s="49">
        <f ca="1">IF(#REF!=1,0,(F36+J36+N36+R36+V36+Z36)/6)</f>
        <v>0</v>
      </c>
      <c r="L69" s="188">
        <f ca="1">IF(OR(#REF!=1,#REF!=2),0,(1+E36)*(1+I36)*(1+M36)*(1+Q36)*(1+U36)*(1+Y36)*(1+AC36)*(1+AG36)*(1+AK36)-1)</f>
        <v>0</v>
      </c>
      <c r="M69" s="47">
        <f t="shared" ca="1" si="15"/>
        <v>0</v>
      </c>
      <c r="N69" s="48">
        <f ca="1">IF(OR(#REF!=1,#REF!=2),0,(F36+J36+N36+R36+V36+Z36+AD36+AH36+AL36)/9)</f>
        <v>0</v>
      </c>
      <c r="O69" s="81"/>
      <c r="P69" s="188">
        <f ca="1">IF(OR(#REF!=1,#REF!=2,#REF!=3),0,(1+E36)*(1+I36)*(1+M36)*(1+Q36)*(1+U36)*(1+Y36)*(1+AC36)*(1+AG36)*(1+AK36)*(1+AO36)*(1+AS36)*(1+AW36)-1)</f>
        <v>0</v>
      </c>
      <c r="Q69" s="49">
        <f t="shared" ca="1" si="16"/>
        <v>0</v>
      </c>
      <c r="R69" s="49">
        <f ca="1">IF(OR(#REF!=1,#REF!=2,#REF!=3),0,(F36+J36+N36+R36+V36+Z36+AD36+AH36+AL36+AP36+AT36+AX36)/12)</f>
        <v>0</v>
      </c>
      <c r="S69" s="81"/>
      <c r="T69" s="81"/>
      <c r="U69" s="1"/>
      <c r="V69" s="39"/>
      <c r="W69" s="81"/>
      <c r="X69" s="81"/>
      <c r="Y69" s="1"/>
      <c r="Z69" s="1"/>
      <c r="AA69" s="81"/>
      <c r="AB69" s="1"/>
      <c r="AC69" s="1"/>
      <c r="AD69" s="1"/>
      <c r="AE69" s="81"/>
      <c r="AF69" s="81"/>
      <c r="AG69" s="1"/>
      <c r="AH69" s="1"/>
      <c r="AI69" s="81"/>
      <c r="AJ69" s="81"/>
      <c r="AK69" s="1"/>
      <c r="AL69" s="1"/>
      <c r="AM69" s="81"/>
      <c r="AN69" s="81"/>
      <c r="AO69" s="1"/>
      <c r="AP69" s="1"/>
      <c r="AQ69" s="81"/>
      <c r="AR69" s="81"/>
      <c r="AS69" s="1"/>
      <c r="AT69" s="1"/>
      <c r="AU69" s="81"/>
      <c r="AV69" s="81"/>
      <c r="AW69" s="1"/>
      <c r="AX69" s="1"/>
    </row>
    <row r="70" spans="2:50">
      <c r="B70" s="19" t="s">
        <v>20</v>
      </c>
      <c r="C70" s="76"/>
      <c r="D70" s="149">
        <f t="shared" ca="1" si="12"/>
        <v>0</v>
      </c>
      <c r="E70" s="47">
        <f t="shared" ca="1" si="13"/>
        <v>0</v>
      </c>
      <c r="F70" s="48">
        <f t="shared" ca="1" si="14"/>
        <v>0</v>
      </c>
      <c r="H70" s="152">
        <f ca="1">IF(#REF!=1,0,(1+E37)*(1+I37)*(1+M37)*(1+Q37)*(1+U37)*(1+Y37)-1)</f>
        <v>0</v>
      </c>
      <c r="I70" s="49">
        <f t="shared" ca="1" si="17"/>
        <v>0</v>
      </c>
      <c r="J70" s="49">
        <f ca="1">IF(#REF!=1,0,(F37+J37+N37+R37+V37+Z37)/6)</f>
        <v>0</v>
      </c>
      <c r="L70" s="188">
        <f ca="1">IF(OR(#REF!=1,#REF!=2),0,(1+E37)*(1+I37)*(1+M37)*(1+Q37)*(1+U37)*(1+Y37)*(1+AC37)*(1+AG37)*(1+AK37)-1)</f>
        <v>0</v>
      </c>
      <c r="M70" s="47">
        <f t="shared" ca="1" si="15"/>
        <v>0</v>
      </c>
      <c r="N70" s="48">
        <f ca="1">IF(OR(#REF!=1,#REF!=2),0,(F37+J37+N37+R37+V37+Z37+AD37+AH37+AL37)/9)</f>
        <v>0</v>
      </c>
      <c r="O70" s="81"/>
      <c r="P70" s="188">
        <f ca="1">IF(OR(#REF!=1,#REF!=2,#REF!=3),0,(1+E37)*(1+I37)*(1+M37)*(1+Q37)*(1+U37)*(1+Y37)*(1+AC37)*(1+AG37)*(1+AK37)*(1+AO37)*(1+AS37)*(1+AW37)-1)</f>
        <v>0</v>
      </c>
      <c r="Q70" s="49">
        <f t="shared" ca="1" si="16"/>
        <v>0</v>
      </c>
      <c r="R70" s="49">
        <f ca="1">IF(OR(#REF!=1,#REF!=2,#REF!=3),0,(F37+J37+N37+R37+V37+Z37+AD37+AH37+AL37+AP37+AT37+AX37)/12)</f>
        <v>0</v>
      </c>
      <c r="S70" s="81"/>
      <c r="T70" s="81"/>
      <c r="U70" s="1"/>
      <c r="V70" s="39"/>
      <c r="W70" s="81"/>
      <c r="X70" s="81"/>
      <c r="Y70" s="1"/>
      <c r="Z70" s="1"/>
      <c r="AA70" s="81"/>
      <c r="AB70" s="1"/>
      <c r="AC70" s="1"/>
      <c r="AD70" s="1"/>
      <c r="AE70" s="81"/>
      <c r="AF70" s="81"/>
      <c r="AG70" s="1"/>
      <c r="AH70" s="1"/>
      <c r="AI70" s="81"/>
      <c r="AJ70" s="81"/>
      <c r="AK70" s="1"/>
      <c r="AL70" s="1"/>
      <c r="AM70" s="81"/>
      <c r="AN70" s="81"/>
      <c r="AO70" s="1"/>
      <c r="AP70" s="1"/>
      <c r="AQ70" s="81"/>
      <c r="AR70" s="81"/>
      <c r="AS70" s="1"/>
      <c r="AT70" s="1"/>
      <c r="AU70" s="81"/>
      <c r="AV70" s="81"/>
      <c r="AW70" s="1"/>
      <c r="AX70" s="1"/>
    </row>
    <row r="71" spans="2:50">
      <c r="B71" s="19" t="s">
        <v>21</v>
      </c>
      <c r="C71" s="76"/>
      <c r="D71" s="149">
        <f t="shared" ca="1" si="12"/>
        <v>0</v>
      </c>
      <c r="E71" s="47">
        <f t="shared" ca="1" si="13"/>
        <v>0</v>
      </c>
      <c r="F71" s="48">
        <f t="shared" ca="1" si="14"/>
        <v>0</v>
      </c>
      <c r="H71" s="152">
        <f ca="1">IF(#REF!=1,0,(1+E38)*(1+I38)*(1+M38)*(1+Q38)*(1+U38)*(1+Y38)-1)</f>
        <v>0</v>
      </c>
      <c r="I71" s="49">
        <f t="shared" ca="1" si="17"/>
        <v>0</v>
      </c>
      <c r="J71" s="49">
        <f ca="1">IF(#REF!=1,0,(F38+J38+N38+R38+V38+Z38)/6)</f>
        <v>0</v>
      </c>
      <c r="L71" s="188">
        <f ca="1">IF(OR(#REF!=1,#REF!=2),0,(1+E38)*(1+I38)*(1+M38)*(1+Q38)*(1+U38)*(1+Y38)*(1+AC38)*(1+AG38)*(1+AK38)-1)</f>
        <v>0</v>
      </c>
      <c r="M71" s="47">
        <f t="shared" ca="1" si="15"/>
        <v>0</v>
      </c>
      <c r="N71" s="48">
        <f ca="1">IF(OR(#REF!=1,#REF!=2),0,(F38+J38+N38+R38+V38+Z38+AD38+AH38+AL38)/9)</f>
        <v>0</v>
      </c>
      <c r="O71" s="81"/>
      <c r="P71" s="188">
        <f ca="1">IF(OR(#REF!=1,#REF!=2,#REF!=3),0,(1+E38)*(1+I38)*(1+M38)*(1+Q38)*(1+U38)*(1+Y38)*(1+AC38)*(1+AG38)*(1+AK38)*(1+AO38)*(1+AS38)*(1+AW38)-1)</f>
        <v>0</v>
      </c>
      <c r="Q71" s="49">
        <f t="shared" ca="1" si="16"/>
        <v>0</v>
      </c>
      <c r="R71" s="49">
        <f ca="1">IF(OR(#REF!=1,#REF!=2,#REF!=3),0,(F38+J38+N38+R38+V38+Z38+AD38+AH38+AL38+AP38+AT38+AX38)/12)</f>
        <v>0</v>
      </c>
      <c r="S71" s="81"/>
      <c r="T71" s="81"/>
      <c r="U71" s="1"/>
      <c r="V71" s="39"/>
      <c r="W71" s="81"/>
      <c r="X71" s="81"/>
      <c r="Y71" s="1"/>
      <c r="Z71" s="1"/>
      <c r="AA71" s="81"/>
      <c r="AB71" s="1"/>
      <c r="AC71" s="1"/>
      <c r="AD71" s="1"/>
      <c r="AE71" s="81"/>
      <c r="AF71" s="81"/>
      <c r="AG71" s="1"/>
      <c r="AH71" s="1"/>
      <c r="AI71" s="81"/>
      <c r="AJ71" s="81"/>
      <c r="AK71" s="1"/>
      <c r="AL71" s="1"/>
      <c r="AM71" s="81"/>
      <c r="AN71" s="81"/>
      <c r="AO71" s="1"/>
      <c r="AP71" s="1"/>
      <c r="AQ71" s="81"/>
      <c r="AR71" s="81"/>
      <c r="AS71" s="1"/>
      <c r="AT71" s="1"/>
      <c r="AU71" s="81"/>
      <c r="AV71" s="81"/>
      <c r="AW71" s="1"/>
      <c r="AX71" s="1"/>
    </row>
    <row r="72" spans="2:50">
      <c r="B72" s="20" t="s">
        <v>29</v>
      </c>
      <c r="C72" s="76"/>
      <c r="D72" s="149">
        <f ca="1">SUM(D53:D71)</f>
        <v>-8.5218327536646932E-3</v>
      </c>
      <c r="E72" s="50">
        <f ca="1">E166</f>
        <v>-8.8000000000000005E-3</v>
      </c>
      <c r="F72" s="51">
        <f ca="1">SUM(F53:F71)</f>
        <v>1</v>
      </c>
      <c r="H72" s="163">
        <f ca="1">SUM(H53:H71)</f>
        <v>6.8080719400839262E-3</v>
      </c>
      <c r="I72" s="161">
        <f ca="1">IF(#REF!=1,0,F166)</f>
        <v>6.6E-3</v>
      </c>
      <c r="J72" s="53">
        <f ca="1">SUM(J53:J71)</f>
        <v>1</v>
      </c>
      <c r="L72" s="162">
        <f ca="1">SUM(L53:L71)</f>
        <v>0</v>
      </c>
      <c r="M72" s="50">
        <f ca="1">IF(OR(#REF!=1,#REF!=2),0,I166)</f>
        <v>0</v>
      </c>
      <c r="N72" s="51">
        <f ca="1">SUM(N53:N71)</f>
        <v>0</v>
      </c>
      <c r="O72" s="82"/>
      <c r="P72" s="82">
        <f ca="1">SUM(P53:P71)</f>
        <v>0</v>
      </c>
      <c r="Q72" s="53">
        <f ca="1">IF(OR(#REF!=1,#REF!=2,#REF!=3),0,J166)</f>
        <v>0</v>
      </c>
      <c r="R72" s="53">
        <f ca="1">SUM(R53:R71)</f>
        <v>0</v>
      </c>
      <c r="S72" s="82"/>
      <c r="T72" s="82"/>
      <c r="U72" s="1"/>
      <c r="V72" s="39"/>
      <c r="W72" s="82"/>
      <c r="X72" s="82"/>
      <c r="Y72" s="1"/>
      <c r="Z72" s="1"/>
      <c r="AA72" s="82"/>
      <c r="AB72" s="1"/>
      <c r="AC72" s="1"/>
      <c r="AD72" s="1"/>
      <c r="AE72" s="82"/>
      <c r="AF72" s="82"/>
      <c r="AG72" s="1"/>
      <c r="AH72" s="1"/>
      <c r="AI72" s="82"/>
      <c r="AJ72" s="82"/>
      <c r="AK72" s="1"/>
      <c r="AL72" s="1"/>
      <c r="AM72" s="82"/>
      <c r="AN72" s="82"/>
      <c r="AO72" s="1"/>
      <c r="AP72" s="1"/>
      <c r="AQ72" s="82"/>
      <c r="AR72" s="82"/>
      <c r="AS72" s="1"/>
      <c r="AT72" s="1"/>
      <c r="AU72" s="82"/>
      <c r="AV72" s="82"/>
      <c r="AW72" s="1"/>
      <c r="AX72" s="1"/>
    </row>
    <row r="73" spans="2:50">
      <c r="B73" s="20" t="s">
        <v>23</v>
      </c>
      <c r="C73" s="160"/>
      <c r="D73" s="64"/>
      <c r="E73" s="54">
        <f ca="1">E40+I40+M40</f>
        <v>-96.028229999999979</v>
      </c>
      <c r="F73" s="55"/>
      <c r="G73" s="83"/>
      <c r="H73" s="83"/>
      <c r="I73" s="56">
        <f ca="1">IF(#REF!=1,0,E40+I40+M40+Q40+U40+Y40)</f>
        <v>78.227270000000033</v>
      </c>
      <c r="J73" s="55"/>
      <c r="K73" s="83"/>
      <c r="L73" s="83"/>
      <c r="M73" s="54">
        <f ca="1">IF(OR(#REF!=1,#REF!=2),0,E40+I40+M40+Q40+U40+Y40+AC40+AG40+AK40)</f>
        <v>0</v>
      </c>
      <c r="N73" s="55"/>
      <c r="O73" s="83"/>
      <c r="P73" s="83"/>
      <c r="Q73" s="56">
        <f ca="1">IF(OR(#REF!=1,#REF!=2,#REF!=3),0,E40+I40+M40+Q40+U40+Y40+AC40+AG40+AK40+AO40+AS40+AW40)</f>
        <v>0</v>
      </c>
      <c r="R73" s="55"/>
      <c r="S73" s="83"/>
      <c r="T73" s="83"/>
      <c r="U73" s="1"/>
      <c r="V73" s="1"/>
      <c r="W73" s="83"/>
      <c r="X73" s="83"/>
      <c r="Y73" s="1"/>
      <c r="Z73" s="1"/>
      <c r="AA73" s="83"/>
      <c r="AB73" s="1"/>
      <c r="AC73" s="1"/>
      <c r="AD73" s="1"/>
      <c r="AE73" s="83"/>
      <c r="AF73" s="83"/>
      <c r="AG73" s="1"/>
      <c r="AH73" s="1"/>
      <c r="AI73" s="83"/>
      <c r="AJ73" s="83"/>
      <c r="AK73" s="1"/>
      <c r="AL73" s="1"/>
      <c r="AM73" s="83"/>
      <c r="AN73" s="83"/>
      <c r="AO73" s="1"/>
      <c r="AP73" s="1"/>
      <c r="AQ73" s="83"/>
      <c r="AR73" s="83"/>
      <c r="AS73" s="1"/>
      <c r="AT73" s="1"/>
      <c r="AU73" s="83"/>
      <c r="AV73" s="83"/>
      <c r="AW73" s="1"/>
      <c r="AX73" s="1"/>
    </row>
    <row r="74" spans="2:50">
      <c r="B74" s="33"/>
      <c r="C74" s="33"/>
      <c r="D74" s="33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1"/>
      <c r="V74" s="1"/>
      <c r="W74" s="34"/>
      <c r="X74" s="34"/>
      <c r="Y74" s="1"/>
      <c r="Z74" s="1"/>
      <c r="AA74" s="34"/>
      <c r="AB74" s="1"/>
      <c r="AC74" s="1"/>
      <c r="AD74" s="1"/>
      <c r="AE74" s="34"/>
      <c r="AF74" s="34"/>
      <c r="AG74" s="1"/>
      <c r="AH74" s="1"/>
      <c r="AI74" s="34"/>
      <c r="AJ74" s="34"/>
      <c r="AK74" s="1"/>
      <c r="AL74" s="1"/>
      <c r="AM74" s="34"/>
      <c r="AN74" s="34"/>
      <c r="AO74" s="1"/>
      <c r="AP74" s="1"/>
      <c r="AQ74" s="34"/>
      <c r="AR74" s="34"/>
      <c r="AS74" s="1"/>
      <c r="AT74" s="1"/>
      <c r="AU74" s="34"/>
      <c r="AV74" s="34"/>
      <c r="AW74" s="1"/>
      <c r="AX74" s="1"/>
    </row>
    <row r="75" spans="2:50">
      <c r="B75" s="15" t="s">
        <v>24</v>
      </c>
      <c r="C75" s="76"/>
      <c r="D75" s="76"/>
      <c r="E75" s="57">
        <f ca="1">(1+E42)*(1+I42)*(1+M42)-1</f>
        <v>-8.8005771359848106E-3</v>
      </c>
      <c r="F75" s="48">
        <f t="shared" ref="F75:F76" ca="1" si="18">(F42+J42+N42)/3</f>
        <v>1</v>
      </c>
      <c r="I75" s="58">
        <f ca="1">IF(#REF!=1,0,(1+E42)*(1+I42)*(1+M42)*(1+Q42)*(1+U42)*(1+Y42)-1)</f>
        <v>6.5570150377114444E-3</v>
      </c>
      <c r="J75" s="49">
        <f ca="1">IF(#REF!=1,0,(F42+J42+N42+R42+V42+Z42)/6)</f>
        <v>1</v>
      </c>
      <c r="M75" s="57">
        <f ca="1">IF(OR(#REF!=1,#REF!=2),0,(1+E42)*(1+I42)*(1+M42)*(1+Q42)*(1+U42)*(1+Y42)*(1+AC42)*(1+AG42)*(1+AK42)-1)</f>
        <v>0</v>
      </c>
      <c r="N75" s="48">
        <f ca="1">IF(OR(#REF!=1,#REF!=2),0,(F42+J42+N42+R42+V42+Z42+AD42+AH42+AL42)/9)</f>
        <v>0</v>
      </c>
      <c r="Q75" s="58">
        <f ca="1">IF(OR(#REF!=1,#REF!=2,#REF!=3),0,(1+E42)*(1+I42)*(1+M42)*(1+Q42)*(1+U42)*(1+Y42)*(1+AC42)*(1+AG42)*(1+AK42)*(1+AO42)*(1+AS42)*(1+AW42)-1)</f>
        <v>0</v>
      </c>
      <c r="R75" s="49">
        <f ca="1">IF(OR(#REF!=1,#REF!=2,#REF!=3),0,(F42+J42+N42+R42+V42+Z42+AD42+AH42+AL42+AP42+AT42+AX42)/12)</f>
        <v>0</v>
      </c>
      <c r="S75" s="84"/>
      <c r="T75" s="84"/>
      <c r="U75" s="59"/>
      <c r="V75" s="1"/>
      <c r="W75" s="84"/>
      <c r="X75" s="84"/>
      <c r="Y75" s="1"/>
      <c r="Z75" s="1"/>
      <c r="AA75" s="84"/>
      <c r="AB75" s="1"/>
      <c r="AC75" s="1"/>
      <c r="AD75" s="1"/>
      <c r="AE75" s="84"/>
      <c r="AF75" s="84"/>
      <c r="AG75" s="1"/>
      <c r="AH75" s="1"/>
      <c r="AI75" s="84"/>
      <c r="AJ75" s="84"/>
      <c r="AK75" s="1"/>
      <c r="AL75" s="1"/>
      <c r="AM75" s="84"/>
      <c r="AN75" s="84"/>
      <c r="AO75" s="1"/>
      <c r="AP75" s="1"/>
      <c r="AQ75" s="84"/>
      <c r="AR75" s="84"/>
      <c r="AS75" s="1"/>
      <c r="AT75" s="1"/>
      <c r="AU75" s="84"/>
      <c r="AV75" s="84"/>
      <c r="AW75" s="1"/>
      <c r="AX75" s="1"/>
    </row>
    <row r="76" spans="2:50">
      <c r="B76" s="19" t="s">
        <v>25</v>
      </c>
      <c r="C76" s="76"/>
      <c r="D76" s="76"/>
      <c r="E76" s="47">
        <f ca="1">E77-E75</f>
        <v>5.771359848100871E-7</v>
      </c>
      <c r="F76" s="48">
        <f t="shared" ca="1" si="18"/>
        <v>0</v>
      </c>
      <c r="I76" s="58">
        <f ca="1">I77-I75</f>
        <v>4.2984962288555514E-5</v>
      </c>
      <c r="J76" s="49">
        <f ca="1">IF(#REF!=1,0,(F43+J43+N43+R43+V43+Z43)/6)</f>
        <v>0</v>
      </c>
      <c r="M76" s="57">
        <f ca="1">M77-M75</f>
        <v>0</v>
      </c>
      <c r="N76" s="48">
        <f ca="1">IF(OR(#REF!=1,#REF!=2),0,(F43+J43+N43+R43+V43+Z43+AD43+AH43+AL43)/9)</f>
        <v>0</v>
      </c>
      <c r="Q76" s="58">
        <f ca="1">Q77-Q75</f>
        <v>0</v>
      </c>
      <c r="R76" s="49">
        <f ca="1">IF(OR(#REF!=1,#REF!=2,#REF!=3),0,(F43+J43+N43+R43+V43+Z43+AD43+AH43+AL43+AP43+AT43+AX43)/12)</f>
        <v>0</v>
      </c>
      <c r="S76" s="85"/>
      <c r="T76" s="85"/>
      <c r="U76" s="59"/>
      <c r="V76" s="1"/>
      <c r="W76" s="85"/>
      <c r="X76" s="85"/>
      <c r="Y76" s="1"/>
      <c r="Z76" s="1"/>
      <c r="AA76" s="85"/>
      <c r="AB76" s="1"/>
      <c r="AC76" s="1"/>
      <c r="AD76" s="1"/>
      <c r="AE76" s="85"/>
      <c r="AF76" s="85"/>
      <c r="AG76" s="1"/>
      <c r="AH76" s="1"/>
      <c r="AI76" s="85"/>
      <c r="AJ76" s="85"/>
      <c r="AK76" s="1"/>
      <c r="AL76" s="1"/>
      <c r="AM76" s="85"/>
      <c r="AN76" s="85"/>
      <c r="AO76" s="1"/>
      <c r="AP76" s="1"/>
      <c r="AQ76" s="85"/>
      <c r="AR76" s="85"/>
      <c r="AS76" s="1"/>
      <c r="AT76" s="1"/>
      <c r="AU76" s="85"/>
      <c r="AV76" s="85"/>
      <c r="AW76" s="1"/>
      <c r="AX76" s="1"/>
    </row>
    <row r="77" spans="2:50">
      <c r="B77" s="20" t="s">
        <v>29</v>
      </c>
      <c r="C77" s="76"/>
      <c r="D77" s="76"/>
      <c r="E77" s="50">
        <f ca="1">E72</f>
        <v>-8.8000000000000005E-3</v>
      </c>
      <c r="F77" s="51">
        <f ca="1">SUM(F75:F76)</f>
        <v>1</v>
      </c>
      <c r="I77" s="52">
        <f ca="1">I72</f>
        <v>6.6E-3</v>
      </c>
      <c r="J77" s="53">
        <f ca="1">SUM(J75:J76)</f>
        <v>1</v>
      </c>
      <c r="M77" s="50">
        <f ca="1">M72</f>
        <v>0</v>
      </c>
      <c r="N77" s="51">
        <f ca="1">SUM(N75:N76)</f>
        <v>0</v>
      </c>
      <c r="Q77" s="52">
        <f ca="1">Q72</f>
        <v>0</v>
      </c>
      <c r="R77" s="53">
        <f ca="1">SUM(R75:R76)</f>
        <v>0</v>
      </c>
      <c r="S77" s="82"/>
      <c r="T77" s="82"/>
      <c r="U77" s="59"/>
      <c r="V77" s="1"/>
      <c r="W77" s="82"/>
      <c r="X77" s="82"/>
      <c r="Y77" s="1"/>
      <c r="Z77" s="1"/>
      <c r="AA77" s="82"/>
      <c r="AB77" s="1"/>
      <c r="AC77" s="1"/>
      <c r="AD77" s="1"/>
      <c r="AE77" s="82"/>
      <c r="AF77" s="82"/>
      <c r="AG77" s="1"/>
      <c r="AH77" s="1"/>
      <c r="AI77" s="82"/>
      <c r="AJ77" s="82"/>
      <c r="AK77" s="1"/>
      <c r="AL77" s="1"/>
      <c r="AM77" s="82"/>
      <c r="AN77" s="82"/>
      <c r="AO77" s="1"/>
      <c r="AP77" s="1"/>
      <c r="AQ77" s="82"/>
      <c r="AR77" s="82"/>
      <c r="AS77" s="1"/>
      <c r="AT77" s="1"/>
      <c r="AU77" s="82"/>
      <c r="AV77" s="82"/>
      <c r="AW77" s="1"/>
      <c r="AX77" s="1"/>
    </row>
    <row r="78" spans="2:50">
      <c r="B78" s="33"/>
      <c r="C78" s="76"/>
      <c r="D78" s="76"/>
      <c r="E78" s="60"/>
      <c r="F78" s="60"/>
      <c r="I78" s="60"/>
      <c r="J78" s="60"/>
      <c r="M78" s="60"/>
      <c r="N78" s="60"/>
      <c r="Q78" s="60"/>
      <c r="R78" s="60"/>
      <c r="S78" s="60"/>
      <c r="T78" s="60"/>
      <c r="U78" s="59"/>
      <c r="V78" s="1"/>
      <c r="W78" s="60"/>
      <c r="X78" s="60"/>
      <c r="Y78" s="1"/>
      <c r="Z78" s="1"/>
      <c r="AA78" s="60"/>
      <c r="AB78" s="1"/>
      <c r="AC78" s="1"/>
      <c r="AD78" s="1"/>
      <c r="AE78" s="60"/>
      <c r="AF78" s="60"/>
      <c r="AG78" s="1"/>
      <c r="AH78" s="1"/>
      <c r="AI78" s="60"/>
      <c r="AJ78" s="60"/>
      <c r="AK78" s="1"/>
      <c r="AL78" s="1"/>
      <c r="AM78" s="60"/>
      <c r="AN78" s="60"/>
      <c r="AO78" s="1"/>
      <c r="AP78" s="1"/>
      <c r="AQ78" s="60"/>
      <c r="AR78" s="60"/>
      <c r="AS78" s="1"/>
      <c r="AT78" s="1"/>
      <c r="AU78" s="60"/>
      <c r="AV78" s="60"/>
      <c r="AW78" s="1"/>
      <c r="AX78" s="1"/>
    </row>
    <row r="79" spans="2:50">
      <c r="B79" s="15" t="s">
        <v>26</v>
      </c>
      <c r="C79" s="76"/>
      <c r="D79" s="76"/>
      <c r="E79" s="57">
        <f ca="1">(1+E46)*(1+I46)*(1+M46)-1</f>
        <v>-8.8005771359848106E-3</v>
      </c>
      <c r="F79" s="48">
        <f t="shared" ref="F79:F80" ca="1" si="19">(F46+J46+N46)/3</f>
        <v>1</v>
      </c>
      <c r="I79" s="58">
        <f ca="1">IF(#REF!=1,0,(1+E46)*(1+I46)*(1+M46)*(1+Q46)*(1+U46)*(1+Y46)-1)</f>
        <v>6.5570150377114444E-3</v>
      </c>
      <c r="J79" s="49">
        <f ca="1">IF(#REF!=1,0,(F46+J46+N46+R46+V46+Z46)/6)</f>
        <v>1</v>
      </c>
      <c r="M79" s="57">
        <f ca="1">IF(OR(#REF!=1,#REF!=2),0,(1+E46)*(1+I46)*(1+M46)*(1+Q46)*(1+U46)*(1+Y46)*(1+AC46)*(1+AG46)*(1+AK46)-1)</f>
        <v>0</v>
      </c>
      <c r="N79" s="48">
        <f ca="1">IF(OR(#REF!=1,#REF!=2),0,(F46+J46+N46+R46+V46+Z46+AD46+AH46+AL46)/9)</f>
        <v>0</v>
      </c>
      <c r="Q79" s="58">
        <f ca="1">IF(OR(#REF!=1,#REF!=2,#REF!=3),0,(1+E46)*(1+I46)*(1+M46)*(1+Q46)*(1+U46)*(1+Y46)*(1+AC46)*(1+AG46)*(1+AK46)*(1+AO46)*(1+AS46)*(1+AW46)-1)</f>
        <v>0</v>
      </c>
      <c r="R79" s="49">
        <f ca="1">IF(OR(#REF!=1,#REF!=2,#REF!=3),0,(F46+J46+N46+R46+V46+Z46+AD46+AH46+AL46+AP46+AT46+AX46)/12)</f>
        <v>0</v>
      </c>
      <c r="S79" s="84"/>
      <c r="T79" s="84"/>
      <c r="U79" s="59"/>
      <c r="V79" s="1"/>
      <c r="W79" s="84"/>
      <c r="X79" s="84"/>
      <c r="Y79" s="1"/>
      <c r="Z79" s="1"/>
      <c r="AA79" s="84"/>
      <c r="AB79" s="1"/>
      <c r="AC79" s="1"/>
      <c r="AD79" s="1"/>
      <c r="AE79" s="84"/>
      <c r="AF79" s="84"/>
      <c r="AG79" s="1"/>
      <c r="AH79" s="1"/>
      <c r="AI79" s="84"/>
      <c r="AJ79" s="84"/>
      <c r="AK79" s="1"/>
      <c r="AL79" s="1"/>
      <c r="AM79" s="84"/>
      <c r="AN79" s="84"/>
      <c r="AO79" s="1"/>
      <c r="AP79" s="1"/>
      <c r="AQ79" s="84"/>
      <c r="AR79" s="84"/>
      <c r="AS79" s="1"/>
      <c r="AT79" s="1"/>
      <c r="AU79" s="84"/>
      <c r="AV79" s="84"/>
      <c r="AW79" s="1"/>
      <c r="AX79" s="1"/>
    </row>
    <row r="80" spans="2:50">
      <c r="B80" s="19" t="s">
        <v>27</v>
      </c>
      <c r="C80" s="76"/>
      <c r="D80" s="76"/>
      <c r="E80" s="57">
        <f ca="1">E81-E79</f>
        <v>5.771359848100871E-7</v>
      </c>
      <c r="F80" s="48">
        <f t="shared" ca="1" si="19"/>
        <v>0</v>
      </c>
      <c r="I80" s="58">
        <f ca="1">I81-I79</f>
        <v>4.2984962288555514E-5</v>
      </c>
      <c r="J80" s="49">
        <f ca="1">IF(#REF!=1,0,(F47+J47+N47+R47+V47+Z47)/6)</f>
        <v>0</v>
      </c>
      <c r="M80" s="57">
        <f ca="1">M81-M79</f>
        <v>0</v>
      </c>
      <c r="N80" s="48">
        <f ca="1">IF(OR(#REF!=1,#REF!=2),0,(F47+J47+N47+R47+V47+Z47+AD47+AH47+AL47)/9)</f>
        <v>0</v>
      </c>
      <c r="Q80" s="58">
        <f ca="1">Q81-Q79</f>
        <v>0</v>
      </c>
      <c r="R80" s="49">
        <f ca="1">IF(OR(#REF!=1,#REF!=2,#REF!=3),0,(F47+J47+N47+R47+V47+Z47+AD47+AH47+AL47+AP47+AT47+AX47)/12)</f>
        <v>0</v>
      </c>
      <c r="S80" s="80"/>
      <c r="T80" s="80"/>
      <c r="U80" s="59"/>
      <c r="V80" s="1"/>
      <c r="W80" s="80"/>
      <c r="X80" s="80"/>
      <c r="Y80" s="1"/>
      <c r="Z80" s="1"/>
      <c r="AA80" s="80"/>
      <c r="AB80" s="1"/>
      <c r="AC80" s="1"/>
      <c r="AD80" s="1"/>
      <c r="AE80" s="80"/>
      <c r="AF80" s="80"/>
      <c r="AG80" s="1"/>
      <c r="AH80" s="1"/>
      <c r="AI80" s="80"/>
      <c r="AJ80" s="80"/>
      <c r="AK80" s="1"/>
      <c r="AL80" s="1"/>
      <c r="AM80" s="80"/>
      <c r="AN80" s="80"/>
      <c r="AO80" s="1"/>
      <c r="AP80" s="1"/>
      <c r="AQ80" s="80"/>
      <c r="AR80" s="80"/>
      <c r="AS80" s="1"/>
      <c r="AT80" s="1"/>
      <c r="AU80" s="80"/>
      <c r="AV80" s="80"/>
      <c r="AW80" s="1"/>
      <c r="AX80" s="1"/>
    </row>
    <row r="81" spans="2:50">
      <c r="B81" s="20" t="s">
        <v>29</v>
      </c>
      <c r="C81" s="76"/>
      <c r="D81" s="76"/>
      <c r="E81" s="50">
        <f ca="1">E72</f>
        <v>-8.8000000000000005E-3</v>
      </c>
      <c r="F81" s="51">
        <f ca="1">SUM(F79:F80)</f>
        <v>1</v>
      </c>
      <c r="I81" s="52">
        <f ca="1">I72</f>
        <v>6.6E-3</v>
      </c>
      <c r="J81" s="53">
        <f ca="1">SUM(J79:J80)</f>
        <v>1</v>
      </c>
      <c r="M81" s="50">
        <f ca="1">M72</f>
        <v>0</v>
      </c>
      <c r="N81" s="51">
        <f ca="1">SUM(N79:N80)</f>
        <v>0</v>
      </c>
      <c r="Q81" s="52">
        <f ca="1">Q72</f>
        <v>0</v>
      </c>
      <c r="R81" s="53">
        <f ca="1">SUM(R79:R80)</f>
        <v>0</v>
      </c>
      <c r="S81" s="82"/>
      <c r="T81" s="82"/>
      <c r="U81" s="59"/>
      <c r="V81" s="1"/>
      <c r="W81" s="82"/>
      <c r="X81" s="82"/>
      <c r="Y81" s="1"/>
      <c r="Z81" s="1"/>
      <c r="AA81" s="82"/>
      <c r="AB81" s="1"/>
      <c r="AC81" s="1"/>
      <c r="AD81" s="1"/>
      <c r="AE81" s="82"/>
      <c r="AF81" s="82"/>
      <c r="AG81" s="1"/>
      <c r="AH81" s="1"/>
      <c r="AI81" s="82"/>
      <c r="AJ81" s="82"/>
      <c r="AK81" s="1"/>
      <c r="AL81" s="1"/>
      <c r="AM81" s="82"/>
      <c r="AN81" s="82"/>
      <c r="AO81" s="1"/>
      <c r="AP81" s="1"/>
      <c r="AQ81" s="82"/>
      <c r="AR81" s="82"/>
      <c r="AS81" s="1"/>
      <c r="AT81" s="1"/>
      <c r="AU81" s="82"/>
      <c r="AV81" s="82"/>
      <c r="AW81" s="1"/>
      <c r="AX81" s="1"/>
    </row>
    <row r="84" spans="2:50" ht="18">
      <c r="B84" s="221" t="s">
        <v>78</v>
      </c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127"/>
      <c r="AB84"/>
      <c r="AE84"/>
      <c r="AF84"/>
      <c r="AI84"/>
      <c r="AJ84"/>
      <c r="AM84"/>
      <c r="AN84"/>
      <c r="AQ84"/>
      <c r="AR84"/>
      <c r="AU84"/>
      <c r="AV84"/>
    </row>
    <row r="85" spans="2:50" ht="15.75" hidden="1" outlineLevel="1" thickBot="1">
      <c r="B85" s="113"/>
      <c r="C85" s="113"/>
      <c r="D85" s="113"/>
      <c r="E85" s="206" t="str">
        <f ca="1">"ינואר"&amp;" "&amp;$I$2</f>
        <v>ינואר 2023</v>
      </c>
      <c r="F85" s="207" t="str">
        <f ca="1">"פברואר"&amp;" "&amp;$I$2</f>
        <v>פברואר 2023</v>
      </c>
      <c r="G85" s="113"/>
      <c r="H85" s="113"/>
      <c r="I85" s="206" t="str">
        <f ca="1">"מרץ"&amp;" "&amp;$I$2</f>
        <v>מרץ 2023</v>
      </c>
      <c r="J85" s="207" t="str">
        <f ca="1">"אפריל"&amp;" "&amp;$I$2</f>
        <v>אפריל 2023</v>
      </c>
      <c r="K85" s="113"/>
      <c r="L85" s="113"/>
      <c r="M85" s="206" t="str">
        <f ca="1">"מאי"&amp;" "&amp;$I$2</f>
        <v>מאי 2023</v>
      </c>
      <c r="N85" s="207" t="str">
        <f ca="1">"יוני"&amp;" "&amp;$I$2</f>
        <v>יוני 2023</v>
      </c>
      <c r="O85" s="113"/>
      <c r="P85" s="113"/>
      <c r="Q85" s="206" t="str">
        <f ca="1">"יולי"&amp;" "&amp;$I$2</f>
        <v>יולי 2023</v>
      </c>
      <c r="R85" s="207" t="str">
        <f ca="1">"אוגוסט"&amp;" "&amp;$I$2</f>
        <v>אוגוסט 2023</v>
      </c>
      <c r="S85" s="113"/>
      <c r="T85" s="113"/>
      <c r="U85" s="206" t="str">
        <f ca="1">"ספטמבר"&amp;" "&amp;$I$2</f>
        <v>ספטמבר 2023</v>
      </c>
      <c r="V85" s="207" t="str">
        <f ca="1">"אוקטובר"&amp;" "&amp;$I$2</f>
        <v>אוקטובר 2023</v>
      </c>
      <c r="W85" s="113"/>
      <c r="X85" s="113"/>
      <c r="Y85" s="206" t="str">
        <f ca="1">"נובמבר"&amp;" "&amp;$I$2</f>
        <v>נובמבר 2023</v>
      </c>
      <c r="Z85" s="207" t="str">
        <f ca="1">"דצמבר"&amp;" "&amp;$I$2</f>
        <v>דצמבר 2023</v>
      </c>
      <c r="AA85" s="113"/>
      <c r="AB85"/>
      <c r="AE85"/>
      <c r="AF85"/>
      <c r="AI85"/>
      <c r="AJ85"/>
      <c r="AM85"/>
      <c r="AN85"/>
      <c r="AQ85"/>
      <c r="AR85"/>
      <c r="AU85"/>
      <c r="AV85"/>
    </row>
    <row r="86" spans="2:50" ht="16.5" hidden="1" outlineLevel="1" thickBot="1">
      <c r="B86" s="131" t="s">
        <v>84</v>
      </c>
      <c r="C86" s="113"/>
      <c r="D86" s="113"/>
      <c r="G86" s="113"/>
      <c r="H86" s="113"/>
      <c r="K86" s="113"/>
      <c r="L86" s="113"/>
      <c r="O86" s="113"/>
      <c r="P86" s="113"/>
      <c r="S86" s="113"/>
      <c r="T86" s="113"/>
      <c r="W86" s="113"/>
      <c r="X86" s="113"/>
      <c r="AA86" s="113"/>
      <c r="AB86"/>
      <c r="AE86"/>
      <c r="AF86"/>
      <c r="AI86"/>
      <c r="AJ86"/>
      <c r="AM86"/>
      <c r="AN86"/>
      <c r="AQ86"/>
      <c r="AR86"/>
      <c r="AU86"/>
      <c r="AV86"/>
    </row>
    <row r="87" spans="2:50" ht="15.75" hidden="1" outlineLevel="2" thickBot="1">
      <c r="B87" s="118" t="s">
        <v>76</v>
      </c>
      <c r="C87" s="113"/>
      <c r="D87" s="113"/>
      <c r="E87" s="112">
        <f ca="1">SUM(D20:D38)/1000</f>
        <v>128.667</v>
      </c>
      <c r="F87" s="112">
        <f ca="1">SUM(H20:H38)/1000</f>
        <v>-334.60899999999998</v>
      </c>
      <c r="G87" s="113"/>
      <c r="H87" s="113"/>
      <c r="I87" s="112">
        <f ca="1">SUM(L20:L38)/1000</f>
        <v>109.91377</v>
      </c>
      <c r="J87" s="112">
        <f ca="1">SUM(P20:P38)/1000</f>
        <v>60.8005</v>
      </c>
      <c r="K87" s="113"/>
      <c r="L87" s="113"/>
      <c r="M87" s="112">
        <f ca="1">SUM(T20:T38)/1000</f>
        <v>56.249000000000002</v>
      </c>
      <c r="N87" s="112">
        <f ca="1">SUM(X20:X38)/1000</f>
        <v>57.206000000000003</v>
      </c>
      <c r="O87" s="113"/>
      <c r="P87" s="113"/>
      <c r="Q87" s="112">
        <f ca="1">SUM(AB20:AB38)/1000</f>
        <v>0</v>
      </c>
      <c r="R87" s="112">
        <f ca="1">SUM(AF20:AF38)/1000</f>
        <v>0</v>
      </c>
      <c r="S87" s="113"/>
      <c r="T87" s="113"/>
      <c r="U87" s="112">
        <f ca="1">SUM(AJ20:AJ38)/1000</f>
        <v>0</v>
      </c>
      <c r="V87" s="112">
        <f ca="1">SUM(AN20:AN38)/1000</f>
        <v>0</v>
      </c>
      <c r="W87" s="113"/>
      <c r="X87" s="113"/>
      <c r="Y87" s="112">
        <f ca="1">SUM(AR20:AR38)/1000</f>
        <v>0</v>
      </c>
      <c r="Z87" s="112">
        <f ca="1">SUM(AV20:AV38)/1000</f>
        <v>0</v>
      </c>
      <c r="AA87" s="113"/>
      <c r="AB87"/>
      <c r="AE87"/>
      <c r="AF87"/>
      <c r="AI87"/>
      <c r="AJ87"/>
      <c r="AM87"/>
      <c r="AN87"/>
      <c r="AQ87"/>
      <c r="AR87"/>
      <c r="AU87"/>
      <c r="AV87"/>
    </row>
    <row r="88" spans="2:50" hidden="1" outlineLevel="2">
      <c r="B88" s="118" t="s">
        <v>132</v>
      </c>
      <c r="C88" s="113"/>
      <c r="D88" s="113"/>
      <c r="E88" s="116">
        <f ca="1">E40</f>
        <v>128.667</v>
      </c>
      <c r="F88" s="116">
        <f ca="1">I40</f>
        <v>-334.60899999999998</v>
      </c>
      <c r="G88" s="113"/>
      <c r="H88" s="113"/>
      <c r="I88" s="116">
        <f ca="1">M40</f>
        <v>109.91377</v>
      </c>
      <c r="J88" s="116">
        <f ca="1">Q40</f>
        <v>60.8005</v>
      </c>
      <c r="K88" s="113"/>
      <c r="L88" s="113"/>
      <c r="M88" s="116">
        <f ca="1">U40</f>
        <v>56.249000000000002</v>
      </c>
      <c r="N88" s="116">
        <f ca="1">Y40</f>
        <v>57.206000000000003</v>
      </c>
      <c r="O88" s="113"/>
      <c r="P88" s="113"/>
      <c r="Q88" s="116">
        <f ca="1">AC40</f>
        <v>0</v>
      </c>
      <c r="R88" s="116">
        <f ca="1">AG40</f>
        <v>0</v>
      </c>
      <c r="S88" s="113"/>
      <c r="T88" s="113"/>
      <c r="U88" s="116">
        <f ca="1">AK40</f>
        <v>0</v>
      </c>
      <c r="V88" s="116">
        <f ca="1">AO40</f>
        <v>0</v>
      </c>
      <c r="W88" s="113"/>
      <c r="X88" s="113"/>
      <c r="Y88" s="116">
        <f ca="1">AS40</f>
        <v>0</v>
      </c>
      <c r="Z88" s="116">
        <f ca="1">AW40</f>
        <v>0</v>
      </c>
      <c r="AA88" s="113"/>
      <c r="AB88"/>
      <c r="AE88"/>
      <c r="AF88"/>
      <c r="AI88"/>
      <c r="AJ88"/>
      <c r="AM88"/>
      <c r="AN88"/>
      <c r="AQ88"/>
      <c r="AR88"/>
      <c r="AU88"/>
      <c r="AV88"/>
    </row>
    <row r="89" spans="2:50" ht="15.75" hidden="1" outlineLevel="2" thickBot="1">
      <c r="B89" s="105" t="s">
        <v>153</v>
      </c>
      <c r="C89" s="113"/>
      <c r="D89" s="113"/>
      <c r="E89" s="109">
        <f ca="1">IFERROR(ABS(E88/E87-1),0)</f>
        <v>0</v>
      </c>
      <c r="F89" s="109">
        <f ca="1">IFERROR(ABS(F88/F87-1),0)</f>
        <v>0</v>
      </c>
      <c r="G89" s="113"/>
      <c r="H89" s="113"/>
      <c r="I89" s="109">
        <f ca="1">IFERROR(ABS(I88/I87-1),0)</f>
        <v>0</v>
      </c>
      <c r="J89" s="109">
        <f ca="1">IFERROR(ABS(J88/J87-1),0)</f>
        <v>0</v>
      </c>
      <c r="K89" s="113"/>
      <c r="L89" s="113"/>
      <c r="M89" s="109">
        <f ca="1">IFERROR(ABS(M88/M87-1),0)</f>
        <v>0</v>
      </c>
      <c r="N89" s="109">
        <f ca="1">IFERROR(ABS(N88/N87-1),0)</f>
        <v>0</v>
      </c>
      <c r="O89" s="113"/>
      <c r="P89" s="113"/>
      <c r="Q89" s="109">
        <f ca="1">IFERROR(ABS(Q88/Q87-1),0)</f>
        <v>0</v>
      </c>
      <c r="R89" s="109">
        <f ca="1">IFERROR(ABS(R88/R87-1),0)</f>
        <v>0</v>
      </c>
      <c r="S89" s="113"/>
      <c r="T89" s="113"/>
      <c r="U89" s="109">
        <f ca="1">IFERROR(ABS(U88/U87-1),0)</f>
        <v>0</v>
      </c>
      <c r="V89" s="109">
        <f ca="1">IFERROR(ABS(V88/V87-1),0)</f>
        <v>0</v>
      </c>
      <c r="W89" s="113"/>
      <c r="X89" s="113"/>
      <c r="Y89" s="109">
        <f ca="1">IFERROR(ABS(Y88/Y87-1),0)</f>
        <v>0</v>
      </c>
      <c r="Z89" s="109">
        <f ca="1">IFERROR(ABS(Z88/Z87-1),0)</f>
        <v>0</v>
      </c>
      <c r="AA89" s="113"/>
      <c r="AB89"/>
      <c r="AE89"/>
      <c r="AF89"/>
      <c r="AI89"/>
      <c r="AJ89"/>
      <c r="AM89"/>
      <c r="AN89"/>
      <c r="AQ89"/>
      <c r="AR89"/>
      <c r="AU89"/>
      <c r="AV89"/>
    </row>
    <row r="90" spans="2:50" ht="15.75" hidden="1" outlineLevel="1" thickBot="1">
      <c r="B90" s="106" t="s">
        <v>77</v>
      </c>
      <c r="C90" s="113"/>
      <c r="D90" s="113"/>
      <c r="E90" s="182">
        <f ca="1">IF(E89&lt;#REF!,0,1)</f>
        <v>0</v>
      </c>
      <c r="F90" s="182">
        <f ca="1">IF(F89&lt;#REF!,0,1)</f>
        <v>0</v>
      </c>
      <c r="G90" s="113"/>
      <c r="H90" s="113"/>
      <c r="I90" s="182">
        <f ca="1">IF(I89&lt;#REF!,0,1)</f>
        <v>0</v>
      </c>
      <c r="J90" s="182">
        <f ca="1">ABS(IF(J89&lt;#REF!,0,1))</f>
        <v>0</v>
      </c>
      <c r="K90" s="113"/>
      <c r="L90" s="113"/>
      <c r="M90" s="182">
        <f ca="1">ABS(IF(M89&lt;#REF!,0,1))</f>
        <v>0</v>
      </c>
      <c r="N90" s="182">
        <f ca="1">ABS(IF(N89&lt;#REF!,0,1))</f>
        <v>0</v>
      </c>
      <c r="O90" s="113"/>
      <c r="P90" s="113"/>
      <c r="Q90" s="182">
        <f ca="1">ABS(IF(Q89&lt;#REF!,0,1))</f>
        <v>0</v>
      </c>
      <c r="R90" s="182">
        <f ca="1">ABS(IF(R89&lt;#REF!,0,1))</f>
        <v>0</v>
      </c>
      <c r="S90" s="113"/>
      <c r="T90" s="113"/>
      <c r="U90" s="182">
        <f ca="1">ABS(IF(U89&lt;#REF!,0,1))</f>
        <v>0</v>
      </c>
      <c r="V90" s="182">
        <f ca="1">ABS(IF(V89&lt;#REF!,0,1))</f>
        <v>0</v>
      </c>
      <c r="W90" s="113"/>
      <c r="X90" s="113"/>
      <c r="Y90" s="182">
        <f ca="1">ABS(IF(Y89&lt;#REF!,0,1))</f>
        <v>0</v>
      </c>
      <c r="Z90" s="182">
        <f ca="1">ABS(IF(Z89&lt;#REF!,0,1))</f>
        <v>0</v>
      </c>
      <c r="AA90" s="113"/>
      <c r="AB90"/>
      <c r="AE90"/>
      <c r="AF90"/>
      <c r="AI90"/>
      <c r="AJ90"/>
      <c r="AM90"/>
      <c r="AN90"/>
      <c r="AQ90"/>
      <c r="AR90"/>
      <c r="AU90"/>
      <c r="AV90"/>
    </row>
    <row r="91" spans="2:50" hidden="1" outlineLevel="1"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/>
      <c r="AE91"/>
      <c r="AF91"/>
      <c r="AI91"/>
      <c r="AJ91"/>
      <c r="AM91"/>
      <c r="AN91"/>
      <c r="AQ91"/>
      <c r="AR91"/>
      <c r="AU91"/>
      <c r="AV91"/>
    </row>
    <row r="92" spans="2:50" ht="32.25" hidden="1" outlineLevel="1" thickBot="1">
      <c r="B92" s="132" t="s">
        <v>85</v>
      </c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/>
      <c r="AE92"/>
      <c r="AF92"/>
      <c r="AI92"/>
      <c r="AJ92"/>
      <c r="AM92"/>
      <c r="AN92"/>
      <c r="AQ92"/>
      <c r="AR92"/>
      <c r="AU92"/>
      <c r="AV92"/>
    </row>
    <row r="93" spans="2:50" hidden="1" outlineLevel="2">
      <c r="B93" s="120" t="s">
        <v>81</v>
      </c>
      <c r="C93" s="113"/>
      <c r="D93" s="113"/>
      <c r="E93" s="123">
        <f ca="1">(C40*#REF!)/1000</f>
        <v>0</v>
      </c>
      <c r="F93" s="123">
        <f ca="1">(G40*#REF!)/1000</f>
        <v>0</v>
      </c>
      <c r="G93" s="113"/>
      <c r="H93" s="113"/>
      <c r="I93" s="123">
        <f ca="1">(K40*#REF!)/1000</f>
        <v>0</v>
      </c>
      <c r="J93" s="123">
        <f ca="1">(O40*#REF!)/1000</f>
        <v>0</v>
      </c>
      <c r="K93" s="113"/>
      <c r="L93" s="113"/>
      <c r="M93" s="123">
        <f ca="1">(S40*#REF!)/1000</f>
        <v>0</v>
      </c>
      <c r="N93" s="123">
        <f ca="1">(W40*#REF!)/1000</f>
        <v>0</v>
      </c>
      <c r="O93" s="113"/>
      <c r="P93" s="113"/>
      <c r="Q93" s="123">
        <f ca="1">(AA40*#REF!)/1000</f>
        <v>0</v>
      </c>
      <c r="R93" s="123">
        <f ca="1">(AE40*#REF!)/1000</f>
        <v>0</v>
      </c>
      <c r="S93" s="113"/>
      <c r="T93" s="113"/>
      <c r="U93" s="123">
        <f ca="1">(AI40*#REF!)/1000</f>
        <v>0</v>
      </c>
      <c r="V93" s="123">
        <f ca="1">(AM40*#REF!)/1000</f>
        <v>0</v>
      </c>
      <c r="W93" s="113"/>
      <c r="X93" s="113"/>
      <c r="Y93" s="123">
        <f ca="1">(AQ40*#REF!)/1000</f>
        <v>0</v>
      </c>
      <c r="Z93" s="123">
        <f ca="1">(AU40*#REF!)/1000</f>
        <v>0</v>
      </c>
      <c r="AA93" s="113"/>
      <c r="AB93"/>
      <c r="AE93"/>
      <c r="AF93"/>
      <c r="AI93"/>
      <c r="AJ93"/>
      <c r="AM93"/>
      <c r="AN93"/>
      <c r="AQ93"/>
      <c r="AR93"/>
      <c r="AU93"/>
      <c r="AV93"/>
    </row>
    <row r="94" spans="2:50" ht="30.75" hidden="1" outlineLevel="2" thickBot="1">
      <c r="B94" s="119" t="s">
        <v>82</v>
      </c>
      <c r="C94" s="113"/>
      <c r="D94" s="113"/>
      <c r="E94" s="110">
        <f ca="1">ABS((SUM(D20:D38)/1000)-E40)</f>
        <v>0</v>
      </c>
      <c r="F94" s="110">
        <f ca="1">ABS((SUM(H20:H38)/1000)-I40)</f>
        <v>0</v>
      </c>
      <c r="G94" s="113"/>
      <c r="H94" s="113"/>
      <c r="I94" s="110">
        <f ca="1">ABS((SUM(L20:L38)/1000)-M40)</f>
        <v>0</v>
      </c>
      <c r="J94" s="110">
        <f ca="1">ABS((SUM(P20:P38)/1000)-Q40)</f>
        <v>0</v>
      </c>
      <c r="K94" s="113"/>
      <c r="L94" s="113"/>
      <c r="M94" s="110">
        <f ca="1">ABS((SUM(T20:T38)/1000)-U40)</f>
        <v>0</v>
      </c>
      <c r="N94" s="110">
        <f ca="1">ABS((SUM(X20:X38)/1000)-Y40)</f>
        <v>0</v>
      </c>
      <c r="O94" s="113"/>
      <c r="P94" s="113"/>
      <c r="Q94" s="110">
        <f ca="1">ABS((SUM(AB20:AB38)/1000)-AC40)</f>
        <v>0</v>
      </c>
      <c r="R94" s="110">
        <f ca="1">ABS((SUM(AF20:AF38)/1000)-AG40)</f>
        <v>0</v>
      </c>
      <c r="S94" s="113"/>
      <c r="T94" s="113"/>
      <c r="U94" s="110">
        <f ca="1">ABS((SUM(AJ20:AJ38)/1000)-AK40)</f>
        <v>0</v>
      </c>
      <c r="V94" s="110">
        <f ca="1">ABS((SUM(AN20:AN38)/1000)-AO40)</f>
        <v>0</v>
      </c>
      <c r="W94" s="113"/>
      <c r="X94" s="113"/>
      <c r="Y94" s="110">
        <f ca="1">ABS((SUM(AR20:AR38)/1000)-AS40)</f>
        <v>0</v>
      </c>
      <c r="Z94" s="110">
        <f ca="1">ABS((SUM(AV20:AV38)/1000)-AW40)</f>
        <v>0</v>
      </c>
      <c r="AA94" s="113"/>
      <c r="AB94"/>
      <c r="AE94"/>
      <c r="AF94"/>
      <c r="AI94"/>
      <c r="AJ94"/>
      <c r="AM94"/>
      <c r="AN94"/>
      <c r="AQ94"/>
      <c r="AR94"/>
      <c r="AU94"/>
      <c r="AV94"/>
    </row>
    <row r="95" spans="2:50" ht="15.75" hidden="1" outlineLevel="1" thickBot="1">
      <c r="B95" s="106" t="s">
        <v>77</v>
      </c>
      <c r="C95" s="113"/>
      <c r="D95" s="113"/>
      <c r="E95" s="182">
        <f ca="1">IF(E93&gt;E94,0,1)</f>
        <v>1</v>
      </c>
      <c r="F95" s="182">
        <f ca="1">IF(F93&gt;F94,0,1)</f>
        <v>1</v>
      </c>
      <c r="G95" s="113"/>
      <c r="H95" s="113"/>
      <c r="I95" s="182">
        <f ca="1">IF(I93&gt;I94,0,1)</f>
        <v>1</v>
      </c>
      <c r="J95" s="182">
        <f ca="1">IF(J93&gt;J94,0,1)</f>
        <v>1</v>
      </c>
      <c r="K95" s="113"/>
      <c r="L95" s="113"/>
      <c r="M95" s="182">
        <f ca="1">IF(M93&gt;M94,0,1)</f>
        <v>1</v>
      </c>
      <c r="N95" s="182">
        <f ca="1">IF(N93&gt;N94,0,1)</f>
        <v>1</v>
      </c>
      <c r="O95" s="113"/>
      <c r="P95" s="113"/>
      <c r="Q95" s="182">
        <f ca="1">IF(Q93&gt;Q94,0,1)</f>
        <v>1</v>
      </c>
      <c r="R95" s="182">
        <f ca="1">IF(R93&gt;R94,0,1)</f>
        <v>1</v>
      </c>
      <c r="S95" s="113"/>
      <c r="T95" s="113"/>
      <c r="U95" s="182">
        <f ca="1">IF(U93&gt;U94,0,1)</f>
        <v>1</v>
      </c>
      <c r="V95" s="182">
        <f ca="1">IF(V93&gt;V94,0,1)</f>
        <v>1</v>
      </c>
      <c r="W95" s="113"/>
      <c r="X95" s="113"/>
      <c r="Y95" s="182">
        <f ca="1">IF(Y93&gt;Y94,0,1)</f>
        <v>1</v>
      </c>
      <c r="Z95" s="182">
        <f ca="1">IF(Z93&gt;Z94,0,1)</f>
        <v>1</v>
      </c>
      <c r="AA95" s="113"/>
      <c r="AB95"/>
      <c r="AE95"/>
      <c r="AF95"/>
      <c r="AI95"/>
      <c r="AJ95"/>
      <c r="AM95"/>
      <c r="AN95"/>
      <c r="AQ95"/>
      <c r="AR95"/>
      <c r="AU95"/>
      <c r="AV95"/>
    </row>
    <row r="96" spans="2:50" hidden="1" outlineLevel="1"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/>
      <c r="AE96"/>
      <c r="AF96"/>
      <c r="AI96"/>
      <c r="AJ96"/>
      <c r="AM96"/>
      <c r="AN96"/>
      <c r="AQ96"/>
      <c r="AR96"/>
      <c r="AU96"/>
      <c r="AV96"/>
    </row>
    <row r="97" spans="2:48" ht="32.25" hidden="1" outlineLevel="1" thickBot="1">
      <c r="B97" s="134" t="s">
        <v>86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/>
      <c r="AE97"/>
      <c r="AF97"/>
      <c r="AI97"/>
      <c r="AJ97"/>
      <c r="AM97"/>
      <c r="AN97"/>
      <c r="AQ97"/>
      <c r="AR97"/>
      <c r="AU97"/>
      <c r="AV97"/>
    </row>
    <row r="98" spans="2:48" hidden="1" outlineLevel="2">
      <c r="B98" s="120" t="s">
        <v>81</v>
      </c>
      <c r="C98" s="113"/>
      <c r="D98" s="113"/>
      <c r="E98" s="123">
        <f ca="1">(C40*#REF!)/1000</f>
        <v>0</v>
      </c>
      <c r="F98" s="123">
        <f ca="1">(G40*#REF!)/1000</f>
        <v>0</v>
      </c>
      <c r="G98" s="113"/>
      <c r="H98" s="113"/>
      <c r="I98" s="123">
        <f ca="1">(K40*#REF!)/1000</f>
        <v>0</v>
      </c>
      <c r="J98" s="123">
        <f ca="1">(O40*#REF!)/1000</f>
        <v>0</v>
      </c>
      <c r="K98" s="113"/>
      <c r="L98" s="113"/>
      <c r="M98" s="123">
        <f ca="1">(S40*#REF!)/1000</f>
        <v>0</v>
      </c>
      <c r="N98" s="123">
        <f ca="1">(W40*#REF!)/1000</f>
        <v>0</v>
      </c>
      <c r="O98" s="113"/>
      <c r="P98" s="113"/>
      <c r="Q98" s="123">
        <f ca="1">(AA40*#REF!)/1000</f>
        <v>0</v>
      </c>
      <c r="R98" s="123">
        <f ca="1">(AE40*#REF!)/1000</f>
        <v>0</v>
      </c>
      <c r="S98" s="113"/>
      <c r="T98" s="113"/>
      <c r="U98" s="123">
        <f ca="1">(AI40*#REF!)/1000</f>
        <v>0</v>
      </c>
      <c r="V98" s="123">
        <f ca="1">(AM40*#REF!)/1000</f>
        <v>0</v>
      </c>
      <c r="W98" s="113"/>
      <c r="X98" s="113"/>
      <c r="Y98" s="123">
        <f ca="1">(AQ40*#REF!)/1000</f>
        <v>0</v>
      </c>
      <c r="Z98" s="123">
        <f ca="1">(AU40*#REF!)/1000</f>
        <v>0</v>
      </c>
      <c r="AA98" s="113"/>
      <c r="AB98"/>
      <c r="AE98"/>
      <c r="AF98"/>
      <c r="AI98"/>
      <c r="AJ98"/>
      <c r="AM98"/>
      <c r="AN98"/>
      <c r="AQ98"/>
      <c r="AR98"/>
      <c r="AU98"/>
      <c r="AV98"/>
    </row>
    <row r="99" spans="2:48" ht="45.75" hidden="1" outlineLevel="2" thickBot="1">
      <c r="B99" s="104" t="s">
        <v>80</v>
      </c>
      <c r="C99" s="113"/>
      <c r="D99" s="113"/>
      <c r="E99" s="110">
        <f ca="1">(SUM(D21:D38)/1000)-E40</f>
        <v>-0.26953000000000316</v>
      </c>
      <c r="F99" s="110">
        <f ca="1">(SUM(H21:H38)/1000)-I40</f>
        <v>-0.80654000000004089</v>
      </c>
      <c r="G99" s="113"/>
      <c r="H99" s="113"/>
      <c r="I99" s="110">
        <f ca="1">(SUM(L21:L38)/1000)-M40</f>
        <v>-3.1458399999999926</v>
      </c>
      <c r="J99" s="110">
        <f ca="1">(SUM(P21:P38)/1000)-Q40</f>
        <v>-0.42063999999999169</v>
      </c>
      <c r="K99" s="113"/>
      <c r="L99" s="113"/>
      <c r="M99" s="110">
        <f ca="1">(SUM(T21:T38)/1000)-U40</f>
        <v>-0.37570999999999799</v>
      </c>
      <c r="N99" s="110">
        <f ca="1">(SUM(X21:X38)/1000)-Y40</f>
        <v>-6.6199999999980719E-3</v>
      </c>
      <c r="O99" s="113"/>
      <c r="P99" s="113"/>
      <c r="Q99" s="110">
        <f ca="1">(SUM(AB21:AB38)/1000)-AC40</f>
        <v>0</v>
      </c>
      <c r="R99" s="110">
        <f ca="1">(SUM(AF21:AF38)/1000)-AG40</f>
        <v>0</v>
      </c>
      <c r="S99" s="113"/>
      <c r="T99" s="113"/>
      <c r="U99" s="110">
        <f ca="1">(SUM(AJ21:AJ38)/1000)-AK40</f>
        <v>0</v>
      </c>
      <c r="V99" s="110">
        <f ca="1">(SUM(AN21:AN38)/1000)-AO40</f>
        <v>0</v>
      </c>
      <c r="W99" s="113"/>
      <c r="X99" s="113"/>
      <c r="Y99" s="110">
        <f ca="1">(SUM(AR21:AR38)/1000)-AS40</f>
        <v>0</v>
      </c>
      <c r="Z99" s="110">
        <f ca="1">(SUM(AV21:AV38)/1000)-AW40</f>
        <v>0</v>
      </c>
      <c r="AA99" s="113"/>
      <c r="AB99"/>
      <c r="AE99"/>
      <c r="AF99"/>
      <c r="AI99"/>
      <c r="AJ99"/>
      <c r="AM99"/>
      <c r="AN99"/>
      <c r="AQ99"/>
      <c r="AR99"/>
      <c r="AU99"/>
      <c r="AV99"/>
    </row>
    <row r="100" spans="2:48" ht="15.75" hidden="1" outlineLevel="1" thickBot="1">
      <c r="B100" s="106" t="s">
        <v>77</v>
      </c>
      <c r="C100" s="113"/>
      <c r="D100" s="113"/>
      <c r="E100" s="182">
        <f ca="1">IF(E98&gt;E99,0,1)</f>
        <v>0</v>
      </c>
      <c r="F100" s="182">
        <f ca="1">IF(F98&gt;F99,0,1)</f>
        <v>0</v>
      </c>
      <c r="G100" s="113"/>
      <c r="H100" s="113"/>
      <c r="I100" s="182">
        <f ca="1">IF(I98&gt;I99,0,1)</f>
        <v>0</v>
      </c>
      <c r="J100" s="182">
        <f ca="1">IF(J98&gt;J99,0,1)</f>
        <v>0</v>
      </c>
      <c r="K100" s="113"/>
      <c r="L100" s="113"/>
      <c r="M100" s="182">
        <f ca="1">IF(M98&gt;M99,0,1)</f>
        <v>0</v>
      </c>
      <c r="N100" s="182">
        <f ca="1">IF(N98&gt;N99,0,1)</f>
        <v>0</v>
      </c>
      <c r="O100" s="113"/>
      <c r="P100" s="113"/>
      <c r="Q100" s="182">
        <f ca="1">IF(Q98&gt;Q99,0,1)</f>
        <v>1</v>
      </c>
      <c r="R100" s="182">
        <f ca="1">IF(R98&gt;R99,0,1)</f>
        <v>1</v>
      </c>
      <c r="S100" s="113"/>
      <c r="T100" s="113"/>
      <c r="U100" s="182">
        <f ca="1">IF(U98&gt;U99,0,1)</f>
        <v>1</v>
      </c>
      <c r="V100" s="182">
        <f ca="1">IF(V98&gt;V99,0,1)</f>
        <v>1</v>
      </c>
      <c r="W100" s="113"/>
      <c r="X100" s="113"/>
      <c r="Y100" s="182">
        <f ca="1">IF(Y98&gt;Y99,0,1)</f>
        <v>1</v>
      </c>
      <c r="Z100" s="182">
        <f ca="1">IF(Z98&gt;Z99,0,1)</f>
        <v>1</v>
      </c>
      <c r="AA100" s="113"/>
      <c r="AB100"/>
      <c r="AE100"/>
      <c r="AF100"/>
      <c r="AI100"/>
      <c r="AJ100"/>
      <c r="AM100"/>
      <c r="AN100"/>
      <c r="AQ100"/>
      <c r="AR100"/>
      <c r="AU100"/>
      <c r="AV100"/>
    </row>
    <row r="101" spans="2:48" hidden="1" outlineLevel="1"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/>
      <c r="AE101"/>
      <c r="AF101"/>
      <c r="AI101"/>
      <c r="AJ101"/>
      <c r="AM101"/>
      <c r="AN101"/>
      <c r="AQ101"/>
      <c r="AR101"/>
      <c r="AU101"/>
      <c r="AV101"/>
    </row>
    <row r="102" spans="2:48" ht="16.5" hidden="1" outlineLevel="1" thickBot="1">
      <c r="B102" s="135" t="s">
        <v>87</v>
      </c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/>
      <c r="AE102"/>
      <c r="AF102"/>
      <c r="AI102"/>
      <c r="AJ102"/>
      <c r="AM102"/>
      <c r="AN102"/>
      <c r="AQ102"/>
      <c r="AR102"/>
      <c r="AU102"/>
      <c r="AV102"/>
    </row>
    <row r="103" spans="2:48" ht="15.75" hidden="1" outlineLevel="2" thickBot="1">
      <c r="B103" s="120" t="s">
        <v>83</v>
      </c>
      <c r="C103" s="113"/>
      <c r="D103" s="113"/>
      <c r="E103" s="121">
        <f ca="1">IFERROR(E20/F20,0)</f>
        <v>2.3755118750518082E-3</v>
      </c>
      <c r="F103" s="121">
        <f ca="1">IFERROR(I20/J20,0)</f>
        <v>2.4920851478952193E-3</v>
      </c>
      <c r="G103" s="113"/>
      <c r="H103" s="113"/>
      <c r="I103" s="121">
        <f ca="1">IFERROR(M20/N20,0)</f>
        <v>1.0017690651392068E-2</v>
      </c>
      <c r="J103" s="121">
        <f ca="1">IFERROR(Q20/R20,0)</f>
        <v>9.9443794038129966E-3</v>
      </c>
      <c r="K103" s="113"/>
      <c r="L103" s="113"/>
      <c r="M103" s="121">
        <f ca="1">IFERROR(U20/V20,0)</f>
        <v>3.0532418214217244E-3</v>
      </c>
      <c r="N103" s="121">
        <f ca="1">IFERROR(Y20/Z20,0)</f>
        <v>4.8951233625324652E-5</v>
      </c>
      <c r="O103" s="113"/>
      <c r="P103" s="113"/>
      <c r="Q103" s="121">
        <f ca="1">IFERROR(AC20/AD20,0)</f>
        <v>0</v>
      </c>
      <c r="R103" s="121">
        <f ca="1">IFERROR(AG20/AH20,0)</f>
        <v>0</v>
      </c>
      <c r="S103" s="113"/>
      <c r="T103" s="113"/>
      <c r="U103" s="121">
        <f ca="1">IFERROR(AK20/AL20,0)</f>
        <v>0</v>
      </c>
      <c r="V103" s="121">
        <f ca="1">IFERROR(AO20/AP20,0)</f>
        <v>0</v>
      </c>
      <c r="W103" s="113"/>
      <c r="X103" s="113"/>
      <c r="Y103" s="121">
        <f ca="1">IFERROR(AS20/AT20,0)</f>
        <v>0</v>
      </c>
      <c r="Z103" s="121">
        <f ca="1">IFERROR(AW20/AX20,0)</f>
        <v>0</v>
      </c>
      <c r="AA103" s="113"/>
      <c r="AB103"/>
      <c r="AE103"/>
      <c r="AF103"/>
      <c r="AI103"/>
      <c r="AJ103"/>
      <c r="AM103"/>
      <c r="AN103"/>
      <c r="AQ103"/>
      <c r="AR103"/>
      <c r="AU103"/>
      <c r="AV103"/>
    </row>
    <row r="104" spans="2:48" ht="15.75" hidden="1" outlineLevel="1" thickBot="1">
      <c r="B104" s="106" t="s">
        <v>77</v>
      </c>
      <c r="C104" s="113"/>
      <c r="D104" s="113"/>
      <c r="E104" s="182">
        <f ca="1">IF(E103&lt;#REF!,0,1)</f>
        <v>1</v>
      </c>
      <c r="F104" s="182">
        <f ca="1">IF(F103&lt;#REF!,0,1)</f>
        <v>1</v>
      </c>
      <c r="G104" s="113"/>
      <c r="H104" s="113"/>
      <c r="I104" s="182">
        <f ca="1">IF(I103&lt;#REF!,0,1)</f>
        <v>1</v>
      </c>
      <c r="J104" s="182">
        <f ca="1">IF(J103&lt;#REF!,0,1)</f>
        <v>1</v>
      </c>
      <c r="K104" s="113"/>
      <c r="L104" s="113"/>
      <c r="M104" s="182">
        <f ca="1">IF(M103&lt;#REF!,0,1)</f>
        <v>1</v>
      </c>
      <c r="N104" s="182">
        <f ca="1">IF(N103&lt;#REF!,0,1)</f>
        <v>1</v>
      </c>
      <c r="O104" s="113"/>
      <c r="P104" s="113"/>
      <c r="Q104" s="182">
        <f ca="1">IF(Q103&lt;#REF!,0,1)</f>
        <v>1</v>
      </c>
      <c r="R104" s="182">
        <f ca="1">IF(R103&lt;#REF!,0,1)</f>
        <v>1</v>
      </c>
      <c r="S104" s="113"/>
      <c r="T104" s="113"/>
      <c r="U104" s="182">
        <f ca="1">IF(U103&lt;#REF!,0,1)</f>
        <v>1</v>
      </c>
      <c r="V104" s="182">
        <f ca="1">IF(V103&lt;#REF!,0,1)</f>
        <v>1</v>
      </c>
      <c r="W104" s="113"/>
      <c r="X104" s="113"/>
      <c r="Y104" s="182">
        <f ca="1">IF(Y103&lt;#REF!,0,1)</f>
        <v>1</v>
      </c>
      <c r="Z104" s="182">
        <f ca="1">IF(Z103&lt;#REF!,0,1)</f>
        <v>1</v>
      </c>
      <c r="AA104" s="113"/>
      <c r="AB104"/>
      <c r="AE104"/>
      <c r="AF104"/>
      <c r="AI104"/>
      <c r="AJ104"/>
      <c r="AM104"/>
      <c r="AN104"/>
      <c r="AQ104"/>
      <c r="AR104"/>
      <c r="AU104"/>
      <c r="AV104"/>
    </row>
    <row r="105" spans="2:48" ht="15.75" hidden="1" outlineLevel="1" thickBot="1"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/>
      <c r="AE105"/>
      <c r="AF105"/>
      <c r="AI105"/>
      <c r="AJ105"/>
      <c r="AM105"/>
      <c r="AN105"/>
      <c r="AQ105"/>
      <c r="AR105"/>
      <c r="AU105"/>
      <c r="AV105"/>
    </row>
    <row r="106" spans="2:48" ht="16.5" hidden="1" outlineLevel="1" thickBot="1">
      <c r="B106" s="136" t="s">
        <v>88</v>
      </c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/>
      <c r="AE106"/>
      <c r="AF106"/>
      <c r="AI106"/>
      <c r="AJ106"/>
      <c r="AM106"/>
      <c r="AN106"/>
      <c r="AQ106"/>
      <c r="AR106"/>
      <c r="AU106"/>
      <c r="AV106"/>
    </row>
    <row r="107" spans="2:48" hidden="1" outlineLevel="2">
      <c r="B107" s="104" t="s">
        <v>89</v>
      </c>
      <c r="C107" s="113"/>
      <c r="D107" s="113"/>
      <c r="E107" s="138">
        <f ca="1">ROUND(SUM(E20:E38),4)</f>
        <v>9.4999999999999998E-3</v>
      </c>
      <c r="F107" s="139">
        <f ca="1">ROUND(SUM(I20:I38),4)</f>
        <v>-2.76E-2</v>
      </c>
      <c r="G107" s="113"/>
      <c r="H107" s="113"/>
      <c r="I107" s="138">
        <f ca="1">ROUND(SUM(M20:M38),4)</f>
        <v>9.7000000000000003E-3</v>
      </c>
      <c r="J107" s="139">
        <f ca="1">ROUND(SUM(Q20:Q38),4)</f>
        <v>5.4000000000000003E-3</v>
      </c>
      <c r="K107" s="113"/>
      <c r="L107" s="113"/>
      <c r="M107" s="138">
        <f ca="1">ROUND(SUM(U20:U38),4)</f>
        <v>5.0000000000000001E-3</v>
      </c>
      <c r="N107" s="139">
        <f ca="1">ROUND(SUM(Y20:Y38),4)</f>
        <v>5.0000000000000001E-3</v>
      </c>
      <c r="O107" s="113"/>
      <c r="P107" s="113"/>
      <c r="Q107" s="138">
        <f ca="1">ROUND(SUM(AC20:AC38),4)</f>
        <v>0</v>
      </c>
      <c r="R107" s="139">
        <f ca="1">ROUND(SUM(AG20:AG38),4)</f>
        <v>0</v>
      </c>
      <c r="S107" s="113"/>
      <c r="T107" s="113"/>
      <c r="U107" s="138">
        <f ca="1">ROUND(SUM(AK20:AK38),4)</f>
        <v>0</v>
      </c>
      <c r="V107" s="139">
        <f ca="1">ROUND(SUM(AO20:AO38),4)</f>
        <v>0</v>
      </c>
      <c r="W107" s="113"/>
      <c r="X107" s="113"/>
      <c r="Y107" s="138">
        <f ca="1">ROUND(SUM(AS20:AS38),4)</f>
        <v>0</v>
      </c>
      <c r="Z107" s="139">
        <f ca="1">ROUND(SUM(AW20:AW38),4)</f>
        <v>0</v>
      </c>
      <c r="AA107" s="113"/>
      <c r="AB107"/>
      <c r="AE107"/>
      <c r="AF107"/>
      <c r="AI107"/>
      <c r="AJ107"/>
      <c r="AM107"/>
      <c r="AN107"/>
      <c r="AQ107"/>
      <c r="AR107"/>
      <c r="AU107"/>
      <c r="AV107"/>
    </row>
    <row r="108" spans="2:48" ht="22.5" hidden="1" customHeight="1" outlineLevel="2">
      <c r="B108" s="111" t="s">
        <v>90</v>
      </c>
      <c r="C108" s="113"/>
      <c r="D108" s="113"/>
      <c r="E108" s="140">
        <f ca="1">ROUND(E44,4)</f>
        <v>9.4999999999999998E-3</v>
      </c>
      <c r="F108" s="141">
        <f ca="1">ROUND(I44,4)</f>
        <v>-2.76E-2</v>
      </c>
      <c r="G108" s="113"/>
      <c r="H108" s="113"/>
      <c r="I108" s="140">
        <f ca="1">ROUND(M44,4)</f>
        <v>9.7000000000000003E-3</v>
      </c>
      <c r="J108" s="141">
        <f ca="1">ROUND(Q44,4)</f>
        <v>5.4000000000000003E-3</v>
      </c>
      <c r="K108" s="113"/>
      <c r="L108" s="113"/>
      <c r="M108" s="140">
        <f ca="1">ROUND(U44,4)</f>
        <v>5.0000000000000001E-3</v>
      </c>
      <c r="N108" s="141">
        <f ca="1">ROUND(Y44,4)</f>
        <v>5.0000000000000001E-3</v>
      </c>
      <c r="O108" s="113"/>
      <c r="P108" s="113"/>
      <c r="Q108" s="140">
        <f ca="1">ROUND(AC44,4)</f>
        <v>0</v>
      </c>
      <c r="R108" s="141">
        <f ca="1">ROUND(AG44,4)</f>
        <v>0</v>
      </c>
      <c r="S108" s="113"/>
      <c r="T108" s="113"/>
      <c r="U108" s="140">
        <f ca="1">ROUND(AK44,4)</f>
        <v>0</v>
      </c>
      <c r="V108" s="141">
        <f ca="1">ROUND(AO44,4)</f>
        <v>0</v>
      </c>
      <c r="W108" s="113"/>
      <c r="X108" s="113"/>
      <c r="Y108" s="140">
        <f ca="1">ROUND(AS44,4)</f>
        <v>0</v>
      </c>
      <c r="Z108" s="141">
        <f ca="1">ROUND(AW44,4)</f>
        <v>0</v>
      </c>
      <c r="AA108" s="113"/>
      <c r="AB108"/>
      <c r="AE108"/>
      <c r="AF108"/>
      <c r="AI108"/>
      <c r="AJ108"/>
      <c r="AM108"/>
      <c r="AN108"/>
      <c r="AQ108"/>
      <c r="AR108"/>
      <c r="AU108"/>
      <c r="AV108"/>
    </row>
    <row r="109" spans="2:48" ht="30.75" hidden="1" outlineLevel="2" thickBot="1">
      <c r="B109" s="111" t="s">
        <v>91</v>
      </c>
      <c r="C109" s="113"/>
      <c r="D109" s="113"/>
      <c r="E109" s="140">
        <f ca="1">ROUND(E48,4)</f>
        <v>9.4999999999999998E-3</v>
      </c>
      <c r="F109" s="141">
        <f ca="1">ROUND(I48,4)</f>
        <v>-2.76E-2</v>
      </c>
      <c r="G109" s="113"/>
      <c r="H109" s="113"/>
      <c r="I109" s="140">
        <f ca="1">ROUND(M48,4)</f>
        <v>9.7000000000000003E-3</v>
      </c>
      <c r="J109" s="141">
        <f ca="1">ROUND(Q48,4)</f>
        <v>5.4000000000000003E-3</v>
      </c>
      <c r="K109" s="113"/>
      <c r="L109" s="113"/>
      <c r="M109" s="140">
        <f ca="1">ROUND(U48,4)</f>
        <v>5.0000000000000001E-3</v>
      </c>
      <c r="N109" s="141">
        <f ca="1">ROUND(Y48,4)</f>
        <v>5.0000000000000001E-3</v>
      </c>
      <c r="O109" s="113"/>
      <c r="P109" s="113"/>
      <c r="Q109" s="140">
        <f ca="1">ROUND(AC48,4)</f>
        <v>0</v>
      </c>
      <c r="R109" s="141">
        <f ca="1">ROUND(AG48,4)</f>
        <v>0</v>
      </c>
      <c r="S109" s="113"/>
      <c r="T109" s="113"/>
      <c r="U109" s="140">
        <f ca="1">ROUND(AK48,4)</f>
        <v>0</v>
      </c>
      <c r="V109" s="141">
        <f ca="1">ROUND(AO48,4)</f>
        <v>0</v>
      </c>
      <c r="W109" s="113"/>
      <c r="X109" s="113"/>
      <c r="Y109" s="140">
        <f ca="1">ROUND(AS48,4)</f>
        <v>0</v>
      </c>
      <c r="Z109" s="141">
        <f ca="1">ROUND(AW48,4)</f>
        <v>0</v>
      </c>
      <c r="AA109" s="113"/>
      <c r="AB109"/>
      <c r="AE109"/>
      <c r="AF109"/>
      <c r="AI109"/>
      <c r="AJ109"/>
      <c r="AM109"/>
      <c r="AN109"/>
      <c r="AQ109"/>
      <c r="AR109"/>
      <c r="AU109"/>
      <c r="AV109"/>
    </row>
    <row r="110" spans="2:48" ht="15.75" hidden="1" outlineLevel="1" thickBot="1">
      <c r="B110" s="106" t="s">
        <v>77</v>
      </c>
      <c r="C110" s="113"/>
      <c r="D110" s="113"/>
      <c r="E110" s="183">
        <f ca="1">IF(AND(E107=ROUND(E39,4),E108=ROUND(E39,4),E109=ROUND(E39,4)),0,1)</f>
        <v>0</v>
      </c>
      <c r="F110" s="183">
        <f ca="1">IF(AND(F107=ROUND(I39,4),F108=ROUND(I39,4),F109=ROUND(I39,4)),0,1)</f>
        <v>0</v>
      </c>
      <c r="G110" s="113"/>
      <c r="H110" s="113"/>
      <c r="I110" s="183">
        <f ca="1">IF(AND(I107=ROUND(M39,4),I108=ROUND(M39,4),I109=ROUND(M39,4)),0,1)</f>
        <v>0</v>
      </c>
      <c r="J110" s="183">
        <f ca="1">IF(AND(J107=ROUND(Q39,4),J108=ROUND(Q39,4),J109=ROUND(Q39,4)),0,1)</f>
        <v>0</v>
      </c>
      <c r="K110" s="113"/>
      <c r="L110" s="113"/>
      <c r="M110" s="183">
        <f ca="1">IF(AND(M107=ROUND(U39,4),M108=ROUND(U39,4),M109=ROUND(U39,4)),0,1)</f>
        <v>0</v>
      </c>
      <c r="N110" s="183">
        <f ca="1">IF(AND(N107=ROUND(Y39,4),N108=ROUND(Y39,4),N109=ROUND(Y39,4)),0,1)</f>
        <v>0</v>
      </c>
      <c r="O110" s="113"/>
      <c r="P110" s="113"/>
      <c r="Q110" s="183">
        <f ca="1">IF(AND(Q107=ROUND(AC39,4),Q108=ROUND(AC39,4),Q109=ROUND(AC39,4)),0,1)</f>
        <v>0</v>
      </c>
      <c r="R110" s="183">
        <f ca="1">IF(AND(R107=ROUND(AG39,4),R108=ROUND(AG39,4),R109=ROUND(AG39,4)),0,1)</f>
        <v>0</v>
      </c>
      <c r="S110" s="113"/>
      <c r="T110" s="113"/>
      <c r="U110" s="183">
        <f ca="1">IF(AND(U107=ROUND(AK39,4),U108=ROUND(AK39,4),U109=ROUND(AK39,4)),0,1)</f>
        <v>0</v>
      </c>
      <c r="V110" s="183">
        <f ca="1">IF(AND(V107=ROUND(AO39,4),V108=ROUND(AO39,4),V109=ROUND(AO39,4)),0,1)</f>
        <v>0</v>
      </c>
      <c r="W110" s="113"/>
      <c r="X110" s="113"/>
      <c r="Y110" s="183">
        <f ca="1">IF(AND(Y107=ROUND(AS39,4),Y108=ROUND(AS39,4),Y109=ROUND(AS39,4)),0,1)</f>
        <v>0</v>
      </c>
      <c r="Z110" s="183">
        <f ca="1">IF(AND(Z107=ROUND(AW39,4),Z108=ROUND(AW39,4),Z109=ROUND(AW39,4)),0,1)</f>
        <v>0</v>
      </c>
      <c r="AA110" s="113"/>
      <c r="AB110"/>
      <c r="AE110"/>
      <c r="AF110"/>
      <c r="AI110"/>
      <c r="AJ110"/>
      <c r="AM110"/>
      <c r="AN110"/>
      <c r="AQ110"/>
      <c r="AR110"/>
      <c r="AU110"/>
      <c r="AV110"/>
    </row>
    <row r="111" spans="2:48" ht="15.75" hidden="1" outlineLevel="1" thickBot="1"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/>
      <c r="AE111"/>
      <c r="AF111"/>
      <c r="AI111"/>
      <c r="AJ111"/>
      <c r="AM111"/>
      <c r="AN111"/>
      <c r="AQ111"/>
      <c r="AR111"/>
      <c r="AU111"/>
      <c r="AV111"/>
    </row>
    <row r="112" spans="2:48" ht="32.25" hidden="1" outlineLevel="1" thickBot="1">
      <c r="B112" s="167" t="s">
        <v>92</v>
      </c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/>
      <c r="AE112"/>
      <c r="AF112"/>
      <c r="AI112"/>
      <c r="AJ112"/>
      <c r="AM112"/>
      <c r="AN112"/>
      <c r="AQ112"/>
      <c r="AR112"/>
      <c r="AU112"/>
      <c r="AV112"/>
    </row>
    <row r="113" spans="2:48" ht="17.25" hidden="1" customHeight="1" outlineLevel="2">
      <c r="B113" s="174" t="s">
        <v>157</v>
      </c>
      <c r="C113" s="113"/>
      <c r="D113" s="113"/>
      <c r="E113" s="186">
        <f ca="1">ROUND(E39,4)</f>
        <v>9.4999999999999998E-3</v>
      </c>
      <c r="F113" s="186">
        <f ca="1">ROUND(I39,4)</f>
        <v>-2.76E-2</v>
      </c>
      <c r="G113" s="113"/>
      <c r="H113" s="113"/>
      <c r="I113" s="186">
        <f ca="1">ROUND(M39,4)</f>
        <v>9.7000000000000003E-3</v>
      </c>
      <c r="J113" s="186">
        <f ca="1">ROUND(Q39,4)</f>
        <v>5.4000000000000003E-3</v>
      </c>
      <c r="K113" s="113"/>
      <c r="L113" s="113"/>
      <c r="M113" s="186">
        <f ca="1">ROUND(U39,4)</f>
        <v>5.0000000000000001E-3</v>
      </c>
      <c r="N113" s="186">
        <f ca="1">ROUND(Y39,4)</f>
        <v>5.0000000000000001E-3</v>
      </c>
      <c r="O113" s="113"/>
      <c r="P113" s="113"/>
      <c r="Q113" s="186">
        <f ca="1">ROUND(AC39,4)</f>
        <v>0</v>
      </c>
      <c r="R113" s="186">
        <f ca="1">ROUND(AG39,4)</f>
        <v>0</v>
      </c>
      <c r="S113" s="113"/>
      <c r="T113" s="113"/>
      <c r="U113" s="186">
        <f ca="1">ROUND(AK39,4)</f>
        <v>0</v>
      </c>
      <c r="V113" s="186">
        <f ca="1">ROUND(AO39,4)</f>
        <v>0</v>
      </c>
      <c r="W113" s="113"/>
      <c r="X113" s="113"/>
      <c r="Y113" s="186">
        <f ca="1">ROUND(AS39,4)</f>
        <v>0</v>
      </c>
      <c r="Z113" s="186">
        <f ca="1">ROUND(AW39,4)</f>
        <v>0</v>
      </c>
      <c r="AA113" s="113"/>
      <c r="AB113"/>
      <c r="AE113"/>
      <c r="AF113"/>
      <c r="AI113"/>
      <c r="AJ113"/>
      <c r="AM113"/>
      <c r="AN113"/>
      <c r="AQ113"/>
      <c r="AR113"/>
      <c r="AU113"/>
      <c r="AV113"/>
    </row>
    <row r="114" spans="2:48" ht="17.25" hidden="1" customHeight="1" outlineLevel="2" thickBot="1">
      <c r="B114" s="174" t="s">
        <v>158</v>
      </c>
      <c r="C114" s="113"/>
      <c r="D114" s="113"/>
      <c r="E114" s="185">
        <f ca="1">ROUND(_xll.DBRW("canaf:Data",$I$2,$E$9,E10,$D$2,$I$3),4)</f>
        <v>0</v>
      </c>
      <c r="F114" s="185">
        <f ca="1">ROUND(_xll.DBRW("canaf:Data",$I$2,$I$9,I10,$D$2,$I$3),4)</f>
        <v>0</v>
      </c>
      <c r="G114" s="113"/>
      <c r="H114" s="113"/>
      <c r="I114" s="185">
        <f ca="1">ROUND(_xll.DBRW("canaf:Data",$I$2,$M$9,M10,$D$2,$I$3),4)</f>
        <v>0</v>
      </c>
      <c r="J114" s="185">
        <f ca="1">ROUND(_xll.DBRW("canaf:Data",$I$2,$Q$9,Q10,$D$2,$I$3),4)</f>
        <v>0</v>
      </c>
      <c r="K114" s="113"/>
      <c r="L114" s="113"/>
      <c r="M114" s="185">
        <f ca="1">ROUND(_xll.DBRW("canaf:Data",$I$2,$U$9,U10,$D$2,$I$3),4)</f>
        <v>0</v>
      </c>
      <c r="N114" s="185">
        <f ca="1">ROUND(_xll.DBRW("canaf:Data",$I$2,$Y$9,Y10,$D$2,$I$3),4)</f>
        <v>0</v>
      </c>
      <c r="O114" s="113"/>
      <c r="P114" s="113"/>
      <c r="Q114" s="185">
        <f ca="1">ROUND(_xll.DBRW("canaf:Data",$I$2,$AC$9,AC10,$D$2,$I$3),4)</f>
        <v>0</v>
      </c>
      <c r="R114" s="185">
        <f ca="1">ROUND(_xll.DBRW("canaf:Data",$I$2,$AG$9,AG10,$D$2,$I$3),4)</f>
        <v>0</v>
      </c>
      <c r="S114" s="113"/>
      <c r="T114" s="113"/>
      <c r="U114" s="185">
        <f ca="1">ROUND(_xll.DBRW("canaf:Data",$I$2,$AK$9,AK10,$D$2,$I$3),4)</f>
        <v>0</v>
      </c>
      <c r="V114" s="185">
        <f ca="1">ROUND(_xll.DBRW("canaf:Data",$I$2,$AO$9,AO10,$D$2,$I$3),4)</f>
        <v>0</v>
      </c>
      <c r="W114" s="113"/>
      <c r="X114" s="113"/>
      <c r="Y114" s="185">
        <f ca="1">ROUND(_xll.DBRW("canaf:Data",$I$2,$AS$9,AS10,$D$2,$I$3),4)</f>
        <v>0</v>
      </c>
      <c r="Z114" s="185">
        <f ca="1">ROUND(_xll.DBRW("canaf:Data",$I$2,$AW$9,AW10,$D$2,$I$3),4)</f>
        <v>0</v>
      </c>
      <c r="AA114" s="113"/>
      <c r="AB114"/>
      <c r="AE114"/>
      <c r="AF114"/>
      <c r="AI114"/>
      <c r="AJ114"/>
      <c r="AM114"/>
      <c r="AN114"/>
      <c r="AQ114"/>
      <c r="AR114"/>
      <c r="AU114"/>
      <c r="AV114"/>
    </row>
    <row r="115" spans="2:48" ht="17.25" hidden="1" customHeight="1" outlineLevel="1" thickBot="1">
      <c r="B115" s="175" t="s">
        <v>120</v>
      </c>
      <c r="C115" s="113"/>
      <c r="D115" s="113"/>
      <c r="E115" s="182">
        <f ca="1">IF(E113=E114,0,1)</f>
        <v>1</v>
      </c>
      <c r="F115" s="182">
        <f ca="1">IF(F113=F114,0,1)</f>
        <v>1</v>
      </c>
      <c r="G115" s="113"/>
      <c r="H115" s="113"/>
      <c r="I115" s="182">
        <f ca="1">IF(I113=I114,0,1)</f>
        <v>1</v>
      </c>
      <c r="J115" s="182">
        <f ca="1">IF(J113=J114,0,1)</f>
        <v>1</v>
      </c>
      <c r="K115" s="113"/>
      <c r="L115" s="113"/>
      <c r="M115" s="182">
        <f ca="1">IF(M113=M114,0,1)</f>
        <v>1</v>
      </c>
      <c r="N115" s="182">
        <f ca="1">IF(N113=N114,0,1)</f>
        <v>1</v>
      </c>
      <c r="O115" s="113"/>
      <c r="P115" s="113"/>
      <c r="Q115" s="182">
        <f ca="1">IF(Q113=Q114,0,1)</f>
        <v>0</v>
      </c>
      <c r="R115" s="182">
        <f ca="1">IF(R113=R114,0,1)</f>
        <v>0</v>
      </c>
      <c r="S115" s="113"/>
      <c r="T115" s="113"/>
      <c r="U115" s="182">
        <f ca="1">IF(U113=U114,0,1)</f>
        <v>0</v>
      </c>
      <c r="V115" s="182">
        <f ca="1">IF(V113=V114,0,1)</f>
        <v>0</v>
      </c>
      <c r="W115" s="113"/>
      <c r="X115" s="113"/>
      <c r="Y115" s="182">
        <f ca="1">IF(Y113=Y114,0,1)</f>
        <v>0</v>
      </c>
      <c r="Z115" s="182">
        <f ca="1">IF(Z113=Z114,0,1)</f>
        <v>0</v>
      </c>
      <c r="AA115" s="113"/>
      <c r="AB115"/>
      <c r="AE115"/>
      <c r="AF115"/>
      <c r="AI115"/>
      <c r="AJ115"/>
      <c r="AM115"/>
      <c r="AN115"/>
      <c r="AQ115"/>
      <c r="AR115"/>
      <c r="AU115"/>
      <c r="AV115"/>
    </row>
    <row r="116" spans="2:48" ht="15.75" hidden="1" outlineLevel="1" thickBot="1"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/>
      <c r="AE116"/>
      <c r="AF116"/>
      <c r="AI116"/>
      <c r="AJ116"/>
      <c r="AM116"/>
      <c r="AN116"/>
      <c r="AQ116"/>
      <c r="AR116"/>
      <c r="AU116"/>
      <c r="AV116"/>
    </row>
    <row r="117" spans="2:48" ht="31.5" hidden="1" outlineLevel="1">
      <c r="B117" s="187" t="s">
        <v>93</v>
      </c>
      <c r="C117" s="113"/>
      <c r="D117" s="113"/>
      <c r="E117" s="193"/>
      <c r="F117" s="192"/>
      <c r="G117" s="113"/>
      <c r="H117" s="113"/>
      <c r="I117" s="193"/>
      <c r="J117" s="192"/>
      <c r="K117" s="113"/>
      <c r="L117" s="113"/>
      <c r="M117" s="193"/>
      <c r="N117" s="192"/>
      <c r="O117" s="113"/>
      <c r="P117" s="113"/>
      <c r="Q117" s="193"/>
      <c r="R117" s="192"/>
      <c r="S117" s="113"/>
      <c r="T117" s="113"/>
      <c r="U117" s="193"/>
      <c r="V117" s="192"/>
      <c r="W117" s="113"/>
      <c r="X117" s="113"/>
      <c r="Y117" s="193"/>
      <c r="Z117" s="192"/>
      <c r="AA117" s="113"/>
      <c r="AB117"/>
      <c r="AE117"/>
      <c r="AF117"/>
      <c r="AI117"/>
      <c r="AJ117"/>
      <c r="AM117"/>
      <c r="AN117"/>
      <c r="AQ117"/>
      <c r="AR117"/>
      <c r="AU117"/>
      <c r="AV117"/>
    </row>
    <row r="118" spans="2:48" hidden="1" outlineLevel="2">
      <c r="B118" s="174" t="s">
        <v>155</v>
      </c>
      <c r="C118" s="113"/>
      <c r="D118" s="113"/>
      <c r="E118" s="194">
        <f ca="1">E40</f>
        <v>128.667</v>
      </c>
      <c r="F118" s="197">
        <f ca="1">I40</f>
        <v>-334.60899999999998</v>
      </c>
      <c r="G118" s="113"/>
      <c r="H118" s="113"/>
      <c r="I118" s="194">
        <f ca="1">M40</f>
        <v>109.91377</v>
      </c>
      <c r="J118" s="196">
        <f ca="1">Q40</f>
        <v>60.8005</v>
      </c>
      <c r="K118" s="113"/>
      <c r="L118" s="113"/>
      <c r="M118" s="198">
        <f ca="1">U40</f>
        <v>56.249000000000002</v>
      </c>
      <c r="N118" s="196">
        <f ca="1">Y40</f>
        <v>57.206000000000003</v>
      </c>
      <c r="O118" s="113"/>
      <c r="P118" s="113"/>
      <c r="Q118" s="198">
        <f ca="1">AC40</f>
        <v>0</v>
      </c>
      <c r="R118" s="196">
        <f ca="1">AG40</f>
        <v>0</v>
      </c>
      <c r="S118" s="113"/>
      <c r="T118" s="113"/>
      <c r="U118" s="198">
        <f ca="1">AK40</f>
        <v>0</v>
      </c>
      <c r="V118" s="196">
        <f ca="1">AO40</f>
        <v>0</v>
      </c>
      <c r="W118" s="113"/>
      <c r="X118" s="113"/>
      <c r="Y118" s="198">
        <f ca="1">AS40</f>
        <v>0</v>
      </c>
      <c r="Z118" s="196">
        <f ca="1">AW40</f>
        <v>0</v>
      </c>
      <c r="AA118" s="113"/>
      <c r="AB118"/>
      <c r="AE118"/>
      <c r="AF118"/>
      <c r="AI118"/>
      <c r="AJ118"/>
      <c r="AM118"/>
      <c r="AN118"/>
      <c r="AQ118"/>
      <c r="AR118"/>
      <c r="AU118"/>
      <c r="AV118"/>
    </row>
    <row r="119" spans="2:48" hidden="1" outlineLevel="2">
      <c r="B119" s="174" t="s">
        <v>156</v>
      </c>
      <c r="C119" s="113"/>
      <c r="D119" s="113"/>
      <c r="E119" s="194">
        <f ca="1">(_xll.DBRW("canaf:Data",$I$2,$E$9,$D$1,$D$4,$I$3)/1000)</f>
        <v>0</v>
      </c>
      <c r="F119" s="197">
        <f ca="1">(_xll.DBRW("canaf:Data",$I$2,$I$9,$D$1,$D$4,$I$3)/1000)</f>
        <v>0</v>
      </c>
      <c r="G119" s="113"/>
      <c r="H119" s="113"/>
      <c r="I119" s="194">
        <f ca="1">(_xll.DBRW("canaf:Data",$I$2,$M$9,$D$1,$D$4,$I$3)/1000)</f>
        <v>0</v>
      </c>
      <c r="J119" s="196">
        <f ca="1">(_xll.DBRW("canaf:Data",$I$2,$Q$9,$D$1,$D$4,$I$3)/1000)</f>
        <v>0</v>
      </c>
      <c r="K119" s="113"/>
      <c r="L119" s="113"/>
      <c r="M119" s="198">
        <f ca="1">(_xll.DBRW("canaf:Data",$I$2,$U$9,$D$1,$D$4,$I$3)/1000)</f>
        <v>0</v>
      </c>
      <c r="N119" s="196">
        <f ca="1">(_xll.DBRW("canaf:Data",$I$2,$Y$9,$D$1,$D$4,$I$3)/1000)</f>
        <v>0</v>
      </c>
      <c r="O119" s="113"/>
      <c r="P119" s="113"/>
      <c r="Q119" s="198">
        <f ca="1">(_xll.DBRW("canaf:Data",$I$2,$AC$9,$D$1,$D$4,$I$3)/1000)</f>
        <v>0</v>
      </c>
      <c r="R119" s="196">
        <f ca="1">(_xll.DBRW("canaf:Data",$I$2,$AG$9,$D$1,$D$4,$I$3)/1000)</f>
        <v>0</v>
      </c>
      <c r="S119" s="113"/>
      <c r="T119" s="113"/>
      <c r="U119" s="198">
        <f ca="1">(_xll.DBRW("canaf:Data",$I$2,$AK$9,$D$1,$D$4,$I$3)/1000)</f>
        <v>0</v>
      </c>
      <c r="V119" s="196">
        <f ca="1">(_xll.DBRW("canaf:Data",$I$2,$AO$9,$D$1,$D$4,$I$3)/1000)</f>
        <v>0</v>
      </c>
      <c r="W119" s="113"/>
      <c r="X119" s="113"/>
      <c r="Y119" s="198">
        <f ca="1">(_xll.DBRW("canaf:Data",$I$2,$AS$9,$D$1,$D$4,$I$3)/1000)</f>
        <v>0</v>
      </c>
      <c r="Z119" s="196">
        <f ca="1">(_xll.DBRW("canaf:Data",$I$2,$AW$9,$D$1,$D$4,$I$3)/1000)</f>
        <v>0</v>
      </c>
      <c r="AA119" s="113"/>
      <c r="AB119"/>
      <c r="AE119"/>
      <c r="AF119"/>
      <c r="AI119"/>
      <c r="AJ119"/>
      <c r="AM119"/>
      <c r="AN119"/>
      <c r="AQ119"/>
      <c r="AR119"/>
      <c r="AU119"/>
      <c r="AV119"/>
    </row>
    <row r="120" spans="2:48" ht="15.75" hidden="1" outlineLevel="2" thickBot="1">
      <c r="B120" s="174" t="s">
        <v>145</v>
      </c>
      <c r="C120" s="113"/>
      <c r="D120" s="113"/>
      <c r="E120" s="202">
        <f ca="1">IFERROR(ABS((E118-E119)/E118),0)</f>
        <v>1</v>
      </c>
      <c r="F120" s="203">
        <f ca="1">IFERROR(ABS((F118-F119)/F118),0)</f>
        <v>1</v>
      </c>
      <c r="G120" s="113"/>
      <c r="H120" s="113"/>
      <c r="I120" s="202">
        <f ca="1">IFERROR(ABS((I118-I119)/I118),0)</f>
        <v>1</v>
      </c>
      <c r="J120" s="203">
        <f ca="1">IFERROR(ABS((J118-J119)/J118),0)</f>
        <v>1</v>
      </c>
      <c r="K120" s="113"/>
      <c r="L120" s="113"/>
      <c r="M120" s="202">
        <f ca="1">IFERROR(ABS((M118-M119)/M118),0)</f>
        <v>1</v>
      </c>
      <c r="N120" s="203">
        <f ca="1">IFERROR(ABS((N118-N119)/N118),0)</f>
        <v>1</v>
      </c>
      <c r="O120" s="113"/>
      <c r="P120" s="113"/>
      <c r="Q120" s="202">
        <f ca="1">IFERROR(ABS((Q118-Q119)/Q118),0)</f>
        <v>0</v>
      </c>
      <c r="R120" s="203">
        <f ca="1">IFERROR(ABS((R118-R119)/R118),0)</f>
        <v>0</v>
      </c>
      <c r="S120" s="113"/>
      <c r="T120" s="113"/>
      <c r="U120" s="202">
        <f ca="1">IFERROR(ABS((U118-U119)/U118),0)</f>
        <v>0</v>
      </c>
      <c r="V120" s="203">
        <f ca="1">IFERROR(ABS((V118-V119)/V118),0)</f>
        <v>0</v>
      </c>
      <c r="W120" s="113"/>
      <c r="X120" s="113"/>
      <c r="Y120" s="202">
        <f ca="1">IFERROR(ABS((Y118-Y119)/Y118),0)</f>
        <v>0</v>
      </c>
      <c r="Z120" s="203">
        <f ca="1">IFERROR(ABS((Z118-Z119)/Z118),0)</f>
        <v>0</v>
      </c>
      <c r="AA120" s="113"/>
      <c r="AB120"/>
      <c r="AE120"/>
      <c r="AF120"/>
      <c r="AI120"/>
      <c r="AJ120"/>
      <c r="AM120"/>
      <c r="AN120"/>
      <c r="AQ120"/>
      <c r="AR120"/>
      <c r="AU120"/>
      <c r="AV120"/>
    </row>
    <row r="121" spans="2:48" ht="15.75" hidden="1" outlineLevel="1" thickBot="1">
      <c r="B121" s="191" t="s">
        <v>120</v>
      </c>
      <c r="C121" s="113"/>
      <c r="D121" s="113"/>
      <c r="E121" s="195">
        <f ca="1">IF(E120&lt;#REF!,0,1)</f>
        <v>1</v>
      </c>
      <c r="F121" s="182">
        <f ca="1">IF(F120&lt;#REF!,0,1)</f>
        <v>1</v>
      </c>
      <c r="G121" s="113"/>
      <c r="H121" s="113"/>
      <c r="I121" s="195">
        <f ca="1">IF(I120&lt;#REF!,0,1)</f>
        <v>1</v>
      </c>
      <c r="J121" s="182">
        <f ca="1">IF(J120&lt;#REF!,0,1)</f>
        <v>1</v>
      </c>
      <c r="K121" s="113"/>
      <c r="L121" s="113"/>
      <c r="M121" s="195">
        <f ca="1">IF(M120&lt;#REF!,0,1)</f>
        <v>1</v>
      </c>
      <c r="N121" s="182">
        <f ca="1">IF(N120&lt;#REF!,0,1)</f>
        <v>1</v>
      </c>
      <c r="O121" s="113"/>
      <c r="P121" s="113"/>
      <c r="Q121" s="195">
        <f ca="1">IF(Q120&lt;#REF!,0,1)</f>
        <v>0</v>
      </c>
      <c r="R121" s="182">
        <f ca="1">IF(R120&lt;#REF!,0,1)</f>
        <v>0</v>
      </c>
      <c r="S121" s="113"/>
      <c r="T121" s="113"/>
      <c r="U121" s="195">
        <f ca="1">IF(U120&lt;#REF!,0,1)</f>
        <v>0</v>
      </c>
      <c r="V121" s="182">
        <f ca="1">IF(V120&lt;#REF!,0,1)</f>
        <v>0</v>
      </c>
      <c r="W121" s="113"/>
      <c r="X121" s="113"/>
      <c r="Y121" s="195">
        <f ca="1">IF(Y120&lt;#REF!,0,1)</f>
        <v>0</v>
      </c>
      <c r="Z121" s="182">
        <f ca="1">IF(Z120&lt;#REF!,0,1)</f>
        <v>0</v>
      </c>
      <c r="AA121" s="113"/>
      <c r="AB121"/>
      <c r="AE121"/>
      <c r="AF121"/>
      <c r="AI121"/>
      <c r="AJ121"/>
      <c r="AM121"/>
      <c r="AN121"/>
      <c r="AQ121"/>
      <c r="AR121"/>
      <c r="AU121"/>
      <c r="AV121"/>
    </row>
    <row r="122" spans="2:48" hidden="1" outlineLevel="1"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/>
      <c r="AE122"/>
      <c r="AF122"/>
      <c r="AI122"/>
      <c r="AJ122"/>
      <c r="AM122"/>
      <c r="AN122"/>
      <c r="AQ122"/>
      <c r="AR122"/>
      <c r="AU122"/>
      <c r="AV122"/>
    </row>
    <row r="123" spans="2:48" ht="16.5" hidden="1" outlineLevel="1" thickBot="1">
      <c r="B123" s="135" t="s">
        <v>94</v>
      </c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/>
      <c r="AE123"/>
      <c r="AF123"/>
      <c r="AI123"/>
      <c r="AJ123"/>
      <c r="AM123"/>
      <c r="AN123"/>
      <c r="AQ123"/>
      <c r="AR123"/>
      <c r="AU123"/>
      <c r="AV123"/>
    </row>
    <row r="124" spans="2:48" hidden="1" outlineLevel="2">
      <c r="B124" s="122" t="s">
        <v>95</v>
      </c>
      <c r="C124" s="113"/>
      <c r="D124" s="113"/>
      <c r="E124" s="123">
        <f ca="1">C40/1000</f>
        <v>0</v>
      </c>
      <c r="F124" s="123">
        <f ca="1">G40/1000</f>
        <v>0</v>
      </c>
      <c r="G124" s="113"/>
      <c r="H124" s="113"/>
      <c r="I124" s="123">
        <f ca="1">K40/1000</f>
        <v>0</v>
      </c>
      <c r="J124" s="123">
        <f ca="1">O40/1000</f>
        <v>0</v>
      </c>
      <c r="K124" s="113"/>
      <c r="L124" s="113"/>
      <c r="M124" s="123">
        <f ca="1">S40/1000</f>
        <v>0</v>
      </c>
      <c r="N124" s="123">
        <f ca="1">W40/1000</f>
        <v>0</v>
      </c>
      <c r="O124" s="113"/>
      <c r="P124" s="113"/>
      <c r="Q124" s="123">
        <f ca="1">AA40/1000</f>
        <v>0</v>
      </c>
      <c r="R124" s="123">
        <f ca="1">AE40/1000</f>
        <v>0</v>
      </c>
      <c r="S124" s="113"/>
      <c r="T124" s="113"/>
      <c r="U124" s="123">
        <f ca="1">AI40/1000</f>
        <v>0</v>
      </c>
      <c r="V124" s="123">
        <f ca="1">AM40/1000</f>
        <v>0</v>
      </c>
      <c r="W124" s="113"/>
      <c r="X124" s="113"/>
      <c r="Y124" s="123">
        <f ca="1">AQ40/1000</f>
        <v>0</v>
      </c>
      <c r="Z124" s="123">
        <f ca="1">AU40/1000</f>
        <v>0</v>
      </c>
      <c r="AA124" s="113"/>
      <c r="AB124"/>
      <c r="AE124"/>
      <c r="AF124"/>
      <c r="AI124"/>
      <c r="AJ124"/>
      <c r="AM124"/>
      <c r="AN124"/>
      <c r="AQ124"/>
      <c r="AR124"/>
      <c r="AU124"/>
      <c r="AV124"/>
    </row>
    <row r="125" spans="2:48" hidden="1" outlineLevel="2">
      <c r="B125" s="104" t="s">
        <v>96</v>
      </c>
      <c r="C125" s="113"/>
      <c r="D125" s="113"/>
      <c r="E125" s="110">
        <f ca="1">(_xll.DBRW("canaf:YLD_Components",$C$1,$B$5,$E$3,$F$6,$I$1,$I$2,$E$9,$I$3,$I$4,$F$4))/1000</f>
        <v>0</v>
      </c>
      <c r="F125" s="110">
        <f ca="1">(_xll.DBRW("canaf:YLD_Components",$C$1,$B$5,$E$3,$F$6,$I$1,$I$2,$I$9,$I$3,$I$4,$F$4))/1000</f>
        <v>0</v>
      </c>
      <c r="G125" s="113"/>
      <c r="H125" s="113"/>
      <c r="I125" s="110">
        <f ca="1">(_xll.DBRW("canaf:YLD_Components",$C$1,$B$5,$E$3,$F$6,$I$1,$I$2,$M$9,$I$3,$I$4,$F$4))/1000</f>
        <v>0</v>
      </c>
      <c r="J125" s="110">
        <f ca="1">(_xll.DBRW("canaf:YLD_Components",$C$1,$B$5,$E$3,$F$6,$I$1,$I$2,$Q$9,$I$3,$I$4,$F$4))/1000</f>
        <v>0</v>
      </c>
      <c r="K125" s="113"/>
      <c r="L125" s="113"/>
      <c r="M125" s="110">
        <f ca="1">(_xll.DBRW("canaf:YLD_Components",$C$1,$B$5,$E$3,$F$6,$I$1,$I$2,$U$9,$I$3,$I$4,$F$4))/1000</f>
        <v>0</v>
      </c>
      <c r="N125" s="110">
        <f ca="1">(_xll.DBRW("canaf:YLD_Components",$C$1,$B$5,$E$3,$F$6,$I$1,$I$2,$Y$9,$I$3,$I$4,$F$4))/1000</f>
        <v>0</v>
      </c>
      <c r="O125" s="113"/>
      <c r="P125" s="113"/>
      <c r="Q125" s="110">
        <f ca="1">(_xll.DBRW("canaf:YLD_Components",$C$1,$B$5,$E$3,$F$6,$I$1,$I$2,$AC$9,$I$3,$I$4,$F$4))/1000</f>
        <v>0</v>
      </c>
      <c r="R125" s="110">
        <f ca="1">(_xll.DBRW("canaf:YLD_Components",$C$1,$B$5,$E$3,$F$6,$I$1,$I$2,$AG$9,$I$3,$I$4,$F$4))/1000</f>
        <v>0</v>
      </c>
      <c r="S125" s="113"/>
      <c r="T125" s="113"/>
      <c r="U125" s="110">
        <f ca="1">(_xll.DBRW("canaf:YLD_Components",$C$1,$B$5,$E$3,$F$6,$I$1,$I$2,$AK$9,$I$3,$I$4,$F$4))/1000</f>
        <v>0</v>
      </c>
      <c r="V125" s="110">
        <f ca="1">(_xll.DBRW("canaf:YLD_Components",$C$1,$B$5,$E$3,$F$6,$I$1,$I$2,$AO$9,$I$3,$I$4,$F$4))/1000</f>
        <v>0</v>
      </c>
      <c r="W125" s="113"/>
      <c r="X125" s="113"/>
      <c r="Y125" s="110">
        <f ca="1">(_xll.DBRW("canaf:YLD_Components",$C$1,$B$5,$E$3,$F$6,$I$1,$I$2,$AS$9,$I$3,$I$4,$F$4))/1000</f>
        <v>0</v>
      </c>
      <c r="Z125" s="110">
        <f ca="1">(_xll.DBRW("canaf:YLD_Components",$C$1,$B$5,$E$3,$F$6,$I$1,$I$2,$AW$9,$I$3,$I$4,$F$4))/1000</f>
        <v>0</v>
      </c>
      <c r="AA125" s="113"/>
      <c r="AB125"/>
      <c r="AE125"/>
      <c r="AF125"/>
      <c r="AI125"/>
      <c r="AJ125"/>
      <c r="AM125"/>
      <c r="AN125"/>
      <c r="AQ125"/>
      <c r="AR125"/>
      <c r="AU125"/>
      <c r="AV125"/>
    </row>
    <row r="126" spans="2:48" ht="15.75" hidden="1" outlineLevel="2" thickBot="1">
      <c r="B126" s="105" t="s">
        <v>79</v>
      </c>
      <c r="C126" s="113"/>
      <c r="D126" s="113"/>
      <c r="E126" s="109">
        <f ca="1">IFERROR(ABS((E124/E125)-1),0)</f>
        <v>0</v>
      </c>
      <c r="F126" s="109">
        <f ca="1">IFERROR(ABS((F124/F125)-1),0)</f>
        <v>0</v>
      </c>
      <c r="G126" s="113"/>
      <c r="H126" s="113"/>
      <c r="I126" s="109">
        <f ca="1">IFERROR(ABS((I124/I125)-1),0)</f>
        <v>0</v>
      </c>
      <c r="J126" s="109">
        <f ca="1">IFERROR(ABS((J124/J125)-1),0)</f>
        <v>0</v>
      </c>
      <c r="K126" s="113"/>
      <c r="L126" s="113"/>
      <c r="M126" s="109">
        <f ca="1">IFERROR(ABS((M124/M125)-1),0)</f>
        <v>0</v>
      </c>
      <c r="N126" s="109">
        <f ca="1">IFERROR(ABS((N124/N125)-1),0)</f>
        <v>0</v>
      </c>
      <c r="O126" s="113"/>
      <c r="P126" s="113"/>
      <c r="Q126" s="109">
        <f ca="1">IFERROR(ABS((Q124/Q125)-1),0)</f>
        <v>0</v>
      </c>
      <c r="R126" s="109">
        <f ca="1">IFERROR(ABS((R124/R125)-1),0)</f>
        <v>0</v>
      </c>
      <c r="S126" s="113"/>
      <c r="T126" s="113"/>
      <c r="U126" s="109">
        <f ca="1">IFERROR(ABS((U124/U125)-1),0)</f>
        <v>0</v>
      </c>
      <c r="V126" s="109">
        <f ca="1">IFERROR(ABS((V124/V125)-1),0)</f>
        <v>0</v>
      </c>
      <c r="W126" s="113"/>
      <c r="X126" s="113"/>
      <c r="Y126" s="109">
        <f ca="1">IFERROR(ABS((Y124/Y125)-1),0)</f>
        <v>0</v>
      </c>
      <c r="Z126" s="109">
        <f ca="1">IFERROR(ABS((Z124/Z125)-1),0)</f>
        <v>0</v>
      </c>
      <c r="AA126" s="113"/>
      <c r="AB126"/>
      <c r="AE126"/>
      <c r="AF126"/>
      <c r="AI126"/>
      <c r="AJ126"/>
      <c r="AM126"/>
      <c r="AN126"/>
      <c r="AQ126"/>
      <c r="AR126"/>
      <c r="AU126"/>
      <c r="AV126"/>
    </row>
    <row r="127" spans="2:48" ht="15.75" hidden="1" outlineLevel="1" thickBot="1">
      <c r="B127" s="106" t="s">
        <v>77</v>
      </c>
      <c r="C127" s="113"/>
      <c r="D127" s="113"/>
      <c r="E127" s="182">
        <f ca="1">IF(E126&lt;#REF!,0,1)</f>
        <v>0</v>
      </c>
      <c r="F127" s="182">
        <f ca="1">IF(F126&lt;#REF!,0,1)</f>
        <v>0</v>
      </c>
      <c r="G127" s="113"/>
      <c r="H127" s="113"/>
      <c r="I127" s="182">
        <f ca="1">IF(I126&lt;#REF!,0,1)</f>
        <v>0</v>
      </c>
      <c r="J127" s="182">
        <f ca="1">IF(J126&lt;#REF!,0,1)</f>
        <v>0</v>
      </c>
      <c r="K127" s="113"/>
      <c r="L127" s="113"/>
      <c r="M127" s="182">
        <f ca="1">IF(M126&lt;#REF!,0,1)</f>
        <v>0</v>
      </c>
      <c r="N127" s="182">
        <f ca="1">IF(N126&lt;#REF!,0,1)</f>
        <v>0</v>
      </c>
      <c r="O127" s="113"/>
      <c r="P127" s="113"/>
      <c r="Q127" s="182">
        <f ca="1">IF(Q126&lt;#REF!,0,1)</f>
        <v>0</v>
      </c>
      <c r="R127" s="182">
        <f ca="1">IF(R126&lt;#REF!,0,1)</f>
        <v>0</v>
      </c>
      <c r="S127" s="113"/>
      <c r="T127" s="113"/>
      <c r="U127" s="182">
        <f ca="1">IF(U126&lt;#REF!,0,1)</f>
        <v>0</v>
      </c>
      <c r="V127" s="182">
        <f ca="1">IF(V126&lt;#REF!,0,1)</f>
        <v>0</v>
      </c>
      <c r="W127" s="113"/>
      <c r="X127" s="113"/>
      <c r="Y127" s="182">
        <f ca="1">IF(Y126&lt;#REF!,0,1)</f>
        <v>0</v>
      </c>
      <c r="Z127" s="182">
        <f ca="1">IF(Z126&lt;#REF!,0,1)</f>
        <v>0</v>
      </c>
      <c r="AA127" s="113"/>
      <c r="AB127"/>
      <c r="AE127"/>
      <c r="AF127"/>
      <c r="AI127"/>
      <c r="AJ127"/>
      <c r="AM127"/>
      <c r="AN127"/>
      <c r="AQ127"/>
      <c r="AR127"/>
      <c r="AU127"/>
      <c r="AV127"/>
    </row>
    <row r="128" spans="2:48" hidden="1" outlineLevel="1">
      <c r="C128" s="113"/>
      <c r="D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/>
      <c r="AE128"/>
      <c r="AF128"/>
      <c r="AI128"/>
      <c r="AJ128"/>
      <c r="AM128"/>
      <c r="AN128"/>
      <c r="AQ128"/>
      <c r="AR128"/>
      <c r="AU128"/>
      <c r="AV128"/>
    </row>
    <row r="129" spans="2:48" ht="32.25" hidden="1" outlineLevel="1" thickBot="1">
      <c r="B129" s="134" t="s">
        <v>99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/>
      <c r="AE129"/>
      <c r="AF129"/>
      <c r="AI129"/>
      <c r="AJ129"/>
      <c r="AM129"/>
      <c r="AN129"/>
      <c r="AQ129"/>
      <c r="AR129"/>
      <c r="AU129"/>
      <c r="AV129"/>
    </row>
    <row r="130" spans="2:48" ht="44.25" hidden="1" outlineLevel="2" thickBot="1">
      <c r="B130" s="169" t="s">
        <v>125</v>
      </c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/>
      <c r="AE130"/>
      <c r="AF130"/>
      <c r="AI130"/>
      <c r="AJ130"/>
      <c r="AM130"/>
      <c r="AN130"/>
      <c r="AQ130"/>
      <c r="AR130"/>
      <c r="AU130"/>
      <c r="AV130"/>
    </row>
    <row r="131" spans="2:48" hidden="1" outlineLevel="2">
      <c r="B131" s="124" t="s">
        <v>3</v>
      </c>
      <c r="C131" s="113"/>
      <c r="D131" s="113"/>
      <c r="E131" s="121">
        <f t="shared" ref="E131:E149" ca="1" si="20">ABS(F20-(F20)/1)</f>
        <v>0</v>
      </c>
      <c r="F131" s="170">
        <f ca="1">ABS(J20-(F20+J20)/2)</f>
        <v>9.1468775007817679E-3</v>
      </c>
      <c r="G131" s="113"/>
      <c r="H131" s="113"/>
      <c r="I131" s="121">
        <f t="shared" ref="I131:I149" ca="1" si="21">ABS(N20-(F20+J20+N20)/3)</f>
        <v>6.8334610858058267E-3</v>
      </c>
      <c r="J131" s="170">
        <f t="shared" ref="J131:J149" ca="1" si="22">ABS(R20-(F20+J20+N20+R20)/4)</f>
        <v>1.2873139960201594E-2</v>
      </c>
      <c r="K131" s="113"/>
      <c r="L131" s="113"/>
      <c r="M131" s="121">
        <f t="shared" ref="M131:M149" ca="1" si="23">ABS(V20-(F20+J20+N20+R20+V20)/5)</f>
        <v>4.608482562227836E-3</v>
      </c>
      <c r="N131" s="170">
        <f t="shared" ref="N131:N149" ca="1" si="24">ABS(Z20-(F20+J20+N20+R20+V20+Z20)/6)</f>
        <v>2.9719753371419619E-3</v>
      </c>
      <c r="O131" s="113"/>
      <c r="P131" s="113"/>
      <c r="Q131" s="121">
        <f t="shared" ref="Q131:Q149" ca="1" si="25">ABS(AD20-(F20+J20+N20+R20+V20+Z20+AD20)/7)</f>
        <v>1.2760011932877232E-2</v>
      </c>
      <c r="R131" s="170">
        <f t="shared" ref="R131:R149" ca="1" si="26">ABS(AH20-(F20+J20+N20+R20+V20+Z20+AD20+AH20)/8)</f>
        <v>1.1165010441267578E-2</v>
      </c>
      <c r="S131" s="113"/>
      <c r="T131" s="113"/>
      <c r="U131" s="121">
        <f t="shared" ref="U131:U149" ca="1" si="27">ABS(AL20-(F20+J20+N20+R20+V20+Z20+AD20+AH20+AL20)/9)</f>
        <v>9.9244537255711793E-3</v>
      </c>
      <c r="V131" s="170">
        <f t="shared" ref="V131:V149" ca="1" si="28">ABS(AP20-(F20+J20+N20+R20+V20+Z20+AD20+AH20+AL20+AP20)/10)</f>
        <v>8.9320083530140624E-3</v>
      </c>
      <c r="W131" s="113"/>
      <c r="X131" s="113"/>
      <c r="Y131" s="121">
        <f t="shared" ref="Y131:Y149" ca="1" si="29">ABS(AT20-(F20+J20+N20+R20+V20+Z20+AD20+AH20+AL20+AP20+AT20)/11)</f>
        <v>8.1200075936491475E-3</v>
      </c>
      <c r="Z131" s="170">
        <f t="shared" ref="Z131:Z149" ca="1" si="30">ABS(AX20-(F20+J20+N20+R20+V20+Z20+AD20+AH20+AL20+AP20+AT20+AX20)/12)</f>
        <v>7.4433402941783853E-3</v>
      </c>
      <c r="AA131" s="113"/>
      <c r="AB131"/>
      <c r="AE131"/>
      <c r="AF131"/>
      <c r="AI131"/>
      <c r="AJ131"/>
      <c r="AM131"/>
      <c r="AN131"/>
      <c r="AQ131"/>
      <c r="AR131"/>
      <c r="AU131"/>
      <c r="AV131"/>
    </row>
    <row r="132" spans="2:48" hidden="1" outlineLevel="2">
      <c r="B132" s="114" t="s">
        <v>56</v>
      </c>
      <c r="C132" s="113"/>
      <c r="D132" s="113"/>
      <c r="E132" s="109">
        <f ca="1">ABS(F21-(F21)/1)</f>
        <v>0</v>
      </c>
      <c r="F132" s="171">
        <f t="shared" ref="F132:F149" ca="1" si="31">ABS(J21-(F21+J21)/2)</f>
        <v>5.6834366482807486E-3</v>
      </c>
      <c r="G132" s="113"/>
      <c r="H132" s="113"/>
      <c r="I132" s="109">
        <f t="shared" ca="1" si="21"/>
        <v>4.6801090569980053E-3</v>
      </c>
      <c r="J132" s="171">
        <f t="shared" ca="1" si="22"/>
        <v>1.0333444785333379E-2</v>
      </c>
      <c r="K132" s="113"/>
      <c r="L132" s="113"/>
      <c r="M132" s="109">
        <f t="shared" ca="1" si="23"/>
        <v>5.2168711776923171E-4</v>
      </c>
      <c r="N132" s="171">
        <f t="shared" ca="1" si="24"/>
        <v>2.0728290339433464E-4</v>
      </c>
      <c r="O132" s="113"/>
      <c r="P132" s="113"/>
      <c r="Q132" s="109">
        <f t="shared" ca="1" si="25"/>
        <v>0.59227030761415844</v>
      </c>
      <c r="R132" s="171">
        <f t="shared" ca="1" si="26"/>
        <v>0.51823651916238866</v>
      </c>
      <c r="S132" s="113"/>
      <c r="T132" s="113"/>
      <c r="U132" s="109">
        <f t="shared" ca="1" si="27"/>
        <v>0.46065468369990104</v>
      </c>
      <c r="V132" s="171">
        <f t="shared" ca="1" si="28"/>
        <v>0.41458921532991094</v>
      </c>
      <c r="W132" s="113"/>
      <c r="X132" s="113"/>
      <c r="Y132" s="109">
        <f t="shared" ca="1" si="29"/>
        <v>0.37689928666355538</v>
      </c>
      <c r="Z132" s="171">
        <f t="shared" ca="1" si="30"/>
        <v>0.34549101277492578</v>
      </c>
      <c r="AA132" s="113"/>
      <c r="AB132"/>
      <c r="AE132"/>
      <c r="AF132"/>
      <c r="AI132"/>
      <c r="AJ132"/>
      <c r="AM132"/>
      <c r="AN132"/>
      <c r="AQ132"/>
      <c r="AR132"/>
      <c r="AU132"/>
      <c r="AV132"/>
    </row>
    <row r="133" spans="2:48" hidden="1" outlineLevel="2">
      <c r="B133" s="114" t="s">
        <v>5</v>
      </c>
      <c r="C133" s="113"/>
      <c r="D133" s="113"/>
      <c r="E133" s="109">
        <f t="shared" ca="1" si="20"/>
        <v>0</v>
      </c>
      <c r="F133" s="171">
        <f t="shared" ca="1" si="31"/>
        <v>0</v>
      </c>
      <c r="G133" s="113"/>
      <c r="H133" s="113"/>
      <c r="I133" s="109">
        <f t="shared" ca="1" si="21"/>
        <v>0</v>
      </c>
      <c r="J133" s="171">
        <f t="shared" ca="1" si="22"/>
        <v>0</v>
      </c>
      <c r="K133" s="113"/>
      <c r="L133" s="113"/>
      <c r="M133" s="109">
        <f t="shared" ca="1" si="23"/>
        <v>0</v>
      </c>
      <c r="N133" s="171">
        <f t="shared" ca="1" si="24"/>
        <v>0</v>
      </c>
      <c r="O133" s="113"/>
      <c r="P133" s="113"/>
      <c r="Q133" s="109">
        <f t="shared" ca="1" si="25"/>
        <v>0</v>
      </c>
      <c r="R133" s="171">
        <f t="shared" ca="1" si="26"/>
        <v>0</v>
      </c>
      <c r="S133" s="113"/>
      <c r="T133" s="113"/>
      <c r="U133" s="109">
        <f t="shared" ca="1" si="27"/>
        <v>0</v>
      </c>
      <c r="V133" s="171">
        <f t="shared" ca="1" si="28"/>
        <v>0</v>
      </c>
      <c r="W133" s="113"/>
      <c r="X133" s="113"/>
      <c r="Y133" s="109">
        <f t="shared" ca="1" si="29"/>
        <v>0</v>
      </c>
      <c r="Z133" s="171">
        <f t="shared" ca="1" si="30"/>
        <v>0</v>
      </c>
      <c r="AA133" s="113"/>
      <c r="AB133"/>
      <c r="AE133"/>
      <c r="AF133"/>
      <c r="AI133"/>
      <c r="AJ133"/>
      <c r="AM133"/>
      <c r="AN133"/>
      <c r="AQ133"/>
      <c r="AR133"/>
      <c r="AU133"/>
      <c r="AV133"/>
    </row>
    <row r="134" spans="2:48" hidden="1" outlineLevel="2">
      <c r="B134" s="114" t="s">
        <v>6</v>
      </c>
      <c r="C134" s="113"/>
      <c r="D134" s="113"/>
      <c r="E134" s="109">
        <f t="shared" ca="1" si="20"/>
        <v>0</v>
      </c>
      <c r="F134" s="171">
        <f t="shared" ca="1" si="31"/>
        <v>0</v>
      </c>
      <c r="G134" s="113"/>
      <c r="H134" s="113"/>
      <c r="I134" s="109">
        <f t="shared" ca="1" si="21"/>
        <v>0</v>
      </c>
      <c r="J134" s="171">
        <f t="shared" ca="1" si="22"/>
        <v>0</v>
      </c>
      <c r="K134" s="113"/>
      <c r="L134" s="113"/>
      <c r="M134" s="109">
        <f t="shared" ca="1" si="23"/>
        <v>0</v>
      </c>
      <c r="N134" s="171">
        <f t="shared" ca="1" si="24"/>
        <v>0</v>
      </c>
      <c r="O134" s="113"/>
      <c r="P134" s="113"/>
      <c r="Q134" s="109">
        <f t="shared" ca="1" si="25"/>
        <v>0</v>
      </c>
      <c r="R134" s="171">
        <f t="shared" ca="1" si="26"/>
        <v>0</v>
      </c>
      <c r="S134" s="113"/>
      <c r="T134" s="113"/>
      <c r="U134" s="109">
        <f t="shared" ca="1" si="27"/>
        <v>0</v>
      </c>
      <c r="V134" s="171">
        <f t="shared" ca="1" si="28"/>
        <v>0</v>
      </c>
      <c r="W134" s="113"/>
      <c r="X134" s="113"/>
      <c r="Y134" s="109">
        <f t="shared" ca="1" si="29"/>
        <v>0</v>
      </c>
      <c r="Z134" s="171">
        <f t="shared" ca="1" si="30"/>
        <v>0</v>
      </c>
      <c r="AA134" s="113"/>
      <c r="AB134"/>
      <c r="AE134"/>
      <c r="AF134"/>
      <c r="AI134"/>
      <c r="AJ134"/>
      <c r="AM134"/>
      <c r="AN134"/>
      <c r="AQ134"/>
      <c r="AR134"/>
      <c r="AU134"/>
      <c r="AV134"/>
    </row>
    <row r="135" spans="2:48" hidden="1" outlineLevel="2">
      <c r="B135" s="114" t="s">
        <v>7</v>
      </c>
      <c r="C135" s="113"/>
      <c r="D135" s="113"/>
      <c r="E135" s="109">
        <f t="shared" ca="1" si="20"/>
        <v>0</v>
      </c>
      <c r="F135" s="171">
        <f t="shared" ca="1" si="31"/>
        <v>0</v>
      </c>
      <c r="G135" s="113"/>
      <c r="H135" s="113"/>
      <c r="I135" s="109">
        <f t="shared" ca="1" si="21"/>
        <v>0</v>
      </c>
      <c r="J135" s="171">
        <f t="shared" ca="1" si="22"/>
        <v>0</v>
      </c>
      <c r="K135" s="113"/>
      <c r="L135" s="113"/>
      <c r="M135" s="109">
        <f t="shared" ca="1" si="23"/>
        <v>0</v>
      </c>
      <c r="N135" s="171">
        <f t="shared" ca="1" si="24"/>
        <v>0</v>
      </c>
      <c r="O135" s="113"/>
      <c r="P135" s="113"/>
      <c r="Q135" s="109">
        <f t="shared" ca="1" si="25"/>
        <v>0</v>
      </c>
      <c r="R135" s="171">
        <f t="shared" ca="1" si="26"/>
        <v>0</v>
      </c>
      <c r="S135" s="113"/>
      <c r="T135" s="113"/>
      <c r="U135" s="109">
        <f t="shared" ca="1" si="27"/>
        <v>0</v>
      </c>
      <c r="V135" s="171">
        <f t="shared" ca="1" si="28"/>
        <v>0</v>
      </c>
      <c r="W135" s="113"/>
      <c r="X135" s="113"/>
      <c r="Y135" s="109">
        <f t="shared" ca="1" si="29"/>
        <v>0</v>
      </c>
      <c r="Z135" s="171">
        <f t="shared" ca="1" si="30"/>
        <v>0</v>
      </c>
      <c r="AA135" s="113"/>
      <c r="AB135"/>
      <c r="AE135"/>
      <c r="AF135"/>
      <c r="AI135"/>
      <c r="AJ135"/>
      <c r="AM135"/>
      <c r="AN135"/>
      <c r="AQ135"/>
      <c r="AR135"/>
      <c r="AU135"/>
      <c r="AV135"/>
    </row>
    <row r="136" spans="2:48" hidden="1" outlineLevel="2">
      <c r="B136" s="114" t="s">
        <v>8</v>
      </c>
      <c r="C136" s="113"/>
      <c r="D136" s="113"/>
      <c r="E136" s="109">
        <f t="shared" ca="1" si="20"/>
        <v>0</v>
      </c>
      <c r="F136" s="171">
        <f t="shared" ca="1" si="31"/>
        <v>0</v>
      </c>
      <c r="G136" s="113"/>
      <c r="H136" s="113"/>
      <c r="I136" s="109">
        <f t="shared" ca="1" si="21"/>
        <v>0</v>
      </c>
      <c r="J136" s="171">
        <f t="shared" ca="1" si="22"/>
        <v>0</v>
      </c>
      <c r="K136" s="113"/>
      <c r="L136" s="113"/>
      <c r="M136" s="109">
        <f t="shared" ca="1" si="23"/>
        <v>0</v>
      </c>
      <c r="N136" s="171">
        <f t="shared" ca="1" si="24"/>
        <v>0</v>
      </c>
      <c r="O136" s="113"/>
      <c r="P136" s="113"/>
      <c r="Q136" s="109">
        <f t="shared" ca="1" si="25"/>
        <v>0</v>
      </c>
      <c r="R136" s="171">
        <f t="shared" ca="1" si="26"/>
        <v>0</v>
      </c>
      <c r="S136" s="113"/>
      <c r="T136" s="113"/>
      <c r="U136" s="109">
        <f t="shared" ca="1" si="27"/>
        <v>0</v>
      </c>
      <c r="V136" s="171">
        <f t="shared" ca="1" si="28"/>
        <v>0</v>
      </c>
      <c r="W136" s="113"/>
      <c r="X136" s="113"/>
      <c r="Y136" s="109">
        <f t="shared" ca="1" si="29"/>
        <v>0</v>
      </c>
      <c r="Z136" s="171">
        <f t="shared" ca="1" si="30"/>
        <v>0</v>
      </c>
      <c r="AA136" s="113"/>
      <c r="AB136"/>
      <c r="AE136"/>
      <c r="AF136"/>
      <c r="AI136"/>
      <c r="AJ136"/>
      <c r="AM136"/>
      <c r="AN136"/>
      <c r="AQ136"/>
      <c r="AR136"/>
      <c r="AU136"/>
      <c r="AV136"/>
    </row>
    <row r="137" spans="2:48" hidden="1" outlineLevel="2">
      <c r="B137" s="114" t="s">
        <v>9</v>
      </c>
      <c r="C137" s="113"/>
      <c r="D137" s="113" t="s">
        <v>98</v>
      </c>
      <c r="E137" s="109">
        <f t="shared" ca="1" si="20"/>
        <v>0</v>
      </c>
      <c r="F137" s="171">
        <f t="shared" ca="1" si="31"/>
        <v>0</v>
      </c>
      <c r="G137" s="113"/>
      <c r="H137" s="113"/>
      <c r="I137" s="109">
        <f t="shared" ca="1" si="21"/>
        <v>0</v>
      </c>
      <c r="J137" s="171">
        <f t="shared" ca="1" si="22"/>
        <v>0</v>
      </c>
      <c r="K137" s="113"/>
      <c r="L137" s="113"/>
      <c r="M137" s="109">
        <f t="shared" ca="1" si="23"/>
        <v>0</v>
      </c>
      <c r="N137" s="171">
        <f t="shared" ca="1" si="24"/>
        <v>0</v>
      </c>
      <c r="O137" s="113"/>
      <c r="P137" s="113"/>
      <c r="Q137" s="109">
        <f t="shared" ca="1" si="25"/>
        <v>0</v>
      </c>
      <c r="R137" s="171">
        <f t="shared" ca="1" si="26"/>
        <v>0</v>
      </c>
      <c r="S137" s="113"/>
      <c r="T137" s="113"/>
      <c r="U137" s="109">
        <f t="shared" ca="1" si="27"/>
        <v>0</v>
      </c>
      <c r="V137" s="171">
        <f t="shared" ca="1" si="28"/>
        <v>0</v>
      </c>
      <c r="W137" s="113"/>
      <c r="X137" s="113"/>
      <c r="Y137" s="109">
        <f t="shared" ca="1" si="29"/>
        <v>0</v>
      </c>
      <c r="Z137" s="171">
        <f t="shared" ca="1" si="30"/>
        <v>0</v>
      </c>
      <c r="AA137" s="113"/>
      <c r="AB137"/>
      <c r="AE137"/>
      <c r="AF137"/>
      <c r="AI137"/>
      <c r="AJ137"/>
      <c r="AM137"/>
      <c r="AN137"/>
      <c r="AQ137"/>
      <c r="AR137"/>
      <c r="AU137"/>
      <c r="AV137"/>
    </row>
    <row r="138" spans="2:48" hidden="1" outlineLevel="2">
      <c r="B138" s="114" t="s">
        <v>10</v>
      </c>
      <c r="C138" s="113"/>
      <c r="D138" s="113"/>
      <c r="E138" s="109">
        <f t="shared" ca="1" si="20"/>
        <v>0</v>
      </c>
      <c r="F138" s="171">
        <f t="shared" ca="1" si="31"/>
        <v>3.463440852500943E-3</v>
      </c>
      <c r="G138" s="113"/>
      <c r="H138" s="113"/>
      <c r="I138" s="109">
        <f t="shared" ca="1" si="21"/>
        <v>2.1533520288077868E-3</v>
      </c>
      <c r="J138" s="171">
        <f t="shared" ca="1" si="22"/>
        <v>2.5396951748681285E-3</v>
      </c>
      <c r="K138" s="113"/>
      <c r="L138" s="113"/>
      <c r="M138" s="109">
        <f t="shared" ca="1" si="23"/>
        <v>5.1301696799970764E-3</v>
      </c>
      <c r="N138" s="171">
        <f t="shared" ca="1" si="24"/>
        <v>2.764692433747884E-3</v>
      </c>
      <c r="O138" s="113"/>
      <c r="P138" s="113"/>
      <c r="Q138" s="109">
        <f t="shared" ca="1" si="25"/>
        <v>0.25211253759582142</v>
      </c>
      <c r="R138" s="171">
        <f t="shared" ca="1" si="26"/>
        <v>0.22059847039634373</v>
      </c>
      <c r="S138" s="113"/>
      <c r="T138" s="113"/>
      <c r="U138" s="109">
        <f t="shared" ca="1" si="27"/>
        <v>0.19608752924119444</v>
      </c>
      <c r="V138" s="171">
        <f t="shared" ca="1" si="28"/>
        <v>0.17647877631707498</v>
      </c>
      <c r="W138" s="113"/>
      <c r="X138" s="113"/>
      <c r="Y138" s="109">
        <f t="shared" ca="1" si="29"/>
        <v>0.16043525119734089</v>
      </c>
      <c r="Z138" s="171">
        <f t="shared" ca="1" si="30"/>
        <v>0.14706564693089583</v>
      </c>
      <c r="AA138" s="113"/>
      <c r="AB138"/>
      <c r="AE138"/>
      <c r="AF138"/>
      <c r="AI138"/>
      <c r="AJ138"/>
      <c r="AM138"/>
      <c r="AN138"/>
      <c r="AQ138"/>
      <c r="AR138"/>
      <c r="AU138"/>
      <c r="AV138"/>
    </row>
    <row r="139" spans="2:48" hidden="1" outlineLevel="2">
      <c r="B139" s="114" t="s">
        <v>11</v>
      </c>
      <c r="C139" s="113"/>
      <c r="D139" s="113"/>
      <c r="E139" s="109">
        <f t="shared" ca="1" si="20"/>
        <v>0</v>
      </c>
      <c r="F139" s="171">
        <f t="shared" ca="1" si="31"/>
        <v>0</v>
      </c>
      <c r="G139" s="113"/>
      <c r="H139" s="113"/>
      <c r="I139" s="109">
        <f t="shared" ca="1" si="21"/>
        <v>0</v>
      </c>
      <c r="J139" s="171">
        <f t="shared" ca="1" si="22"/>
        <v>0</v>
      </c>
      <c r="K139" s="113"/>
      <c r="L139" s="113"/>
      <c r="M139" s="109">
        <f t="shared" ca="1" si="23"/>
        <v>0</v>
      </c>
      <c r="N139" s="171">
        <f t="shared" ca="1" si="24"/>
        <v>0</v>
      </c>
      <c r="O139" s="113"/>
      <c r="P139" s="113"/>
      <c r="Q139" s="109">
        <f t="shared" ca="1" si="25"/>
        <v>0</v>
      </c>
      <c r="R139" s="171">
        <f t="shared" ca="1" si="26"/>
        <v>0</v>
      </c>
      <c r="S139" s="113"/>
      <c r="T139" s="113"/>
      <c r="U139" s="109">
        <f t="shared" ca="1" si="27"/>
        <v>0</v>
      </c>
      <c r="V139" s="171">
        <f t="shared" ca="1" si="28"/>
        <v>0</v>
      </c>
      <c r="W139" s="113"/>
      <c r="X139" s="113"/>
      <c r="Y139" s="109">
        <f t="shared" ca="1" si="29"/>
        <v>0</v>
      </c>
      <c r="Z139" s="171">
        <f t="shared" ca="1" si="30"/>
        <v>0</v>
      </c>
      <c r="AA139" s="113"/>
      <c r="AB139"/>
      <c r="AE139"/>
      <c r="AF139"/>
      <c r="AI139"/>
      <c r="AJ139"/>
      <c r="AM139"/>
      <c r="AN139"/>
      <c r="AQ139"/>
      <c r="AR139"/>
      <c r="AU139"/>
      <c r="AV139"/>
    </row>
    <row r="140" spans="2:48" hidden="1" outlineLevel="2">
      <c r="B140" s="114" t="s">
        <v>12</v>
      </c>
      <c r="C140" s="113"/>
      <c r="D140" s="113"/>
      <c r="E140" s="109">
        <f t="shared" ca="1" si="20"/>
        <v>0</v>
      </c>
      <c r="F140" s="171">
        <f t="shared" ca="1" si="31"/>
        <v>0</v>
      </c>
      <c r="G140" s="113"/>
      <c r="H140" s="113"/>
      <c r="I140" s="109">
        <f t="shared" ca="1" si="21"/>
        <v>0</v>
      </c>
      <c r="J140" s="171">
        <f t="shared" ca="1" si="22"/>
        <v>0</v>
      </c>
      <c r="K140" s="113"/>
      <c r="L140" s="113"/>
      <c r="M140" s="109">
        <f t="shared" ca="1" si="23"/>
        <v>0</v>
      </c>
      <c r="N140" s="171">
        <f t="shared" ca="1" si="24"/>
        <v>0</v>
      </c>
      <c r="O140" s="113"/>
      <c r="P140" s="113"/>
      <c r="Q140" s="109">
        <f t="shared" ca="1" si="25"/>
        <v>0</v>
      </c>
      <c r="R140" s="171">
        <f t="shared" ca="1" si="26"/>
        <v>0</v>
      </c>
      <c r="S140" s="113"/>
      <c r="T140" s="113"/>
      <c r="U140" s="109">
        <f t="shared" ca="1" si="27"/>
        <v>0</v>
      </c>
      <c r="V140" s="171">
        <f t="shared" ca="1" si="28"/>
        <v>0</v>
      </c>
      <c r="W140" s="113"/>
      <c r="X140" s="113"/>
      <c r="Y140" s="109">
        <f t="shared" ca="1" si="29"/>
        <v>0</v>
      </c>
      <c r="Z140" s="171">
        <f t="shared" ca="1" si="30"/>
        <v>0</v>
      </c>
      <c r="AA140" s="113"/>
      <c r="AB140"/>
      <c r="AE140"/>
      <c r="AF140"/>
      <c r="AI140"/>
      <c r="AJ140"/>
      <c r="AM140"/>
      <c r="AN140"/>
      <c r="AQ140"/>
      <c r="AR140"/>
      <c r="AU140"/>
      <c r="AV140"/>
    </row>
    <row r="141" spans="2:48" hidden="1" outlineLevel="2">
      <c r="B141" s="114" t="s">
        <v>13</v>
      </c>
      <c r="C141" s="113"/>
      <c r="D141" s="113"/>
      <c r="E141" s="109">
        <f t="shared" ca="1" si="20"/>
        <v>0</v>
      </c>
      <c r="F141" s="171">
        <f t="shared" ca="1" si="31"/>
        <v>0</v>
      </c>
      <c r="G141" s="113"/>
      <c r="H141" s="113"/>
      <c r="I141" s="109">
        <f t="shared" ca="1" si="21"/>
        <v>0</v>
      </c>
      <c r="J141" s="171">
        <f t="shared" ca="1" si="22"/>
        <v>0</v>
      </c>
      <c r="K141" s="113"/>
      <c r="L141" s="113"/>
      <c r="M141" s="109">
        <f t="shared" ca="1" si="23"/>
        <v>0</v>
      </c>
      <c r="N141" s="171">
        <f t="shared" ca="1" si="24"/>
        <v>0</v>
      </c>
      <c r="O141" s="113"/>
      <c r="P141" s="113"/>
      <c r="Q141" s="109">
        <f t="shared" ca="1" si="25"/>
        <v>0</v>
      </c>
      <c r="R141" s="171">
        <f t="shared" ca="1" si="26"/>
        <v>0</v>
      </c>
      <c r="S141" s="113"/>
      <c r="T141" s="113"/>
      <c r="U141" s="109">
        <f t="shared" ca="1" si="27"/>
        <v>0</v>
      </c>
      <c r="V141" s="171">
        <f t="shared" ca="1" si="28"/>
        <v>0</v>
      </c>
      <c r="W141" s="113"/>
      <c r="X141" s="113"/>
      <c r="Y141" s="109">
        <f t="shared" ca="1" si="29"/>
        <v>0</v>
      </c>
      <c r="Z141" s="171">
        <f t="shared" ca="1" si="30"/>
        <v>0</v>
      </c>
      <c r="AA141" s="113"/>
      <c r="AB141"/>
      <c r="AE141"/>
      <c r="AF141"/>
      <c r="AI141"/>
      <c r="AJ141"/>
      <c r="AM141"/>
      <c r="AN141"/>
      <c r="AQ141"/>
      <c r="AR141"/>
      <c r="AU141"/>
      <c r="AV141"/>
    </row>
    <row r="142" spans="2:48" hidden="1" outlineLevel="2">
      <c r="B142" s="114" t="s">
        <v>14</v>
      </c>
      <c r="C142" s="113"/>
      <c r="D142" s="113"/>
      <c r="E142" s="109">
        <f t="shared" ca="1" si="20"/>
        <v>0</v>
      </c>
      <c r="F142" s="171">
        <f t="shared" ca="1" si="31"/>
        <v>0</v>
      </c>
      <c r="G142" s="113"/>
      <c r="H142" s="113"/>
      <c r="I142" s="109">
        <f t="shared" ca="1" si="21"/>
        <v>0</v>
      </c>
      <c r="J142" s="171">
        <f t="shared" ca="1" si="22"/>
        <v>0</v>
      </c>
      <c r="K142" s="113"/>
      <c r="L142" s="113"/>
      <c r="M142" s="109">
        <f t="shared" ca="1" si="23"/>
        <v>0</v>
      </c>
      <c r="N142" s="171">
        <f t="shared" ca="1" si="24"/>
        <v>0</v>
      </c>
      <c r="O142" s="113"/>
      <c r="P142" s="113"/>
      <c r="Q142" s="109">
        <f t="shared" ca="1" si="25"/>
        <v>0</v>
      </c>
      <c r="R142" s="171">
        <f t="shared" ca="1" si="26"/>
        <v>0</v>
      </c>
      <c r="S142" s="113"/>
      <c r="T142" s="113"/>
      <c r="U142" s="109">
        <f t="shared" ca="1" si="27"/>
        <v>0</v>
      </c>
      <c r="V142" s="171">
        <f t="shared" ca="1" si="28"/>
        <v>0</v>
      </c>
      <c r="W142" s="113"/>
      <c r="X142" s="113"/>
      <c r="Y142" s="109">
        <f t="shared" ca="1" si="29"/>
        <v>0</v>
      </c>
      <c r="Z142" s="171">
        <f t="shared" ca="1" si="30"/>
        <v>0</v>
      </c>
      <c r="AA142" s="113"/>
      <c r="AB142"/>
      <c r="AE142"/>
      <c r="AF142"/>
      <c r="AI142"/>
      <c r="AJ142"/>
      <c r="AM142"/>
      <c r="AN142"/>
      <c r="AQ142"/>
      <c r="AR142"/>
      <c r="AU142"/>
      <c r="AV142"/>
    </row>
    <row r="143" spans="2:48" hidden="1" outlineLevel="2">
      <c r="B143" s="114" t="s">
        <v>15</v>
      </c>
      <c r="C143" s="113"/>
      <c r="D143" s="113"/>
      <c r="E143" s="109">
        <f t="shared" ca="1" si="20"/>
        <v>0</v>
      </c>
      <c r="F143" s="171">
        <f t="shared" ca="1" si="31"/>
        <v>0</v>
      </c>
      <c r="G143" s="113"/>
      <c r="H143" s="113"/>
      <c r="I143" s="109">
        <f t="shared" ca="1" si="21"/>
        <v>0</v>
      </c>
      <c r="J143" s="171">
        <f t="shared" ca="1" si="22"/>
        <v>0</v>
      </c>
      <c r="K143" s="113"/>
      <c r="L143" s="113"/>
      <c r="M143" s="109">
        <f t="shared" ca="1" si="23"/>
        <v>0</v>
      </c>
      <c r="N143" s="171">
        <f t="shared" ca="1" si="24"/>
        <v>0</v>
      </c>
      <c r="O143" s="113"/>
      <c r="P143" s="113"/>
      <c r="Q143" s="109">
        <f t="shared" ca="1" si="25"/>
        <v>0</v>
      </c>
      <c r="R143" s="171">
        <f t="shared" ca="1" si="26"/>
        <v>0</v>
      </c>
      <c r="S143" s="113"/>
      <c r="T143" s="113"/>
      <c r="U143" s="109">
        <f t="shared" ca="1" si="27"/>
        <v>0</v>
      </c>
      <c r="V143" s="171">
        <f t="shared" ca="1" si="28"/>
        <v>0</v>
      </c>
      <c r="W143" s="113"/>
      <c r="X143" s="113"/>
      <c r="Y143" s="109">
        <f t="shared" ca="1" si="29"/>
        <v>0</v>
      </c>
      <c r="Z143" s="171">
        <f t="shared" ca="1" si="30"/>
        <v>0</v>
      </c>
      <c r="AA143" s="113"/>
      <c r="AB143"/>
      <c r="AE143"/>
      <c r="AF143"/>
      <c r="AI143"/>
      <c r="AJ143"/>
      <c r="AM143"/>
      <c r="AN143"/>
      <c r="AQ143"/>
      <c r="AR143"/>
      <c r="AU143"/>
      <c r="AV143"/>
    </row>
    <row r="144" spans="2:48" hidden="1" outlineLevel="2">
      <c r="B144" s="114" t="s">
        <v>16</v>
      </c>
      <c r="C144" s="113"/>
      <c r="D144" s="113"/>
      <c r="E144" s="109">
        <f t="shared" ca="1" si="20"/>
        <v>0</v>
      </c>
      <c r="F144" s="171">
        <f t="shared" ca="1" si="31"/>
        <v>0</v>
      </c>
      <c r="G144" s="113"/>
      <c r="H144" s="113"/>
      <c r="I144" s="109">
        <f t="shared" ca="1" si="21"/>
        <v>0</v>
      </c>
      <c r="J144" s="171">
        <f t="shared" ca="1" si="22"/>
        <v>0</v>
      </c>
      <c r="K144" s="113"/>
      <c r="L144" s="113"/>
      <c r="M144" s="109">
        <f t="shared" ca="1" si="23"/>
        <v>0</v>
      </c>
      <c r="N144" s="171">
        <f t="shared" ca="1" si="24"/>
        <v>0</v>
      </c>
      <c r="O144" s="113"/>
      <c r="P144" s="113"/>
      <c r="Q144" s="109">
        <f t="shared" ca="1" si="25"/>
        <v>0</v>
      </c>
      <c r="R144" s="171">
        <f t="shared" ca="1" si="26"/>
        <v>0</v>
      </c>
      <c r="S144" s="113"/>
      <c r="T144" s="113"/>
      <c r="U144" s="109">
        <f t="shared" ca="1" si="27"/>
        <v>0</v>
      </c>
      <c r="V144" s="171">
        <f t="shared" ca="1" si="28"/>
        <v>0</v>
      </c>
      <c r="W144" s="113"/>
      <c r="X144" s="113"/>
      <c r="Y144" s="109">
        <f t="shared" ca="1" si="29"/>
        <v>0</v>
      </c>
      <c r="Z144" s="171">
        <f t="shared" ca="1" si="30"/>
        <v>0</v>
      </c>
      <c r="AA144" s="113"/>
      <c r="AB144"/>
      <c r="AE144"/>
      <c r="AF144"/>
      <c r="AI144"/>
      <c r="AJ144"/>
      <c r="AM144"/>
      <c r="AN144"/>
      <c r="AQ144"/>
      <c r="AR144"/>
      <c r="AU144"/>
      <c r="AV144"/>
    </row>
    <row r="145" spans="2:48" hidden="1" outlineLevel="2">
      <c r="B145" s="114" t="s">
        <v>17</v>
      </c>
      <c r="C145" s="113"/>
      <c r="D145" s="113"/>
      <c r="E145" s="109">
        <f t="shared" ca="1" si="20"/>
        <v>0</v>
      </c>
      <c r="F145" s="171">
        <f t="shared" ca="1" si="31"/>
        <v>0</v>
      </c>
      <c r="G145" s="113"/>
      <c r="H145" s="113"/>
      <c r="I145" s="109">
        <f t="shared" ca="1" si="21"/>
        <v>0</v>
      </c>
      <c r="J145" s="171">
        <f t="shared" ca="1" si="22"/>
        <v>0</v>
      </c>
      <c r="K145" s="113"/>
      <c r="L145" s="113"/>
      <c r="M145" s="109">
        <f t="shared" ca="1" si="23"/>
        <v>0</v>
      </c>
      <c r="N145" s="171">
        <f t="shared" ca="1" si="24"/>
        <v>0</v>
      </c>
      <c r="O145" s="113"/>
      <c r="P145" s="113"/>
      <c r="Q145" s="109">
        <f t="shared" ca="1" si="25"/>
        <v>0</v>
      </c>
      <c r="R145" s="171">
        <f t="shared" ca="1" si="26"/>
        <v>0</v>
      </c>
      <c r="S145" s="113"/>
      <c r="T145" s="113"/>
      <c r="U145" s="109">
        <f t="shared" ca="1" si="27"/>
        <v>0</v>
      </c>
      <c r="V145" s="171">
        <f t="shared" ca="1" si="28"/>
        <v>0</v>
      </c>
      <c r="W145" s="113"/>
      <c r="X145" s="113"/>
      <c r="Y145" s="109">
        <f t="shared" ca="1" si="29"/>
        <v>0</v>
      </c>
      <c r="Z145" s="171">
        <f t="shared" ca="1" si="30"/>
        <v>0</v>
      </c>
      <c r="AA145" s="113"/>
      <c r="AB145"/>
      <c r="AE145"/>
      <c r="AF145"/>
      <c r="AI145"/>
      <c r="AJ145"/>
      <c r="AM145"/>
      <c r="AN145"/>
      <c r="AQ145"/>
      <c r="AR145"/>
      <c r="AU145"/>
      <c r="AV145"/>
    </row>
    <row r="146" spans="2:48" hidden="1" outlineLevel="2">
      <c r="B146" s="114" t="s">
        <v>18</v>
      </c>
      <c r="C146" s="113"/>
      <c r="D146" s="113"/>
      <c r="E146" s="109">
        <f t="shared" ca="1" si="20"/>
        <v>0</v>
      </c>
      <c r="F146" s="171">
        <f t="shared" ca="1" si="31"/>
        <v>0</v>
      </c>
      <c r="G146" s="113"/>
      <c r="H146" s="113"/>
      <c r="I146" s="109">
        <f t="shared" ca="1" si="21"/>
        <v>0</v>
      </c>
      <c r="J146" s="171">
        <f t="shared" ca="1" si="22"/>
        <v>0</v>
      </c>
      <c r="K146" s="113"/>
      <c r="L146" s="113"/>
      <c r="M146" s="109">
        <f t="shared" ca="1" si="23"/>
        <v>0</v>
      </c>
      <c r="N146" s="171">
        <f t="shared" ca="1" si="24"/>
        <v>0</v>
      </c>
      <c r="O146" s="113"/>
      <c r="P146" s="113"/>
      <c r="Q146" s="109">
        <f t="shared" ca="1" si="25"/>
        <v>0</v>
      </c>
      <c r="R146" s="171">
        <f t="shared" ca="1" si="26"/>
        <v>0</v>
      </c>
      <c r="S146" s="113"/>
      <c r="T146" s="113"/>
      <c r="U146" s="109">
        <f t="shared" ca="1" si="27"/>
        <v>0</v>
      </c>
      <c r="V146" s="171">
        <f t="shared" ca="1" si="28"/>
        <v>0</v>
      </c>
      <c r="W146" s="113"/>
      <c r="X146" s="113"/>
      <c r="Y146" s="109">
        <f t="shared" ca="1" si="29"/>
        <v>0</v>
      </c>
      <c r="Z146" s="171">
        <f t="shared" ca="1" si="30"/>
        <v>0</v>
      </c>
      <c r="AA146" s="113"/>
      <c r="AB146"/>
      <c r="AE146"/>
      <c r="AF146"/>
      <c r="AI146"/>
      <c r="AJ146"/>
      <c r="AM146"/>
      <c r="AN146"/>
      <c r="AQ146"/>
      <c r="AR146"/>
      <c r="AU146"/>
      <c r="AV146"/>
    </row>
    <row r="147" spans="2:48" hidden="1" outlineLevel="2">
      <c r="B147" s="114" t="s">
        <v>19</v>
      </c>
      <c r="C147" s="113"/>
      <c r="D147" s="113"/>
      <c r="E147" s="109">
        <f t="shared" ca="1" si="20"/>
        <v>0</v>
      </c>
      <c r="F147" s="171">
        <f t="shared" ca="1" si="31"/>
        <v>0</v>
      </c>
      <c r="G147" s="113"/>
      <c r="H147" s="113"/>
      <c r="I147" s="109">
        <f t="shared" ca="1" si="21"/>
        <v>0</v>
      </c>
      <c r="J147" s="171">
        <f t="shared" ca="1" si="22"/>
        <v>0</v>
      </c>
      <c r="K147" s="113"/>
      <c r="L147" s="113"/>
      <c r="M147" s="109">
        <f t="shared" ca="1" si="23"/>
        <v>0</v>
      </c>
      <c r="N147" s="171">
        <f t="shared" ca="1" si="24"/>
        <v>0</v>
      </c>
      <c r="O147" s="113"/>
      <c r="P147" s="113"/>
      <c r="Q147" s="109">
        <f t="shared" ca="1" si="25"/>
        <v>0</v>
      </c>
      <c r="R147" s="171">
        <f t="shared" ca="1" si="26"/>
        <v>0</v>
      </c>
      <c r="S147" s="113"/>
      <c r="T147" s="113"/>
      <c r="U147" s="109">
        <f t="shared" ca="1" si="27"/>
        <v>0</v>
      </c>
      <c r="V147" s="171">
        <f t="shared" ca="1" si="28"/>
        <v>0</v>
      </c>
      <c r="W147" s="113"/>
      <c r="X147" s="113"/>
      <c r="Y147" s="109">
        <f t="shared" ca="1" si="29"/>
        <v>0</v>
      </c>
      <c r="Z147" s="171">
        <f t="shared" ca="1" si="30"/>
        <v>0</v>
      </c>
      <c r="AA147" s="113"/>
      <c r="AB147"/>
      <c r="AE147"/>
      <c r="AF147"/>
      <c r="AI147"/>
      <c r="AJ147"/>
      <c r="AM147"/>
      <c r="AN147"/>
      <c r="AQ147"/>
      <c r="AR147"/>
      <c r="AU147"/>
      <c r="AV147"/>
    </row>
    <row r="148" spans="2:48" hidden="1" outlineLevel="2">
      <c r="B148" s="114" t="s">
        <v>20</v>
      </c>
      <c r="C148" s="113"/>
      <c r="D148" s="113"/>
      <c r="E148" s="109">
        <f t="shared" ca="1" si="20"/>
        <v>0</v>
      </c>
      <c r="F148" s="171">
        <f t="shared" ca="1" si="31"/>
        <v>0</v>
      </c>
      <c r="G148" s="113"/>
      <c r="H148" s="113"/>
      <c r="I148" s="109">
        <f t="shared" ca="1" si="21"/>
        <v>0</v>
      </c>
      <c r="J148" s="171">
        <f t="shared" ca="1" si="22"/>
        <v>0</v>
      </c>
      <c r="K148" s="113"/>
      <c r="L148" s="113"/>
      <c r="M148" s="109">
        <f t="shared" ca="1" si="23"/>
        <v>0</v>
      </c>
      <c r="N148" s="171">
        <f t="shared" ca="1" si="24"/>
        <v>0</v>
      </c>
      <c r="O148" s="113"/>
      <c r="P148" s="113"/>
      <c r="Q148" s="109">
        <f t="shared" ca="1" si="25"/>
        <v>0</v>
      </c>
      <c r="R148" s="171">
        <f t="shared" ca="1" si="26"/>
        <v>0</v>
      </c>
      <c r="S148" s="113"/>
      <c r="T148" s="113"/>
      <c r="U148" s="109">
        <f t="shared" ca="1" si="27"/>
        <v>0</v>
      </c>
      <c r="V148" s="171">
        <f t="shared" ca="1" si="28"/>
        <v>0</v>
      </c>
      <c r="W148" s="113"/>
      <c r="X148" s="113"/>
      <c r="Y148" s="109">
        <f t="shared" ca="1" si="29"/>
        <v>0</v>
      </c>
      <c r="Z148" s="171">
        <f t="shared" ca="1" si="30"/>
        <v>0</v>
      </c>
      <c r="AA148" s="113"/>
      <c r="AB148"/>
      <c r="AE148"/>
      <c r="AF148"/>
      <c r="AI148"/>
      <c r="AJ148"/>
      <c r="AM148"/>
      <c r="AN148"/>
      <c r="AQ148"/>
      <c r="AR148"/>
      <c r="AU148"/>
      <c r="AV148"/>
    </row>
    <row r="149" spans="2:48" ht="15.75" hidden="1" outlineLevel="2" thickBot="1">
      <c r="B149" s="115" t="s">
        <v>21</v>
      </c>
      <c r="C149" s="113"/>
      <c r="D149" s="113"/>
      <c r="E149" s="109">
        <f t="shared" ca="1" si="20"/>
        <v>0</v>
      </c>
      <c r="F149" s="171">
        <f t="shared" ca="1" si="31"/>
        <v>0</v>
      </c>
      <c r="G149" s="113"/>
      <c r="H149" s="113"/>
      <c r="I149" s="109">
        <f t="shared" ca="1" si="21"/>
        <v>0</v>
      </c>
      <c r="J149" s="171">
        <f t="shared" ca="1" si="22"/>
        <v>0</v>
      </c>
      <c r="K149" s="113"/>
      <c r="L149" s="113"/>
      <c r="M149" s="109">
        <f t="shared" ca="1" si="23"/>
        <v>0</v>
      </c>
      <c r="N149" s="171">
        <f t="shared" ca="1" si="24"/>
        <v>0</v>
      </c>
      <c r="O149" s="113"/>
      <c r="P149" s="113"/>
      <c r="Q149" s="109">
        <f t="shared" ca="1" si="25"/>
        <v>0</v>
      </c>
      <c r="R149" s="171">
        <f t="shared" ca="1" si="26"/>
        <v>0</v>
      </c>
      <c r="S149" s="113"/>
      <c r="T149" s="113"/>
      <c r="U149" s="109">
        <f t="shared" ca="1" si="27"/>
        <v>0</v>
      </c>
      <c r="V149" s="171">
        <f t="shared" ca="1" si="28"/>
        <v>0</v>
      </c>
      <c r="W149" s="113"/>
      <c r="X149" s="113"/>
      <c r="Y149" s="109">
        <f t="shared" ca="1" si="29"/>
        <v>0</v>
      </c>
      <c r="Z149" s="171">
        <f t="shared" ca="1" si="30"/>
        <v>0</v>
      </c>
      <c r="AA149" s="113"/>
      <c r="AB149"/>
      <c r="AE149"/>
      <c r="AF149"/>
      <c r="AI149"/>
      <c r="AJ149"/>
      <c r="AM149"/>
      <c r="AN149"/>
      <c r="AQ149"/>
      <c r="AR149"/>
      <c r="AU149"/>
      <c r="AV149"/>
    </row>
    <row r="150" spans="2:48" ht="15.75" hidden="1" outlineLevel="1" thickBot="1">
      <c r="B150" s="173" t="s">
        <v>120</v>
      </c>
      <c r="E150" s="182">
        <f ca="1">IF(AND(E131&lt;#REF!,E132&lt;#REF!,E133&lt;#REF!,E134&lt;#REF!,E135&lt;#REF!,E136&lt;#REF!,E137&lt;#REF!,E138&lt;#REF!,E139&lt;#REF!,E140&lt;#REF!,E141&lt;#REF!,E142&lt;#REF!,E143&lt;#REF!,E144&lt;#REF!,E145&lt;#REF!,E146&lt;#REF!,E147&lt;#REF!,E148&lt;#REF!,E149&lt;#REF!),0,1)</f>
        <v>1</v>
      </c>
      <c r="F150" s="182">
        <f ca="1">IF(AND(F131&lt;#REF!,F132&lt;#REF!,F133&lt;#REF!,F134&lt;#REF!,F135&lt;#REF!,F136&lt;#REF!,F137&lt;#REF!,F138&lt;#REF!,F139&lt;#REF!,F140&lt;#REF!,F141&lt;#REF!,F142&lt;#REF!,F143&lt;#REF!,F144&lt;#REF!,F145&lt;#REF!,F146&lt;#REF!,F147&lt;#REF!,F148&lt;#REF!,F149&lt;#REF!),0,1)</f>
        <v>1</v>
      </c>
      <c r="G150" s="113"/>
      <c r="H150" s="113"/>
      <c r="I150" s="182">
        <f ca="1">IF(AND(I131&lt;#REF!,I132&lt;#REF!,I133&lt;#REF!,I134&lt;#REF!,I135&lt;#REF!,I136&lt;#REF!,I137&lt;#REF!,I138&lt;#REF!,I139&lt;#REF!,I140&lt;#REF!,I141&lt;#REF!,I142&lt;#REF!,I143&lt;#REF!,I144&lt;#REF!,I145&lt;#REF!,I146&lt;#REF!,I147&lt;#REF!,I148&lt;#REF!,I149&lt;#REF!),0,1)</f>
        <v>1</v>
      </c>
      <c r="J150" s="182">
        <f ca="1">IF(AND(J131&lt;#REF!,J132&lt;#REF!,J133&lt;#REF!,J134&lt;#REF!,J135&lt;#REF!,J136&lt;#REF!,J137&lt;#REF!,J138&lt;#REF!,J139&lt;#REF!,J140&lt;#REF!,J141&lt;#REF!,J142&lt;#REF!,J143&lt;#REF!,J144&lt;#REF!,J145&lt;#REF!,J146&lt;#REF!,J147&lt;#REF!,J148&lt;#REF!,J149&lt;#REF!),0,1)</f>
        <v>1</v>
      </c>
      <c r="K150" s="113"/>
      <c r="L150" s="113"/>
      <c r="M150" s="182">
        <f ca="1">IF(AND(M131&lt;#REF!,M132&lt;#REF!,M133&lt;#REF!,M134&lt;#REF!,M135&lt;#REF!,M136&lt;#REF!,M137&lt;#REF!,M138&lt;#REF!,M139&lt;#REF!,M140&lt;#REF!,M141&lt;#REF!,M142&lt;#REF!,M143&lt;#REF!,M144&lt;#REF!,M145&lt;#REF!,M146&lt;#REF!,M147&lt;#REF!,M148&lt;#REF!,M149&lt;#REF!),0,1)</f>
        <v>1</v>
      </c>
      <c r="N150" s="182">
        <f ca="1">IF(AND(N131&lt;#REF!,N132&lt;#REF!,N133&lt;#REF!,N134&lt;#REF!,N135&lt;#REF!,N136&lt;#REF!,N137&lt;#REF!,N138&lt;#REF!,N139&lt;#REF!,N140&lt;#REF!,N141&lt;#REF!,N142&lt;#REF!,N143&lt;#REF!,N144&lt;#REF!,N145&lt;#REF!,N146&lt;#REF!,N147&lt;#REF!,N148&lt;#REF!,N149&lt;#REF!),0,1)</f>
        <v>1</v>
      </c>
      <c r="O150" s="113"/>
      <c r="P150" s="113"/>
      <c r="Q150" s="182">
        <f ca="1">IF(AND(Q131&lt;#REF!,Q132&lt;#REF!,Q133&lt;#REF!,Q134&lt;#REF!,Q135&lt;#REF!,Q136&lt;#REF!,Q137&lt;#REF!,Q138&lt;#REF!,Q139&lt;#REF!,Q140&lt;#REF!,Q141&lt;#REF!,Q142&lt;#REF!,Q143&lt;#REF!,Q144&lt;#REF!,Q145&lt;#REF!,Q146&lt;#REF!,Q147&lt;#REF!,Q148&lt;#REF!,Q149&lt;#REF!),0,1)</f>
        <v>1</v>
      </c>
      <c r="R150" s="182">
        <f ca="1">IF(AND(R131&lt;#REF!,R132&lt;#REF!,R133&lt;#REF!,R134&lt;#REF!,R135&lt;#REF!,R136&lt;#REF!,R137&lt;#REF!,R138&lt;#REF!,R139&lt;#REF!,R140&lt;#REF!,R141&lt;#REF!,R142&lt;#REF!,R143&lt;#REF!,R144&lt;#REF!,R145&lt;#REF!,R146&lt;#REF!,R147&lt;#REF!,R148&lt;#REF!,R149&lt;#REF!),0,1)</f>
        <v>1</v>
      </c>
      <c r="S150" s="113"/>
      <c r="T150" s="113"/>
      <c r="U150" s="182">
        <f ca="1">IF(AND(U131&lt;#REF!,U132&lt;#REF!,U133&lt;#REF!,U134&lt;#REF!,U135&lt;#REF!,U136&lt;#REF!,U137&lt;#REF!,U138&lt;#REF!,U139&lt;#REF!,U140&lt;#REF!,U141&lt;#REF!,U142&lt;#REF!,U143&lt;#REF!,U144&lt;#REF!,U145&lt;#REF!,U146&lt;#REF!,U147&lt;#REF!,U148&lt;#REF!,U149&lt;#REF!),0,1)</f>
        <v>1</v>
      </c>
      <c r="V150" s="182">
        <f ca="1">IF(AND(V131&lt;#REF!,V132&lt;#REF!,V133&lt;#REF!,V134&lt;#REF!,V135&lt;#REF!,V136&lt;#REF!,V137&lt;#REF!,V138&lt;#REF!,V139&lt;#REF!,V140&lt;#REF!,V141&lt;#REF!,V142&lt;#REF!,V143&lt;#REF!,V144&lt;#REF!,V145&lt;#REF!,V146&lt;#REF!,V147&lt;#REF!,V148&lt;#REF!,V149&lt;#REF!),0,1)</f>
        <v>1</v>
      </c>
      <c r="W150" s="113"/>
      <c r="X150" s="113"/>
      <c r="Y150" s="182">
        <f ca="1">IF(AND(Y131&lt;#REF!,Y132&lt;#REF!,Y133&lt;#REF!,Y134&lt;#REF!,Y135&lt;#REF!,Y136&lt;#REF!,Y137&lt;#REF!,Y138&lt;#REF!,Y139&lt;#REF!,Y140&lt;#REF!,Y141&lt;#REF!,Y142&lt;#REF!,Y143&lt;#REF!,Y144&lt;#REF!,Y145&lt;#REF!,Y146&lt;#REF!,Y147&lt;#REF!,Y148&lt;#REF!,Y149&lt;#REF!),0,1)</f>
        <v>1</v>
      </c>
      <c r="Z150" s="182">
        <f ca="1">IF(AND(Z131&lt;#REF!,Z132&lt;#REF!,Z133&lt;#REF!,Z134&lt;#REF!,Z135&lt;#REF!,Z136&lt;#REF!,Z137&lt;#REF!,Z138&lt;#REF!,Z139&lt;#REF!,Z140&lt;#REF!,Z141&lt;#REF!,Z142&lt;#REF!,Z143&lt;#REF!,Z144&lt;#REF!,Z145&lt;#REF!,Z146&lt;#REF!,Z147&lt;#REF!,Z148&lt;#REF!,Z149&lt;#REF!),0,1)</f>
        <v>1</v>
      </c>
      <c r="AA150" s="113"/>
    </row>
    <row r="151" spans="2:48" hidden="1" outlineLevel="1">
      <c r="B151" s="172"/>
      <c r="E151" s="181"/>
      <c r="F151" s="181"/>
      <c r="G151" s="113"/>
      <c r="H151" s="113"/>
      <c r="I151" s="181"/>
      <c r="J151" s="181"/>
      <c r="K151" s="113"/>
      <c r="L151" s="113"/>
      <c r="M151" s="181"/>
      <c r="N151" s="181"/>
      <c r="O151" s="113"/>
      <c r="P151" s="113"/>
      <c r="Q151" s="181"/>
      <c r="R151" s="181"/>
      <c r="S151" s="113"/>
      <c r="T151" s="113"/>
      <c r="U151" s="181"/>
      <c r="V151" s="181"/>
      <c r="W151" s="113"/>
      <c r="X151" s="113"/>
      <c r="Y151" s="181"/>
      <c r="Z151" s="181"/>
      <c r="AA151" s="113"/>
    </row>
    <row r="152" spans="2:48" collapsed="1">
      <c r="O152" s="113"/>
      <c r="P152" s="113"/>
      <c r="S152" s="113"/>
      <c r="T152" s="113"/>
      <c r="W152" s="113"/>
      <c r="X152" s="113"/>
      <c r="AA152" s="113"/>
    </row>
    <row r="153" spans="2:48" ht="18">
      <c r="B153" s="221" t="s">
        <v>100</v>
      </c>
      <c r="C153" s="221"/>
      <c r="D153" s="221"/>
      <c r="E153" s="221"/>
      <c r="F153" s="221"/>
      <c r="G153" s="221"/>
      <c r="H153" s="221"/>
      <c r="I153" s="221"/>
      <c r="J153" s="221"/>
      <c r="K153"/>
      <c r="L153"/>
      <c r="O153" s="113"/>
      <c r="P153" s="113"/>
      <c r="S153" s="113"/>
      <c r="T153" s="113"/>
      <c r="W153" s="113"/>
      <c r="X153" s="113"/>
      <c r="AA153" s="113"/>
      <c r="AB153"/>
      <c r="AE153"/>
      <c r="AF153"/>
      <c r="AI153"/>
      <c r="AJ153"/>
      <c r="AM153"/>
      <c r="AN153"/>
      <c r="AQ153"/>
      <c r="AR153"/>
      <c r="AU153"/>
      <c r="AV153"/>
    </row>
    <row r="154" spans="2:48" s="76" customFormat="1" ht="18.75" hidden="1" outlineLevel="1" thickBot="1">
      <c r="B154" s="144"/>
      <c r="E154" s="76" t="s">
        <v>109</v>
      </c>
      <c r="F154" s="76" t="s">
        <v>110</v>
      </c>
      <c r="I154" s="76" t="s">
        <v>111</v>
      </c>
      <c r="J154" s="76" t="s">
        <v>112</v>
      </c>
      <c r="O154" s="113"/>
      <c r="P154" s="113"/>
      <c r="S154" s="113"/>
      <c r="T154" s="113"/>
      <c r="W154" s="113"/>
      <c r="X154" s="113"/>
      <c r="AA154" s="113"/>
    </row>
    <row r="155" spans="2:48" ht="15.75" hidden="1" outlineLevel="1" thickBot="1">
      <c r="C155" s="76"/>
      <c r="D155" s="76"/>
      <c r="E155" s="128" t="s">
        <v>104</v>
      </c>
      <c r="F155" s="207" t="s">
        <v>105</v>
      </c>
      <c r="I155" s="128" t="s">
        <v>106</v>
      </c>
      <c r="J155" s="208" t="s">
        <v>107</v>
      </c>
      <c r="K155"/>
      <c r="L155"/>
      <c r="O155" s="113"/>
      <c r="P155" s="113"/>
      <c r="S155" s="113"/>
      <c r="T155" s="113"/>
      <c r="W155" s="113"/>
      <c r="X155" s="113"/>
      <c r="AA155" s="113"/>
      <c r="AB155"/>
      <c r="AE155"/>
      <c r="AF155"/>
      <c r="AI155"/>
      <c r="AJ155"/>
      <c r="AM155"/>
      <c r="AN155"/>
      <c r="AQ155"/>
      <c r="AR155"/>
      <c r="AU155"/>
      <c r="AV155"/>
    </row>
    <row r="156" spans="2:48" ht="15.75" hidden="1" outlineLevel="1" thickBot="1">
      <c r="C156" s="76"/>
      <c r="D156" s="76"/>
      <c r="E156" s="107"/>
      <c r="F156" s="107"/>
      <c r="I156" s="107"/>
      <c r="J156" s="107"/>
      <c r="O156"/>
      <c r="P156"/>
      <c r="S156" s="113"/>
      <c r="T156" s="113"/>
      <c r="W156" s="113"/>
      <c r="X156" s="113"/>
      <c r="AA156" s="113"/>
      <c r="AB156"/>
      <c r="AE156"/>
      <c r="AF156"/>
      <c r="AI156"/>
      <c r="AJ156"/>
      <c r="AM156"/>
      <c r="AN156"/>
      <c r="AQ156"/>
      <c r="AR156"/>
      <c r="AU156"/>
      <c r="AV156"/>
    </row>
    <row r="157" spans="2:48" ht="15.75" hidden="1" outlineLevel="1">
      <c r="B157" s="137" t="s">
        <v>84</v>
      </c>
      <c r="C157" s="76"/>
      <c r="D157" s="76"/>
      <c r="E157" s="108"/>
      <c r="F157" s="108"/>
      <c r="I157" s="108"/>
      <c r="J157" s="108"/>
      <c r="O157"/>
      <c r="P157"/>
      <c r="S157" s="113"/>
      <c r="T157" s="113"/>
      <c r="W157" s="113"/>
      <c r="X157" s="113"/>
      <c r="AA157" s="113"/>
      <c r="AB157"/>
      <c r="AE157"/>
      <c r="AF157"/>
      <c r="AI157"/>
      <c r="AJ157"/>
      <c r="AM157"/>
      <c r="AN157"/>
      <c r="AQ157"/>
      <c r="AR157"/>
      <c r="AU157"/>
      <c r="AV157"/>
    </row>
    <row r="158" spans="2:48" ht="30" hidden="1" outlineLevel="2">
      <c r="B158" s="104" t="s">
        <v>101</v>
      </c>
      <c r="C158" s="76"/>
      <c r="D158" s="76"/>
      <c r="E158" s="116">
        <f ca="1">ROUND((E40+I40+M40),4)</f>
        <v>-96.028199999999998</v>
      </c>
      <c r="F158" s="116">
        <f ca="1">ROUND((E40+I40+M40+Q40+U40+Y40),4)</f>
        <v>78.2273</v>
      </c>
      <c r="I158" s="116">
        <f ca="1">ROUND((E40+I40+M40+Q40+U40+Y40+AC40+AG40+AK40),4)</f>
        <v>78.2273</v>
      </c>
      <c r="J158" s="116">
        <f ca="1">ROUND((E40+I40+M40+Q40+U40+Y40+AC40+AG40+AK40+AO40+AS40+AW40),4)</f>
        <v>78.2273</v>
      </c>
      <c r="O158"/>
      <c r="P158"/>
      <c r="S158" s="113"/>
      <c r="T158" s="113"/>
      <c r="W158" s="113"/>
      <c r="X158" s="113"/>
      <c r="AA158" s="113"/>
      <c r="AB158"/>
      <c r="AE158"/>
      <c r="AF158"/>
      <c r="AI158"/>
      <c r="AJ158"/>
      <c r="AM158"/>
      <c r="AN158"/>
      <c r="AQ158"/>
      <c r="AR158"/>
      <c r="AU158"/>
      <c r="AV158"/>
    </row>
    <row r="159" spans="2:48" ht="30.75" hidden="1" outlineLevel="2" thickBot="1">
      <c r="B159" s="104" t="s">
        <v>102</v>
      </c>
      <c r="C159" s="76"/>
      <c r="D159" s="76"/>
      <c r="E159" s="117">
        <f ca="1">ROUND(E73,4)</f>
        <v>-96.028199999999998</v>
      </c>
      <c r="F159" s="116">
        <f ca="1">ROUND(I73,4)</f>
        <v>78.2273</v>
      </c>
      <c r="I159" s="117">
        <f ca="1">ROUND(I73,4)</f>
        <v>78.2273</v>
      </c>
      <c r="J159" s="117">
        <f ca="1">ROUND(M73,4)</f>
        <v>0</v>
      </c>
      <c r="O159"/>
      <c r="P159"/>
      <c r="S159" s="113"/>
      <c r="T159" s="113"/>
      <c r="W159" s="113"/>
      <c r="X159" s="113"/>
      <c r="AA159" s="113"/>
      <c r="AB159"/>
      <c r="AE159"/>
      <c r="AF159"/>
      <c r="AI159"/>
      <c r="AJ159"/>
      <c r="AM159"/>
      <c r="AN159"/>
      <c r="AQ159"/>
      <c r="AR159"/>
      <c r="AU159"/>
      <c r="AV159"/>
    </row>
    <row r="160" spans="2:48" ht="15.75" hidden="1" outlineLevel="1" thickBot="1">
      <c r="B160" s="106" t="s">
        <v>77</v>
      </c>
      <c r="C160" s="76"/>
      <c r="D160" s="76"/>
      <c r="E160" s="182">
        <f ca="1">IF(E158=E159,0,1)</f>
        <v>0</v>
      </c>
      <c r="F160" s="182">
        <f ca="1">IF(F158=F159,0,1)</f>
        <v>0</v>
      </c>
      <c r="I160" s="182">
        <f ca="1">IF(I158=I159,0,1)</f>
        <v>0</v>
      </c>
      <c r="J160" s="182">
        <f ca="1">IF(J158=J159,0,1)</f>
        <v>1</v>
      </c>
      <c r="O160"/>
      <c r="P160"/>
      <c r="S160" s="113"/>
      <c r="T160" s="113"/>
      <c r="W160" s="113"/>
      <c r="X160" s="113"/>
      <c r="AA160" s="113"/>
      <c r="AB160"/>
      <c r="AE160"/>
      <c r="AF160"/>
      <c r="AI160"/>
      <c r="AJ160"/>
      <c r="AM160"/>
      <c r="AN160"/>
      <c r="AQ160"/>
      <c r="AR160"/>
      <c r="AU160"/>
      <c r="AV160"/>
    </row>
    <row r="161" spans="2:48" ht="15.75" hidden="1" outlineLevel="1" thickBot="1">
      <c r="C161" s="76"/>
      <c r="D161" s="76"/>
      <c r="K161"/>
      <c r="L161"/>
      <c r="O161"/>
      <c r="P161"/>
      <c r="S161" s="113"/>
      <c r="T161" s="113"/>
      <c r="W161" s="113"/>
      <c r="X161" s="113"/>
      <c r="AA161" s="113"/>
      <c r="AB161"/>
      <c r="AE161"/>
      <c r="AF161"/>
      <c r="AI161"/>
      <c r="AJ161"/>
      <c r="AM161"/>
      <c r="AN161"/>
      <c r="AQ161"/>
      <c r="AR161"/>
      <c r="AU161"/>
      <c r="AV161"/>
    </row>
    <row r="162" spans="2:48" ht="15.75" hidden="1" outlineLevel="1">
      <c r="B162" s="137" t="s">
        <v>103</v>
      </c>
      <c r="E162" s="108"/>
      <c r="F162" s="142"/>
      <c r="G162"/>
      <c r="H162"/>
      <c r="I162" s="108"/>
      <c r="J162" s="142"/>
      <c r="K162"/>
      <c r="L162"/>
      <c r="O162"/>
      <c r="P162"/>
      <c r="S162" s="113"/>
      <c r="T162" s="113"/>
      <c r="W162" s="113"/>
      <c r="X162" s="113"/>
      <c r="AA162" s="113"/>
      <c r="AB162"/>
      <c r="AE162"/>
      <c r="AF162"/>
      <c r="AI162"/>
      <c r="AJ162"/>
      <c r="AM162"/>
      <c r="AN162"/>
      <c r="AQ162"/>
      <c r="AR162"/>
      <c r="AU162"/>
      <c r="AV162"/>
    </row>
    <row r="163" spans="2:48" hidden="1" outlineLevel="2">
      <c r="B163" s="104" t="s">
        <v>89</v>
      </c>
      <c r="E163" s="143">
        <f ca="1">ROUND(((1+SUM($E$20:$E$38))*(1+SUM($I$20:$I$38))*(1+SUM($M$20:$M$38))-1),4)</f>
        <v>-8.8000000000000005E-3</v>
      </c>
      <c r="F163" s="143">
        <f ca="1">ROUND((1+SUM($Q$20:$Q$38))*(1+SUM($U$20:$U$38))*(1+SUM($Y$20:$Y$38))-1,4)</f>
        <v>1.55E-2</v>
      </c>
      <c r="I163" s="143">
        <f ca="1">ROUND((1+SUM($AC$20:$AC$38))*(1+SUM($AG$20:$AG$38))*(1+SUM($AK$20:$AK$38))-1,4)</f>
        <v>0</v>
      </c>
      <c r="J163" s="143">
        <f ca="1">ROUND((1+SUM($AO$20:$AO$38))*(1+SUM($AS$20:$AS$38))*(1+SUM($AW$20:$AW$38))-1,4)</f>
        <v>0</v>
      </c>
      <c r="S163" s="113"/>
      <c r="T163" s="113"/>
      <c r="W163" s="113"/>
      <c r="X163" s="113"/>
      <c r="AA163" s="113"/>
    </row>
    <row r="164" spans="2:48" ht="30" hidden="1" outlineLevel="2">
      <c r="B164" s="111" t="s">
        <v>90</v>
      </c>
      <c r="E164" s="143">
        <f ca="1">ROUND(((1+$E$44)*(1+$I$44)*(1+$M$44)-1),4)</f>
        <v>-8.8000000000000005E-3</v>
      </c>
      <c r="F164" s="143">
        <f ca="1">ROUND((1+$Q$44)*(1+$U$44)*(1+$Y$44)-1,4)</f>
        <v>1.55E-2</v>
      </c>
      <c r="I164" s="143">
        <f ca="1">ROUND((1+$AC$44)*(1+$AG$44)*(1+$AK$44)-1,4)</f>
        <v>0</v>
      </c>
      <c r="J164" s="143">
        <f ca="1">ROUND((1+$AO$44)*(1+$AS$44)*(1+$AW$44)-1,4)</f>
        <v>0</v>
      </c>
      <c r="S164" s="113"/>
      <c r="T164" s="113"/>
      <c r="W164" s="113"/>
      <c r="X164" s="113"/>
      <c r="AA164" s="113"/>
    </row>
    <row r="165" spans="2:48" ht="30" hidden="1" outlineLevel="2">
      <c r="B165" s="111" t="s">
        <v>91</v>
      </c>
      <c r="E165" s="143">
        <f ca="1">ROUND(((1+$E$48)*(1+$I$48)*(1+$M$48)-1),4)</f>
        <v>-8.8000000000000005E-3</v>
      </c>
      <c r="F165" s="143">
        <f ca="1">ROUND((1+$Q$48)*(1+$U$48)*(1+$Y$48)-1,4)</f>
        <v>1.55E-2</v>
      </c>
      <c r="I165" s="143">
        <f ca="1">ROUND((1+$AC$48)*(1+$AG$48)*(1+$AK$48)-1,4)</f>
        <v>0</v>
      </c>
      <c r="J165" s="143">
        <f ca="1">ROUND((1+$AO$48)*(1+$AS$48)*(1+$AW$48)-1,4)</f>
        <v>0</v>
      </c>
      <c r="S165" s="113"/>
      <c r="T165" s="113"/>
      <c r="W165" s="113"/>
      <c r="X165" s="113"/>
      <c r="AA165" s="113"/>
    </row>
    <row r="166" spans="2:48" ht="15.75" hidden="1" outlineLevel="2" thickBot="1">
      <c r="B166" s="111" t="s">
        <v>108</v>
      </c>
      <c r="E166" s="143">
        <f ca="1">ROUND(_xll.DBRW("canaf:YLD_Components",$C$1,$B$5,$E$3,$F$3,$I$1,$I$2,$E$154,$I$3,$I$4,$F$4),4)</f>
        <v>-8.8000000000000005E-3</v>
      </c>
      <c r="F166" s="143">
        <f ca="1">ROUND(_xll.DBRW("canaf:YLD_Components",$C$1,$B$5,$E$3,$F$3,$I$1,$I$2,$F$154,$I$3,$I$4,$F$4),4)</f>
        <v>6.6E-3</v>
      </c>
      <c r="I166" s="143">
        <f ca="1">ROUND(_xll.DBRW("canaf:YLD_Components",$C$1,$B$5,$E$3,$F$3,$I$1,$I$2,$I$154,$I$3,$I$4,$F$4),4)</f>
        <v>6.6E-3</v>
      </c>
      <c r="J166" s="143">
        <f ca="1">ROUND(_xll.DBRW("canaf:YLD_Components",$C$1,$B$5,$E$3,$F$3,$I$1,$I$2,$J$154,$I$3,$I$4,$F$4),4)</f>
        <v>6.6E-3</v>
      </c>
      <c r="S166" s="113"/>
      <c r="T166" s="113"/>
      <c r="W166" s="113"/>
      <c r="X166" s="113"/>
      <c r="AA166" s="113"/>
    </row>
    <row r="167" spans="2:48" ht="15.75" hidden="1" outlineLevel="1" thickBot="1">
      <c r="B167" s="106" t="s">
        <v>77</v>
      </c>
      <c r="E167" s="183">
        <f ca="1">IF(AND(E163=E166,E164=E166,E165=E166),0,1)</f>
        <v>0</v>
      </c>
      <c r="F167" s="183">
        <f ca="1">IF(AND(F163=F166,F164=F166,F165=F166),0,1)</f>
        <v>1</v>
      </c>
      <c r="I167" s="183">
        <f ca="1">IF(AND(I163=I166,I164=I166,I165=I166),0,1)</f>
        <v>1</v>
      </c>
      <c r="J167" s="183">
        <f ca="1">IF(AND(J163=J166,J164=J166,J165=J166),0,1)</f>
        <v>1</v>
      </c>
      <c r="S167" s="113"/>
      <c r="T167" s="113"/>
      <c r="W167" s="113"/>
      <c r="X167" s="113"/>
      <c r="AA167" s="113"/>
    </row>
    <row r="168" spans="2:48" ht="15.75" hidden="1" outlineLevel="1" thickBot="1">
      <c r="S168" s="113"/>
      <c r="T168" s="113"/>
      <c r="W168" s="113"/>
      <c r="X168" s="113"/>
      <c r="AA168" s="113"/>
    </row>
    <row r="169" spans="2:48" ht="31.5" hidden="1" outlineLevel="1">
      <c r="B169" s="167" t="s">
        <v>113</v>
      </c>
      <c r="E169" s="193"/>
      <c r="F169" s="192"/>
      <c r="I169" s="193"/>
      <c r="J169" s="192"/>
      <c r="S169" s="113"/>
      <c r="T169" s="113"/>
      <c r="W169" s="113"/>
      <c r="X169" s="113"/>
      <c r="AA169" s="113"/>
    </row>
    <row r="170" spans="2:48" hidden="1" outlineLevel="2">
      <c r="B170" s="105" t="s">
        <v>141</v>
      </c>
      <c r="E170" s="180">
        <f ca="1">ROUND(_xll.DBRW("canaf:Data",$I$2,$E$154,$D$1,$D$3,$I$3),4)</f>
        <v>0</v>
      </c>
      <c r="F170" s="143">
        <f ca="1">ROUND(_xll.DBRW("canaf:Data",$I$2,$F$154,$D$1,$D$3,$I$3),4)</f>
        <v>-1</v>
      </c>
      <c r="I170" s="180">
        <f ca="1">ROUND(_xll.DBRW("canaf:Data",$I$2,$I$154,$D$1,$D$3,$I$3),4)</f>
        <v>-1</v>
      </c>
      <c r="J170" s="143">
        <f ca="1">ROUND(_xll.DBRW("canaf:Data",$I$2,$J$154,$D$1,$D$3,$I$3),4)</f>
        <v>-1</v>
      </c>
      <c r="S170" s="113"/>
      <c r="T170" s="113"/>
      <c r="W170" s="113"/>
      <c r="X170" s="113"/>
      <c r="AA170" s="113"/>
    </row>
    <row r="171" spans="2:48" ht="30.75" hidden="1" outlineLevel="2" thickBot="1">
      <c r="B171" s="119" t="s">
        <v>142</v>
      </c>
      <c r="E171" s="200">
        <f ca="1">ROUND(E72,4)</f>
        <v>-8.8000000000000005E-3</v>
      </c>
      <c r="F171" s="185">
        <f ca="1">ROUND(I72,4)</f>
        <v>6.6E-3</v>
      </c>
      <c r="I171" s="200">
        <f ca="1">ROUND(M72,4)</f>
        <v>0</v>
      </c>
      <c r="J171" s="185">
        <f ca="1">ROUND(Q72,4)</f>
        <v>0</v>
      </c>
      <c r="S171" s="113"/>
      <c r="T171" s="113"/>
      <c r="W171" s="113"/>
      <c r="X171" s="113"/>
      <c r="AA171" s="113"/>
    </row>
    <row r="172" spans="2:48" ht="15.75" hidden="1" outlineLevel="1" thickBot="1">
      <c r="B172" s="199" t="s">
        <v>120</v>
      </c>
      <c r="E172" s="201">
        <f ca="1">IF(E170=E171,0,1)</f>
        <v>1</v>
      </c>
      <c r="F172" s="183">
        <f ca="1">IF(F170=F171,0,1)</f>
        <v>1</v>
      </c>
      <c r="I172" s="201">
        <f ca="1">IF(I170=I171,0,1)</f>
        <v>1</v>
      </c>
      <c r="J172" s="183">
        <f ca="1">IF(J170=J171,0,1)</f>
        <v>1</v>
      </c>
      <c r="S172" s="113"/>
      <c r="T172" s="113"/>
      <c r="W172" s="113"/>
      <c r="X172" s="113"/>
      <c r="AA172" s="113"/>
    </row>
    <row r="173" spans="2:48" ht="15.75" hidden="1" outlineLevel="1" thickBot="1">
      <c r="S173" s="113"/>
      <c r="T173" s="113"/>
      <c r="W173" s="113"/>
      <c r="X173" s="113"/>
      <c r="AA173" s="113"/>
    </row>
    <row r="174" spans="2:48" ht="15.75" hidden="1" outlineLevel="1">
      <c r="B174" s="137" t="s">
        <v>114</v>
      </c>
      <c r="E174" s="108"/>
      <c r="F174" s="108"/>
      <c r="G174"/>
      <c r="H174"/>
      <c r="I174" s="108"/>
      <c r="J174" s="108"/>
      <c r="S174" s="113"/>
      <c r="T174" s="113"/>
      <c r="W174" s="113"/>
      <c r="X174" s="113"/>
      <c r="AA174" s="113"/>
    </row>
    <row r="175" spans="2:48" ht="45" hidden="1" outlineLevel="2">
      <c r="B175" s="104" t="s">
        <v>115</v>
      </c>
      <c r="E175" s="143">
        <f ca="1">(1+E43)*(1+I43)*(1+M43)-1</f>
        <v>0</v>
      </c>
      <c r="F175" s="143">
        <f ca="1">(1+E43)*(1+I43)*(1+M43)*(1+Q43)*(1+U43)*(1+Y43)-1</f>
        <v>0</v>
      </c>
      <c r="G175" s="166"/>
      <c r="H175" s="166"/>
      <c r="I175" s="143">
        <f ca="1">(1+E43)*(1+I43)*(1+M43)*(1+Q43)*(1+U43)*(1+Y43)*(1+AC43)*(1+AG43)*(1+AK43)-1</f>
        <v>0</v>
      </c>
      <c r="J175" s="143">
        <f ca="1">(1+E43)*(1+I43)*(1+M43)*(1+Q43)*(1+U43)*(1+Y43)*(1+AC43)*(1+AG43)*(1+AK43)*(1+AO43)*(1+AS43)*(1+AW43)-1</f>
        <v>0</v>
      </c>
      <c r="S175" s="113"/>
      <c r="T175" s="113"/>
      <c r="W175" s="113"/>
      <c r="X175" s="113"/>
      <c r="AA175" s="113"/>
    </row>
    <row r="176" spans="2:48" ht="30" hidden="1" outlineLevel="2">
      <c r="B176" s="104" t="s">
        <v>116</v>
      </c>
      <c r="E176" s="143">
        <f ca="1">E76</f>
        <v>5.771359848100871E-7</v>
      </c>
      <c r="F176" s="143">
        <f ca="1">I76</f>
        <v>4.2984962288555514E-5</v>
      </c>
      <c r="G176" s="166"/>
      <c r="H176" s="166"/>
      <c r="I176" s="143">
        <f ca="1">M76</f>
        <v>0</v>
      </c>
      <c r="J176" s="143">
        <f ca="1">Q76</f>
        <v>0</v>
      </c>
      <c r="S176" s="113"/>
      <c r="T176" s="113"/>
      <c r="W176" s="113"/>
      <c r="X176" s="113"/>
      <c r="AA176" s="113"/>
    </row>
    <row r="177" spans="2:27" customFormat="1" ht="15.75" hidden="1" outlineLevel="2" thickBot="1">
      <c r="B177" s="105" t="s">
        <v>79</v>
      </c>
      <c r="E177" s="143">
        <f ca="1">ABS(E175-E176)</f>
        <v>5.771359848100871E-7</v>
      </c>
      <c r="F177" s="143">
        <f ca="1">ABS(F175-F176)</f>
        <v>4.2984962288555514E-5</v>
      </c>
      <c r="G177" s="166"/>
      <c r="H177" s="166"/>
      <c r="I177" s="143">
        <f ca="1">ABS(I175-I176)</f>
        <v>0</v>
      </c>
      <c r="J177" s="143">
        <f ca="1">ABS(J175-J176)</f>
        <v>0</v>
      </c>
      <c r="K177" s="76"/>
      <c r="L177" s="76"/>
      <c r="O177" s="76"/>
      <c r="P177" s="76"/>
      <c r="S177" s="113"/>
      <c r="T177" s="113"/>
      <c r="W177" s="113"/>
      <c r="X177" s="113"/>
      <c r="AA177" s="113"/>
    </row>
    <row r="178" spans="2:27" customFormat="1" ht="15.75" hidden="1" outlineLevel="1" thickBot="1">
      <c r="B178" s="106" t="s">
        <v>120</v>
      </c>
      <c r="E178" s="183">
        <f ca="1">ABS(IF(E177 &lt;#REF!,0,1))</f>
        <v>0</v>
      </c>
      <c r="F178" s="183">
        <f ca="1">ABS(IF(F177 &lt;#REF!,0,1))</f>
        <v>0</v>
      </c>
      <c r="G178" s="166"/>
      <c r="H178" s="166"/>
      <c r="I178" s="183">
        <f ca="1">ABS(IF(I177 &lt;#REF!,0,1))</f>
        <v>0</v>
      </c>
      <c r="J178" s="183">
        <f ca="1">ABS(IF(J177 &lt;#REF!,0,1))</f>
        <v>0</v>
      </c>
      <c r="K178" s="76"/>
      <c r="L178" s="76"/>
      <c r="O178" s="76"/>
      <c r="P178" s="76"/>
      <c r="S178" s="113"/>
      <c r="T178" s="113"/>
      <c r="W178" s="113"/>
      <c r="X178" s="113"/>
      <c r="AA178" s="113"/>
    </row>
    <row r="179" spans="2:27" customFormat="1" ht="15.75" hidden="1" outlineLevel="1" thickBot="1">
      <c r="G179" s="166"/>
      <c r="H179" s="166"/>
      <c r="K179" s="76"/>
      <c r="L179" s="76"/>
      <c r="M179" s="76"/>
      <c r="O179" s="76"/>
      <c r="P179" s="76"/>
      <c r="S179" s="113"/>
      <c r="T179" s="113"/>
      <c r="W179" s="113"/>
      <c r="X179" s="113"/>
      <c r="AA179" s="113"/>
    </row>
    <row r="180" spans="2:27" customFormat="1" ht="31.5" hidden="1" outlineLevel="1">
      <c r="B180" s="167" t="s">
        <v>121</v>
      </c>
      <c r="E180" s="108"/>
      <c r="F180" s="108"/>
      <c r="G180" s="166"/>
      <c r="H180" s="166"/>
      <c r="I180" s="108"/>
      <c r="J180" s="108"/>
      <c r="K180" s="76"/>
      <c r="L180" s="76"/>
      <c r="M180" s="76"/>
      <c r="O180" s="76"/>
      <c r="P180" s="76"/>
      <c r="S180" s="76"/>
      <c r="T180" s="76"/>
      <c r="W180" s="113"/>
      <c r="X180" s="113"/>
      <c r="AA180" s="113"/>
    </row>
    <row r="181" spans="2:27" customFormat="1" ht="45" hidden="1" outlineLevel="2">
      <c r="B181" s="104" t="s">
        <v>122</v>
      </c>
      <c r="E181" s="143">
        <f ca="1">(1+E47)*(1+I47)*(1+M47)-1</f>
        <v>0</v>
      </c>
      <c r="F181" s="143">
        <f ca="1">(1+E47)*(1+I47)*(1+M47)*(1+Q47)*(1+U47)*(1+Y47)-1</f>
        <v>0</v>
      </c>
      <c r="G181" s="166"/>
      <c r="H181" s="166"/>
      <c r="I181" s="143">
        <f ca="1">(1+E47)*(1+I47)*(1+M47)*(1+Q47)*(1+U47)*(1+Y47)*(1+AC47)*(1+AG47)*(1+AK47)-1</f>
        <v>0</v>
      </c>
      <c r="J181" s="143">
        <f ca="1">(1+E47)*(1+I47)*(1+M47)*(1+Q47)*(1+U47)*(1+Y47)*(1+AC47)*(1+AG47)*(1+AK47)*(1+AO47)*(1+AS47)*(1+AW47)-1</f>
        <v>0</v>
      </c>
      <c r="K181" s="76"/>
      <c r="L181" s="76"/>
      <c r="M181" s="76"/>
      <c r="O181" s="76"/>
      <c r="P181" s="76"/>
      <c r="S181" s="76"/>
      <c r="T181" s="76"/>
      <c r="W181" s="113"/>
      <c r="X181" s="113"/>
      <c r="AA181" s="113"/>
    </row>
    <row r="182" spans="2:27" customFormat="1" ht="30" hidden="1" outlineLevel="2">
      <c r="B182" s="168" t="s">
        <v>123</v>
      </c>
      <c r="E182" s="143">
        <f ca="1">E80</f>
        <v>5.771359848100871E-7</v>
      </c>
      <c r="F182" s="143">
        <f ca="1">I80</f>
        <v>4.2984962288555514E-5</v>
      </c>
      <c r="G182" s="166"/>
      <c r="H182" s="166"/>
      <c r="I182" s="143">
        <f ca="1">M80</f>
        <v>0</v>
      </c>
      <c r="J182" s="143">
        <f ca="1">Q80</f>
        <v>0</v>
      </c>
      <c r="K182" s="76"/>
      <c r="L182" s="76"/>
      <c r="M182" s="76"/>
      <c r="O182" s="76"/>
      <c r="P182" s="76"/>
      <c r="S182" s="76"/>
      <c r="T182" s="76"/>
      <c r="W182" s="113"/>
      <c r="X182" s="113"/>
      <c r="AA182" s="113"/>
    </row>
    <row r="183" spans="2:27" customFormat="1" ht="15.75" hidden="1" outlineLevel="2" thickBot="1">
      <c r="B183" s="105" t="s">
        <v>79</v>
      </c>
      <c r="E183" s="143">
        <f ca="1">ABS(E181-E182)</f>
        <v>5.771359848100871E-7</v>
      </c>
      <c r="F183" s="143">
        <f ca="1">ABS(F181-F182)</f>
        <v>4.2984962288555514E-5</v>
      </c>
      <c r="G183" s="166"/>
      <c r="H183" s="166"/>
      <c r="I183" s="143">
        <f ca="1">ABS(I181-I182)</f>
        <v>0</v>
      </c>
      <c r="J183" s="143">
        <f ca="1">ABS(J181-J182)</f>
        <v>0</v>
      </c>
      <c r="K183" s="76"/>
      <c r="L183" s="76"/>
      <c r="M183" s="76"/>
      <c r="O183" s="76"/>
      <c r="P183" s="76"/>
      <c r="S183" s="76"/>
      <c r="T183" s="76"/>
      <c r="W183" s="113"/>
      <c r="X183" s="113"/>
      <c r="AA183" s="113"/>
    </row>
    <row r="184" spans="2:27" customFormat="1" ht="15.75" hidden="1" outlineLevel="1" thickBot="1">
      <c r="B184" s="106" t="s">
        <v>120</v>
      </c>
      <c r="E184" s="183">
        <f ca="1">ABS(IF(E183 &lt;#REF!,0,1))</f>
        <v>0</v>
      </c>
      <c r="F184" s="183">
        <f ca="1">ABS(IF(F183 &lt;#REF!,0,1))</f>
        <v>0</v>
      </c>
      <c r="G184" s="166"/>
      <c r="H184" s="166"/>
      <c r="I184" s="183">
        <f ca="1">ABS(IF(I183 &lt;#REF!,0,1))</f>
        <v>0</v>
      </c>
      <c r="J184" s="183">
        <f ca="1">ABS(IF(J183 &lt;#REF!,0,1))</f>
        <v>0</v>
      </c>
      <c r="K184" s="76"/>
      <c r="L184" s="76"/>
      <c r="M184" s="76"/>
      <c r="O184" s="76"/>
      <c r="P184" s="76"/>
      <c r="S184" s="76"/>
      <c r="T184" s="76"/>
      <c r="W184" s="113"/>
      <c r="X184" s="113"/>
      <c r="AA184" s="113"/>
    </row>
    <row r="185" spans="2:27" customFormat="1" ht="15.75" hidden="1" outlineLevel="1" thickBot="1">
      <c r="G185" s="166"/>
      <c r="H185" s="166"/>
      <c r="K185" s="76"/>
      <c r="L185" s="76"/>
      <c r="M185" s="76"/>
      <c r="O185" s="76"/>
      <c r="P185" s="76"/>
      <c r="S185" s="76"/>
      <c r="T185" s="76"/>
      <c r="W185" s="113"/>
      <c r="X185" s="113"/>
      <c r="AA185" s="113"/>
    </row>
    <row r="186" spans="2:27" customFormat="1" ht="31.5" hidden="1" outlineLevel="1">
      <c r="B186" s="167" t="s">
        <v>124</v>
      </c>
      <c r="E186" s="193"/>
      <c r="F186" s="192"/>
      <c r="G186" s="166"/>
      <c r="H186" s="166"/>
      <c r="I186" s="193"/>
      <c r="J186" s="192"/>
      <c r="K186" s="76"/>
      <c r="L186" s="76"/>
      <c r="M186" s="76"/>
      <c r="O186" s="76"/>
      <c r="P186" s="76"/>
      <c r="S186" s="76"/>
      <c r="T186" s="76"/>
      <c r="W186" s="113"/>
      <c r="X186" s="113"/>
      <c r="AA186" s="113"/>
    </row>
    <row r="187" spans="2:27" customFormat="1" hidden="1" outlineLevel="2">
      <c r="B187" s="105" t="s">
        <v>143</v>
      </c>
      <c r="E187" s="198">
        <f ca="1">E40+I40+M40</f>
        <v>-96.028229999999979</v>
      </c>
      <c r="F187" s="196">
        <f ca="1">E40+I40+M40+Q40+U40+Y40</f>
        <v>78.227270000000033</v>
      </c>
      <c r="G187" s="166"/>
      <c r="H187" s="166"/>
      <c r="I187" s="198">
        <f ca="1">E40+I40+M40+Q40+U40+Y40+AC40+AG40+AK40</f>
        <v>78.227270000000033</v>
      </c>
      <c r="J187" s="196">
        <f ca="1">E40+I40+M40+Q40+U40+Y40+AC40+AG40+AK40+AO40+AS40+AW40</f>
        <v>78.227270000000033</v>
      </c>
      <c r="K187" s="76"/>
      <c r="L187" s="76"/>
      <c r="M187" s="76"/>
      <c r="O187" s="76"/>
      <c r="P187" s="76"/>
      <c r="S187" s="76"/>
      <c r="T187" s="76"/>
      <c r="W187" s="113"/>
      <c r="X187" s="113"/>
      <c r="AA187" s="113"/>
    </row>
    <row r="188" spans="2:27" customFormat="1" hidden="1" outlineLevel="2">
      <c r="B188" s="105" t="s">
        <v>144</v>
      </c>
      <c r="E188" s="198">
        <f ca="1">E73</f>
        <v>-96.028229999999979</v>
      </c>
      <c r="F188" s="196">
        <f ca="1">I73</f>
        <v>78.227270000000033</v>
      </c>
      <c r="G188" s="166"/>
      <c r="H188" s="166"/>
      <c r="I188" s="198">
        <f ca="1">M73</f>
        <v>0</v>
      </c>
      <c r="J188" s="196">
        <f ca="1">Q73</f>
        <v>0</v>
      </c>
      <c r="K188" s="76"/>
      <c r="L188" s="76"/>
      <c r="M188" s="76"/>
      <c r="O188" s="76"/>
      <c r="P188" s="76"/>
      <c r="S188" s="76"/>
      <c r="T188" s="76"/>
      <c r="W188" s="113"/>
      <c r="X188" s="113"/>
      <c r="AA188" s="113"/>
    </row>
    <row r="189" spans="2:27" customFormat="1" ht="15.75" hidden="1" outlineLevel="2" thickBot="1">
      <c r="B189" s="105" t="s">
        <v>79</v>
      </c>
      <c r="E189" s="202">
        <f ca="1">IFERROR(E187/E188-1,0)</f>
        <v>0</v>
      </c>
      <c r="F189" s="203">
        <f ca="1">IFERROR(F187/F188-1,0)</f>
        <v>0</v>
      </c>
      <c r="G189" s="166"/>
      <c r="H189" s="166"/>
      <c r="I189" s="203">
        <f ca="1">IFERROR(I187/I188-1,0)</f>
        <v>0</v>
      </c>
      <c r="J189" s="203">
        <f ca="1">IFERROR(J187/J188-1,0)</f>
        <v>0</v>
      </c>
      <c r="K189" s="76"/>
      <c r="L189" s="76"/>
      <c r="M189" s="76"/>
      <c r="O189" s="76"/>
      <c r="P189" s="76"/>
      <c r="S189" s="76"/>
      <c r="T189" s="76"/>
      <c r="W189" s="113"/>
      <c r="X189" s="113"/>
      <c r="AA189" s="113"/>
    </row>
    <row r="190" spans="2:27" customFormat="1" ht="15.75" hidden="1" outlineLevel="1" thickBot="1">
      <c r="B190" s="106" t="s">
        <v>120</v>
      </c>
      <c r="E190" s="183">
        <f ca="1">IF(E189&lt;#REF!,0,1)</f>
        <v>0</v>
      </c>
      <c r="F190" s="183">
        <f ca="1">IF(F189&lt;#REF!,0,1)</f>
        <v>0</v>
      </c>
      <c r="G190" s="166"/>
      <c r="H190" s="166"/>
      <c r="I190" s="183">
        <f ca="1">IF(I189&lt;#REF!,0,1)</f>
        <v>0</v>
      </c>
      <c r="J190" s="183">
        <f ca="1">IF(J189&lt;#REF!,0,1)</f>
        <v>0</v>
      </c>
      <c r="K190" s="76"/>
      <c r="L190" s="76"/>
      <c r="M190" s="76"/>
      <c r="O190" s="76"/>
      <c r="P190" s="76"/>
      <c r="S190" s="76"/>
      <c r="T190" s="76"/>
      <c r="W190" s="113"/>
      <c r="X190" s="113"/>
      <c r="AA190" s="113"/>
    </row>
    <row r="191" spans="2:27" customFormat="1" ht="15.75" hidden="1" outlineLevel="1" thickBot="1">
      <c r="G191" s="76"/>
      <c r="H191" s="76"/>
      <c r="K191" s="76"/>
      <c r="L191" s="76"/>
      <c r="M191" s="76"/>
      <c r="O191" s="76"/>
      <c r="P191" s="76"/>
      <c r="S191" s="76"/>
      <c r="T191" s="76"/>
      <c r="W191" s="113"/>
      <c r="X191" s="113"/>
      <c r="AA191" s="113"/>
    </row>
    <row r="192" spans="2:27" customFormat="1" ht="32.25" hidden="1" outlineLevel="1" thickBot="1">
      <c r="B192" s="167" t="s">
        <v>126</v>
      </c>
      <c r="E192" s="108"/>
      <c r="F192" s="142"/>
      <c r="G192" s="76"/>
      <c r="H192" s="76"/>
      <c r="I192" s="176"/>
      <c r="J192" s="108"/>
      <c r="K192" s="76"/>
      <c r="L192" s="76"/>
      <c r="M192" s="76"/>
      <c r="O192" s="76"/>
      <c r="P192" s="76"/>
      <c r="S192" s="76"/>
      <c r="T192" s="76"/>
      <c r="W192" s="113"/>
      <c r="X192" s="113"/>
      <c r="AA192" s="113"/>
    </row>
    <row r="193" spans="2:27" customFormat="1" hidden="1" outlineLevel="2">
      <c r="B193" s="120" t="s">
        <v>81</v>
      </c>
      <c r="E193" s="179">
        <f ca="1">((C40+G40+K40)*#REF!)/1000</f>
        <v>0</v>
      </c>
      <c r="F193" s="178">
        <f ca="1">((C40+G40+K40+O40+S40+W40)*#REF!)/1000</f>
        <v>0</v>
      </c>
      <c r="G193" s="76"/>
      <c r="H193" s="76"/>
      <c r="I193" s="177">
        <f ca="1">((C40+G40+K40+O40+S40+W40+AA40+AE40+AI40)*#REF!)/1000</f>
        <v>0</v>
      </c>
      <c r="J193" s="179">
        <f ca="1">((C40+G40+K40+O40+S40+W40+AA40+AE40+AI40+AM40+AQ40+AU40)*#REF!)/1000</f>
        <v>0</v>
      </c>
      <c r="K193" s="76"/>
      <c r="L193" s="76"/>
      <c r="M193" s="76"/>
      <c r="O193" s="76"/>
      <c r="P193" s="76"/>
      <c r="S193" s="76"/>
      <c r="T193" s="76"/>
      <c r="W193" s="113"/>
      <c r="X193" s="113"/>
      <c r="AA193" s="113"/>
    </row>
    <row r="194" spans="2:27" customFormat="1" ht="30.75" hidden="1" outlineLevel="2" thickBot="1">
      <c r="B194" s="119" t="s">
        <v>82</v>
      </c>
      <c r="E194" s="179">
        <f ca="1">ABS(((SUM(D20:D38)+SUM(H20:H38)+SUM(L20:L38))/1000)-(E40+I40+M40))</f>
        <v>1.4210854715202004E-14</v>
      </c>
      <c r="F194" s="178">
        <f ca="1">ABS(((SUM(D20:D38)+SUM(H20:H38)+SUM(L20:L38)+SUM(P20:P38)+SUM(T20:T38)+SUM(X20:X38))/1000)-(E40+I40+M40+Q40+U40+Y40))</f>
        <v>2.8421709430404007E-14</v>
      </c>
      <c r="G194" s="76"/>
      <c r="H194" s="76"/>
      <c r="I194" s="177">
        <f ca="1">ABS(((SUM(D20:D38)+SUM(H20:H38)+SUM(L20:L38)+SUM(P20:P38)+SUM(T20:T38)+SUM(X20:X38)+SUM(AB20:AB38)+SUM(AF20:AF38)+SUM(AJ20:AJ38))/1000)-(E40+I40+M40+Q40+U40+Y40+AC40+AG40+AK40))</f>
        <v>2.8421709430404007E-14</v>
      </c>
      <c r="J194" s="179">
        <f ca="1">ABS(((SUM(D20:D38)+SUM(H20:H38)+SUM(L20:L38)+SUM(P20:P38)+SUM(T20:T38)+SUM(X20:X38)+SUM(AB20:AB38)+SUM(AF20:AF38)+SUM(AJ20:AJ38)+SUM(AN20:AN38)+SUM(AR20:AR38)+SUM(AV20:AV38))/1000)-(E40+I40+M40+Q40+U40+Y40+AC40+AG40+AK40+AO40+AS40+AW40))</f>
        <v>2.8421709430404007E-14</v>
      </c>
      <c r="K194" s="76"/>
      <c r="L194" s="76"/>
      <c r="M194" s="76"/>
      <c r="O194" s="76"/>
      <c r="P194" s="76"/>
      <c r="S194" s="76"/>
      <c r="T194" s="76"/>
      <c r="W194" s="113"/>
      <c r="X194" s="113"/>
      <c r="AA194" s="113"/>
    </row>
    <row r="195" spans="2:27" customFormat="1" ht="15.75" hidden="1" outlineLevel="1" thickBot="1">
      <c r="B195" s="106" t="s">
        <v>77</v>
      </c>
      <c r="E195" s="183">
        <f ca="1">IF(E194&lt;E193,0,1)</f>
        <v>1</v>
      </c>
      <c r="F195" s="184">
        <f ca="1">IF(F194&lt;F193,0,1)</f>
        <v>1</v>
      </c>
      <c r="G195" s="76"/>
      <c r="H195" s="76"/>
      <c r="I195" s="201">
        <f ca="1">IF(I194&lt;I193,0,1)</f>
        <v>1</v>
      </c>
      <c r="J195" s="183">
        <f ca="1">IF(J194&lt;J193,0,1)</f>
        <v>1</v>
      </c>
      <c r="K195" s="76"/>
      <c r="L195" s="76"/>
      <c r="M195" s="76"/>
      <c r="O195" s="76"/>
      <c r="P195" s="76"/>
      <c r="S195" s="76"/>
      <c r="T195" s="76"/>
      <c r="W195" s="113"/>
      <c r="X195" s="113"/>
      <c r="AA195" s="113"/>
    </row>
    <row r="196" spans="2:27" customFormat="1" ht="15.75" hidden="1" outlineLevel="1" thickBot="1">
      <c r="G196" s="76"/>
      <c r="H196" s="76"/>
      <c r="K196" s="76"/>
      <c r="L196" s="76"/>
      <c r="M196" s="76"/>
      <c r="O196" s="76"/>
      <c r="P196" s="76"/>
      <c r="S196" s="76"/>
      <c r="T196" s="76"/>
      <c r="W196" s="76"/>
      <c r="X196" s="76"/>
      <c r="AA196" s="113"/>
    </row>
    <row r="197" spans="2:27" customFormat="1" ht="48" hidden="1" outlineLevel="1" thickBot="1">
      <c r="B197" s="167" t="s">
        <v>127</v>
      </c>
      <c r="E197" s="108"/>
      <c r="F197" s="142"/>
      <c r="G197" s="76"/>
      <c r="H197" s="76"/>
      <c r="I197" s="108"/>
      <c r="J197" s="142"/>
      <c r="K197" s="76"/>
      <c r="L197" s="76"/>
      <c r="M197" s="76"/>
      <c r="O197" s="76"/>
      <c r="P197" s="76"/>
      <c r="S197" s="76"/>
      <c r="T197" s="76"/>
      <c r="W197" s="76"/>
      <c r="X197" s="76"/>
      <c r="AA197" s="113"/>
    </row>
    <row r="198" spans="2:27" customFormat="1" hidden="1" outlineLevel="2">
      <c r="B198" s="120" t="s">
        <v>81</v>
      </c>
      <c r="E198" s="179">
        <f ca="1">((C40+G40+K40)*#REF!)/1000</f>
        <v>0</v>
      </c>
      <c r="F198" s="179">
        <f ca="1">((C40+G40+K40+O40+S40+W40)*#REF!)/1000</f>
        <v>0</v>
      </c>
      <c r="G198" s="76"/>
      <c r="H198" s="76"/>
      <c r="I198" s="179">
        <f ca="1">((C40+G40+K40+O40+S40+W40+AA40+AE40+AI40)*#REF!)/1000</f>
        <v>0</v>
      </c>
      <c r="J198" s="179">
        <f ca="1">((C40+G40+K40+O40+S40+W40+AA40+AE40+AI40+AM40+AQ40+AU40)*#REF!)/1000</f>
        <v>0</v>
      </c>
      <c r="K198" s="76"/>
      <c r="L198" s="76"/>
      <c r="M198" s="76"/>
      <c r="O198" s="76"/>
      <c r="P198" s="76"/>
      <c r="S198" s="76"/>
      <c r="T198" s="76"/>
      <c r="W198" s="76"/>
      <c r="X198" s="76"/>
      <c r="AA198" s="113"/>
    </row>
    <row r="199" spans="2:27" customFormat="1" ht="45.75" hidden="1" outlineLevel="2" thickBot="1">
      <c r="B199" s="104" t="s">
        <v>80</v>
      </c>
      <c r="E199" s="179">
        <f ca="1">ABS(((SUM(D21:D38)+SUM(H21:H38)+SUM(L21:L38))/1000)-(E40+I40+M40))</f>
        <v>4.2219100000000793</v>
      </c>
      <c r="F199" s="179">
        <f ca="1">ABS(((SUM(D21:D38)+SUM(H21:H38)+SUM(L21:L38)+SUM(P21:P38)+SUM(T21:T38)+SUM(X21:X38))/1000)-(E40+I40+M40+Q40+U40+Y40))</f>
        <v>5.0248800000000813</v>
      </c>
      <c r="G199" s="76"/>
      <c r="H199" s="76"/>
      <c r="I199" s="179">
        <f ca="1">ABS(((SUM(D21:D38)+SUM(H21:H38)+SUM(L21:L38)+SUM(P21:P38)+SUM(T21:T38)+SUM(X21:X38)+SUM(AB21:AB38)+SUM(AF21:AF38)+SUM(AJ21:AJ38))/1000)-(E40+I40+M40+Q40+U40+Y40+AC40+AG40+AK40))</f>
        <v>5.0248800000000813</v>
      </c>
      <c r="J199" s="179">
        <f ca="1">ABS(((SUM(D21:D38)+SUM(H21:H38)+SUM(L21:L38)+SUM(P21:P38)+SUM(T21:T38)+SUM(X21:X38)+SUM(AB21:AB38)+SUM(AF21:AF38)+SUM(AJ21:AJ38)+SUM(AN21:AN38)+SUM(AR21:AR38)+SUM(AV21:AV38))/1000)-(E40+I40+M40+Q40+U40+Y40+AC40+AG40+AK40+AO40+AS40+AW40))</f>
        <v>5.0248800000000813</v>
      </c>
      <c r="K199" s="76"/>
      <c r="L199" s="76"/>
      <c r="M199" s="76"/>
      <c r="O199" s="76"/>
      <c r="P199" s="76"/>
      <c r="S199" s="76"/>
      <c r="T199" s="76"/>
      <c r="W199" s="76"/>
      <c r="X199" s="76"/>
      <c r="AA199" s="76"/>
    </row>
    <row r="200" spans="2:27" customFormat="1" ht="15.75" hidden="1" outlineLevel="1" thickBot="1">
      <c r="B200" s="106" t="s">
        <v>77</v>
      </c>
      <c r="E200" s="183">
        <f ca="1">IF(E199&lt;E198,0,1)</f>
        <v>1</v>
      </c>
      <c r="F200" s="183">
        <f ca="1">IF(F199&lt;F198,0,1)</f>
        <v>1</v>
      </c>
      <c r="G200" s="76"/>
      <c r="H200" s="76"/>
      <c r="I200" s="183">
        <f ca="1">IF(I199&lt;I198,0,1)</f>
        <v>1</v>
      </c>
      <c r="J200" s="183">
        <f ca="1">IF(J199&lt;J198,0,1)</f>
        <v>1</v>
      </c>
      <c r="K200" s="76"/>
      <c r="L200" s="76"/>
      <c r="M200" s="76"/>
      <c r="O200" s="76"/>
      <c r="P200" s="76"/>
      <c r="S200" s="76"/>
      <c r="T200" s="76"/>
      <c r="W200" s="76"/>
      <c r="X200" s="76"/>
      <c r="AA200" s="76"/>
    </row>
    <row r="201" spans="2:27" customFormat="1" ht="15.75" hidden="1" outlineLevel="1" thickBot="1">
      <c r="G201" s="76"/>
      <c r="H201" s="76"/>
      <c r="K201" s="76"/>
      <c r="L201" s="76"/>
      <c r="M201" s="76"/>
      <c r="O201" s="76"/>
      <c r="P201" s="76"/>
      <c r="S201" s="76"/>
      <c r="T201" s="76"/>
      <c r="W201" s="76"/>
      <c r="X201" s="76"/>
      <c r="AA201" s="76"/>
    </row>
    <row r="202" spans="2:27" customFormat="1" ht="16.5" hidden="1" outlineLevel="1" thickBot="1">
      <c r="B202" s="167" t="s">
        <v>128</v>
      </c>
      <c r="E202" s="108"/>
      <c r="F202" s="108"/>
      <c r="G202" s="76"/>
      <c r="H202" s="76"/>
      <c r="I202" s="108"/>
      <c r="J202" s="142"/>
      <c r="K202" s="76"/>
      <c r="L202" s="76"/>
      <c r="M202" s="76"/>
      <c r="O202" s="76"/>
      <c r="P202" s="76"/>
      <c r="S202" s="76"/>
      <c r="T202" s="76"/>
      <c r="W202" s="76"/>
      <c r="X202" s="76"/>
      <c r="AA202" s="76"/>
    </row>
    <row r="203" spans="2:27" customFormat="1" ht="15.75" hidden="1" outlineLevel="2" thickBot="1">
      <c r="B203" s="120" t="s">
        <v>83</v>
      </c>
      <c r="E203" s="143">
        <f ca="1">IFERROR(E53/F53,0)</f>
        <v>1.741421196266096E-2</v>
      </c>
      <c r="F203" s="143">
        <f ca="1">IFERROR(I53/J53,0)</f>
        <v>2.9259561109333757E-2</v>
      </c>
      <c r="G203" s="76"/>
      <c r="H203" s="76"/>
      <c r="I203" s="143">
        <f ca="1">IFERROR(M53/N53,0)</f>
        <v>0</v>
      </c>
      <c r="J203" s="143">
        <f ca="1">IFERROR(Q53/R53,0)</f>
        <v>0</v>
      </c>
      <c r="K203" s="76"/>
      <c r="L203" s="76"/>
      <c r="M203" s="76"/>
      <c r="O203" s="76"/>
      <c r="P203" s="76"/>
      <c r="S203" s="76"/>
      <c r="T203" s="76"/>
      <c r="W203" s="76"/>
      <c r="X203" s="76"/>
      <c r="AA203" s="76"/>
    </row>
    <row r="204" spans="2:27" customFormat="1" ht="15.75" hidden="1" outlineLevel="1" thickBot="1">
      <c r="B204" s="106" t="s">
        <v>77</v>
      </c>
      <c r="E204" s="183">
        <f ca="1">IF(E203&lt;#REF!,0,1)</f>
        <v>1</v>
      </c>
      <c r="F204" s="183">
        <f ca="1">IF(F203&lt;#REF!,0,1)</f>
        <v>1</v>
      </c>
      <c r="G204" s="76"/>
      <c r="H204" s="76"/>
      <c r="I204" s="183">
        <f ca="1">IF(I203&lt;#REF!,0,1)</f>
        <v>1</v>
      </c>
      <c r="J204" s="183">
        <f ca="1">IF(J203&lt;#REF!,0,1)</f>
        <v>1</v>
      </c>
      <c r="K204" s="76"/>
      <c r="L204" s="76"/>
      <c r="M204" s="76"/>
      <c r="O204" s="76"/>
      <c r="P204" s="76"/>
      <c r="S204" s="76"/>
      <c r="T204" s="76"/>
      <c r="W204" s="76"/>
      <c r="X204" s="76"/>
      <c r="AA204" s="76"/>
    </row>
    <row r="205" spans="2:27" customFormat="1" ht="15.75" hidden="1" outlineLevel="1" thickBot="1">
      <c r="G205" s="76"/>
      <c r="H205" s="76"/>
      <c r="K205" s="76"/>
      <c r="L205" s="76"/>
      <c r="M205" s="76"/>
      <c r="O205" s="76"/>
      <c r="P205" s="76"/>
      <c r="S205" s="76"/>
      <c r="T205" s="76"/>
      <c r="W205" s="76"/>
      <c r="X205" s="76"/>
      <c r="AA205" s="76"/>
    </row>
    <row r="206" spans="2:27" customFormat="1" ht="15.75" hidden="1" outlineLevel="1">
      <c r="B206" s="167" t="s">
        <v>129</v>
      </c>
      <c r="E206" s="176"/>
      <c r="F206" s="108"/>
      <c r="G206" s="76"/>
      <c r="H206" s="76"/>
      <c r="I206" s="176"/>
      <c r="J206" s="108"/>
      <c r="K206" s="76"/>
      <c r="L206" s="76"/>
      <c r="M206" s="76"/>
      <c r="O206" s="76"/>
      <c r="P206" s="76"/>
      <c r="S206" s="76"/>
      <c r="T206" s="76"/>
      <c r="W206" s="76"/>
      <c r="X206" s="76"/>
      <c r="AA206" s="76"/>
    </row>
    <row r="207" spans="2:27" customFormat="1" hidden="1" outlineLevel="2">
      <c r="B207" s="105" t="s">
        <v>130</v>
      </c>
      <c r="E207" s="180">
        <f ca="1">ROUND((1+E20)*(1+I20)*(1+M20)-1,4)</f>
        <v>4.0000000000000002E-4</v>
      </c>
      <c r="F207" s="143">
        <f ca="1">ROUND((1+E20)*(1+I20)*(1+M20)*(1+Q20)*(1+U20)*(1+Y20)-1,4)</f>
        <v>4.0000000000000002E-4</v>
      </c>
      <c r="G207" s="76"/>
      <c r="H207" s="76"/>
      <c r="I207" s="143">
        <f ca="1">ROUND((1+E20)*(1+I20)*(1+M20)*(1+Q20)*(1+U20)*(1+Y20)*(1+AC20)*(1+AG20)*(1+AK20)-1,4)</f>
        <v>4.0000000000000002E-4</v>
      </c>
      <c r="J207" s="143">
        <f ca="1">ROUND((1+E20)*(1+I20)*(1+M20)*(1+Q20)*(1+U20)*(1+Y20)*(1+AC20)*(1+AG20)*(1+AK20)*(1+AO20)*(1+AS20)*(1+AW20)-1,4)</f>
        <v>4.0000000000000002E-4</v>
      </c>
      <c r="K207" s="76"/>
      <c r="L207" s="76"/>
      <c r="M207" s="76"/>
      <c r="O207" s="76"/>
      <c r="P207" s="76"/>
      <c r="S207" s="76"/>
      <c r="T207" s="76"/>
      <c r="W207" s="76"/>
      <c r="X207" s="76"/>
      <c r="AA207" s="76"/>
    </row>
    <row r="208" spans="2:27" customFormat="1" ht="30.75" hidden="1" outlineLevel="2" thickBot="1">
      <c r="B208" s="168" t="s">
        <v>131</v>
      </c>
      <c r="E208" s="180">
        <f ca="1">ROUND(E53,4)</f>
        <v>4.0000000000000002E-4</v>
      </c>
      <c r="F208" s="143">
        <f ca="1">ROUND(I53,4)</f>
        <v>4.0000000000000002E-4</v>
      </c>
      <c r="G208" s="76"/>
      <c r="H208" s="76"/>
      <c r="I208" s="180">
        <f ca="1">ROUND(M53,4)</f>
        <v>0</v>
      </c>
      <c r="J208" s="143">
        <f ca="1">ROUND(Q53,4)</f>
        <v>0</v>
      </c>
      <c r="K208" s="76"/>
      <c r="L208" s="76"/>
      <c r="M208" s="76"/>
      <c r="O208" s="76"/>
      <c r="P208" s="76"/>
      <c r="S208" s="76"/>
      <c r="T208" s="76"/>
      <c r="W208" s="76"/>
      <c r="X208" s="76"/>
      <c r="AA208" s="76"/>
    </row>
    <row r="209" spans="2:13" customFormat="1" ht="15.75" hidden="1" outlineLevel="1" thickBot="1">
      <c r="B209" s="175" t="s">
        <v>77</v>
      </c>
      <c r="E209" s="201">
        <f ca="1">IF(E207&lt;=E208,0,1)</f>
        <v>0</v>
      </c>
      <c r="F209" s="183">
        <f ca="1">IF(F207&lt;=F208,0,1)</f>
        <v>0</v>
      </c>
      <c r="G209" s="76"/>
      <c r="H209" s="76"/>
      <c r="I209" s="201">
        <f ca="1">IF(I207&lt;=I208,0,1)</f>
        <v>1</v>
      </c>
      <c r="J209" s="183">
        <f ca="1">IF(J207&lt;=J208,0,1)</f>
        <v>1</v>
      </c>
      <c r="K209" s="76"/>
      <c r="L209" s="76"/>
      <c r="M209" s="76"/>
    </row>
    <row r="210" spans="2:13" customFormat="1" hidden="1" outlineLevel="1">
      <c r="G210" s="76"/>
      <c r="H210" s="76"/>
      <c r="K210" s="76"/>
      <c r="L210" s="76"/>
      <c r="M210" s="76"/>
    </row>
    <row r="211" spans="2:13" customFormat="1" hidden="1" outlineLevel="1">
      <c r="G211" s="76"/>
      <c r="H211" s="76"/>
      <c r="K211" s="76"/>
      <c r="L211" s="76"/>
      <c r="M211" s="76"/>
    </row>
    <row r="212" spans="2:13" customFormat="1" collapsed="1">
      <c r="G212" s="76"/>
      <c r="H212" s="76"/>
      <c r="K212" s="76"/>
      <c r="L212" s="76"/>
      <c r="M212" s="76"/>
    </row>
    <row r="213" spans="2:13" customFormat="1">
      <c r="G213" s="76"/>
      <c r="H213" s="76"/>
      <c r="K213" s="76"/>
      <c r="L213" s="76"/>
      <c r="M213" s="76"/>
    </row>
    <row r="214" spans="2:13" customFormat="1">
      <c r="G214" s="76"/>
      <c r="H214" s="76"/>
      <c r="K214" s="76"/>
      <c r="L214" s="76"/>
      <c r="M214" s="76"/>
    </row>
  </sheetData>
  <mergeCells count="7">
    <mergeCell ref="Q51:R51"/>
    <mergeCell ref="B84:Z84"/>
    <mergeCell ref="B153:J153"/>
    <mergeCell ref="I50:J50"/>
    <mergeCell ref="E51:F51"/>
    <mergeCell ref="I51:J51"/>
    <mergeCell ref="M51:N51"/>
  </mergeCells>
  <conditionalFormatting sqref="E132:F149 F131 I131:J149 M131:N149 Q131:R149 U131:V149 Y131:Z149">
    <cfRule type="cellIs" dxfId="0" priority="60" operator="greaterThan">
      <formula>0.015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" id="{BE3C2E62-5CC8-4D2C-909D-2C4E24ECCB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E95 E90</xm:sqref>
        </x14:conditionalFormatting>
        <x14:conditionalFormatting xmlns:xm="http://schemas.microsoft.com/office/excel/2006/main">
          <x14:cfRule type="iconSet" priority="127" id="{B5FDA6D8-F822-48B4-9759-83A682A27B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E100</xm:sqref>
        </x14:conditionalFormatting>
        <x14:conditionalFormatting xmlns:xm="http://schemas.microsoft.com/office/excel/2006/main">
          <x14:cfRule type="iconSet" priority="126" id="{4CC0D403-7A35-4F57-B56F-9ECC465232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E104</xm:sqref>
        </x14:conditionalFormatting>
        <x14:conditionalFormatting xmlns:xm="http://schemas.microsoft.com/office/excel/2006/main">
          <x14:cfRule type="iconSet" priority="125" id="{06CCD50B-2CB7-45FC-A4C6-115CE08B3E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E110</xm:sqref>
        </x14:conditionalFormatting>
        <x14:conditionalFormatting xmlns:xm="http://schemas.microsoft.com/office/excel/2006/main">
          <x14:cfRule type="iconSet" priority="124" id="{D3F025C7-9BB5-4FA8-A354-42AEDB8679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E127</xm:sqref>
        </x14:conditionalFormatting>
        <x14:conditionalFormatting xmlns:xm="http://schemas.microsoft.com/office/excel/2006/main">
          <x14:cfRule type="iconSet" priority="123" id="{A80EED12-E6DE-4BAA-9F78-8134BA2492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E160</xm:sqref>
        </x14:conditionalFormatting>
        <x14:conditionalFormatting xmlns:xm="http://schemas.microsoft.com/office/excel/2006/main">
          <x14:cfRule type="iconSet" priority="122" id="{A7280FCB-A274-40DB-B9D2-6B76080237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F95</xm:sqref>
        </x14:conditionalFormatting>
        <x14:conditionalFormatting xmlns:xm="http://schemas.microsoft.com/office/excel/2006/main">
          <x14:cfRule type="iconSet" priority="121" id="{0ACD2D83-06DE-447A-8F2C-D7362E2791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F100</xm:sqref>
        </x14:conditionalFormatting>
        <x14:conditionalFormatting xmlns:xm="http://schemas.microsoft.com/office/excel/2006/main">
          <x14:cfRule type="iconSet" priority="120" id="{0AF50975-EF8A-4FCD-991A-AC6F92CFA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F104</xm:sqref>
        </x14:conditionalFormatting>
        <x14:conditionalFormatting xmlns:xm="http://schemas.microsoft.com/office/excel/2006/main">
          <x14:cfRule type="iconSet" priority="119" id="{2B00FF19-4793-47D5-8EC3-827D7A4A4E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F127</xm:sqref>
        </x14:conditionalFormatting>
        <x14:conditionalFormatting xmlns:xm="http://schemas.microsoft.com/office/excel/2006/main">
          <x14:cfRule type="iconSet" priority="118" id="{1396BC2B-7988-41A6-B657-81998DF91A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U127</xm:sqref>
        </x14:conditionalFormatting>
        <x14:conditionalFormatting xmlns:xm="http://schemas.microsoft.com/office/excel/2006/main">
          <x14:cfRule type="iconSet" priority="117" id="{46FF1A35-A841-4FD9-838E-04185A638B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V127</xm:sqref>
        </x14:conditionalFormatting>
        <x14:conditionalFormatting xmlns:xm="http://schemas.microsoft.com/office/excel/2006/main">
          <x14:cfRule type="iconSet" priority="116" id="{E4AE73B1-216F-42CC-A3F9-47E07DC6CA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F160</xm:sqref>
        </x14:conditionalFormatting>
        <x14:conditionalFormatting xmlns:xm="http://schemas.microsoft.com/office/excel/2006/main">
          <x14:cfRule type="iconSet" priority="115" id="{6D13A2C8-F681-468A-86B2-8468F54626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I160</xm:sqref>
        </x14:conditionalFormatting>
        <x14:conditionalFormatting xmlns:xm="http://schemas.microsoft.com/office/excel/2006/main">
          <x14:cfRule type="iconSet" priority="114" id="{A61E1F5E-189E-4822-B467-E52E98653B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J160</xm:sqref>
        </x14:conditionalFormatting>
        <x14:conditionalFormatting xmlns:xm="http://schemas.microsoft.com/office/excel/2006/main">
          <x14:cfRule type="iconSet" priority="113" id="{B60B0AA1-B44E-4806-AED0-F39522205C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J90</xm:sqref>
        </x14:conditionalFormatting>
        <x14:conditionalFormatting xmlns:xm="http://schemas.microsoft.com/office/excel/2006/main">
          <x14:cfRule type="iconSet" priority="112" id="{2E7C331F-5A69-4C4C-A402-50161605D8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M90</xm:sqref>
        </x14:conditionalFormatting>
        <x14:conditionalFormatting xmlns:xm="http://schemas.microsoft.com/office/excel/2006/main">
          <x14:cfRule type="iconSet" priority="111" id="{544CFC84-416B-44B9-A711-37C6AF7F4F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N90</xm:sqref>
        </x14:conditionalFormatting>
        <x14:conditionalFormatting xmlns:xm="http://schemas.microsoft.com/office/excel/2006/main">
          <x14:cfRule type="iconSet" priority="110" id="{DCA13DD8-E02B-46BC-9AB3-22135135B2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Q90</xm:sqref>
        </x14:conditionalFormatting>
        <x14:conditionalFormatting xmlns:xm="http://schemas.microsoft.com/office/excel/2006/main">
          <x14:cfRule type="iconSet" priority="109" id="{331CCB26-2F68-4955-8927-6C5FBC0F8F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R90</xm:sqref>
        </x14:conditionalFormatting>
        <x14:conditionalFormatting xmlns:xm="http://schemas.microsoft.com/office/excel/2006/main">
          <x14:cfRule type="iconSet" priority="108" id="{1906FC02-576F-4526-B02D-54A36394AF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U90</xm:sqref>
        </x14:conditionalFormatting>
        <x14:conditionalFormatting xmlns:xm="http://schemas.microsoft.com/office/excel/2006/main">
          <x14:cfRule type="iconSet" priority="107" id="{2EB58FF3-FF88-4497-87A2-31CBD2DB69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V90</xm:sqref>
        </x14:conditionalFormatting>
        <x14:conditionalFormatting xmlns:xm="http://schemas.microsoft.com/office/excel/2006/main">
          <x14:cfRule type="iconSet" priority="106" id="{364DE3A5-8FC5-4544-A4A2-A8F90CCC33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Y90</xm:sqref>
        </x14:conditionalFormatting>
        <x14:conditionalFormatting xmlns:xm="http://schemas.microsoft.com/office/excel/2006/main">
          <x14:cfRule type="iconSet" priority="105" id="{4B3A7B58-D1F2-4A78-895D-F2CF17ED2A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104" id="{C3F8599B-C286-459B-9DDB-C5AFB9E567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I95</xm:sqref>
        </x14:conditionalFormatting>
        <x14:conditionalFormatting xmlns:xm="http://schemas.microsoft.com/office/excel/2006/main">
          <x14:cfRule type="iconSet" priority="103" id="{6C6D2089-5C0D-486E-8E1A-17BAC78124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J95</xm:sqref>
        </x14:conditionalFormatting>
        <x14:conditionalFormatting xmlns:xm="http://schemas.microsoft.com/office/excel/2006/main">
          <x14:cfRule type="iconSet" priority="102" id="{6D33BE2C-2259-4B03-ABA6-AA24BAD64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M95</xm:sqref>
        </x14:conditionalFormatting>
        <x14:conditionalFormatting xmlns:xm="http://schemas.microsoft.com/office/excel/2006/main">
          <x14:cfRule type="iconSet" priority="101" id="{4CC62B62-D503-4A73-9440-6D9485189E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N95</xm:sqref>
        </x14:conditionalFormatting>
        <x14:conditionalFormatting xmlns:xm="http://schemas.microsoft.com/office/excel/2006/main">
          <x14:cfRule type="iconSet" priority="100" id="{7D1D159C-A222-4FD9-BF13-8336F07E31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Q95</xm:sqref>
        </x14:conditionalFormatting>
        <x14:conditionalFormatting xmlns:xm="http://schemas.microsoft.com/office/excel/2006/main">
          <x14:cfRule type="iconSet" priority="99" id="{C3870CCD-9EC8-4BDE-9D23-5E314FEE06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R95</xm:sqref>
        </x14:conditionalFormatting>
        <x14:conditionalFormatting xmlns:xm="http://schemas.microsoft.com/office/excel/2006/main">
          <x14:cfRule type="iconSet" priority="98" id="{03F1A908-FC2B-4C30-BA86-B350D26EE3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U95</xm:sqref>
        </x14:conditionalFormatting>
        <x14:conditionalFormatting xmlns:xm="http://schemas.microsoft.com/office/excel/2006/main">
          <x14:cfRule type="iconSet" priority="97" id="{478921C8-2AF8-44FC-8505-3C6CA2233F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V95</xm:sqref>
        </x14:conditionalFormatting>
        <x14:conditionalFormatting xmlns:xm="http://schemas.microsoft.com/office/excel/2006/main">
          <x14:cfRule type="iconSet" priority="96" id="{BABEC539-FBFF-4859-B2C9-A93C1286B9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Y95</xm:sqref>
        </x14:conditionalFormatting>
        <x14:conditionalFormatting xmlns:xm="http://schemas.microsoft.com/office/excel/2006/main">
          <x14:cfRule type="iconSet" priority="95" id="{82178880-A6F8-4257-AA94-9F6050841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Z95</xm:sqref>
        </x14:conditionalFormatting>
        <x14:conditionalFormatting xmlns:xm="http://schemas.microsoft.com/office/excel/2006/main">
          <x14:cfRule type="iconSet" priority="94" id="{EEA443EA-E28C-4AE1-8EFF-36A26EF2E5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I100</xm:sqref>
        </x14:conditionalFormatting>
        <x14:conditionalFormatting xmlns:xm="http://schemas.microsoft.com/office/excel/2006/main">
          <x14:cfRule type="iconSet" priority="93" id="{BDE090D6-D8A3-4720-8141-40EAF5274F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J100</xm:sqref>
        </x14:conditionalFormatting>
        <x14:conditionalFormatting xmlns:xm="http://schemas.microsoft.com/office/excel/2006/main">
          <x14:cfRule type="iconSet" priority="92" id="{31D18D84-C19B-4DF0-AB89-515447CDD7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M100</xm:sqref>
        </x14:conditionalFormatting>
        <x14:conditionalFormatting xmlns:xm="http://schemas.microsoft.com/office/excel/2006/main">
          <x14:cfRule type="iconSet" priority="91" id="{204334F7-FBF1-41F1-ABB8-932E4D3BEC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N100</xm:sqref>
        </x14:conditionalFormatting>
        <x14:conditionalFormatting xmlns:xm="http://schemas.microsoft.com/office/excel/2006/main">
          <x14:cfRule type="iconSet" priority="90" id="{B849795A-0A51-4366-97F9-7BF2F9A125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Q100</xm:sqref>
        </x14:conditionalFormatting>
        <x14:conditionalFormatting xmlns:xm="http://schemas.microsoft.com/office/excel/2006/main">
          <x14:cfRule type="iconSet" priority="89" id="{65976228-40C7-4BB0-AB92-394BF78B34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R100</xm:sqref>
        </x14:conditionalFormatting>
        <x14:conditionalFormatting xmlns:xm="http://schemas.microsoft.com/office/excel/2006/main">
          <x14:cfRule type="iconSet" priority="88" id="{28907FFC-C806-405A-98C2-B4F4F9E9D1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U100</xm:sqref>
        </x14:conditionalFormatting>
        <x14:conditionalFormatting xmlns:xm="http://schemas.microsoft.com/office/excel/2006/main">
          <x14:cfRule type="iconSet" priority="87" id="{6F55DB3E-5DC2-48EA-BE53-B93B456BED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V100</xm:sqref>
        </x14:conditionalFormatting>
        <x14:conditionalFormatting xmlns:xm="http://schemas.microsoft.com/office/excel/2006/main">
          <x14:cfRule type="iconSet" priority="86" id="{D36FDCC6-3EB0-41C6-8A33-FE74F05F07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Y100</xm:sqref>
        </x14:conditionalFormatting>
        <x14:conditionalFormatting xmlns:xm="http://schemas.microsoft.com/office/excel/2006/main">
          <x14:cfRule type="iconSet" priority="85" id="{11C41F80-3B8C-44B3-8F14-8CBFF0A6EF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Z100</xm:sqref>
        </x14:conditionalFormatting>
        <x14:conditionalFormatting xmlns:xm="http://schemas.microsoft.com/office/excel/2006/main">
          <x14:cfRule type="iconSet" priority="84" id="{2BF71702-2A9B-47FE-919C-262ABC461E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I104</xm:sqref>
        </x14:conditionalFormatting>
        <x14:conditionalFormatting xmlns:xm="http://schemas.microsoft.com/office/excel/2006/main">
          <x14:cfRule type="iconSet" priority="83" id="{550ABF57-E994-4BCD-9237-478105D149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J104</xm:sqref>
        </x14:conditionalFormatting>
        <x14:conditionalFormatting xmlns:xm="http://schemas.microsoft.com/office/excel/2006/main">
          <x14:cfRule type="iconSet" priority="82" id="{795DB610-6369-4BFB-9402-4341D8C627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M104</xm:sqref>
        </x14:conditionalFormatting>
        <x14:conditionalFormatting xmlns:xm="http://schemas.microsoft.com/office/excel/2006/main">
          <x14:cfRule type="iconSet" priority="81" id="{A69862D8-A1B0-4ECC-8540-A206D19880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N104</xm:sqref>
        </x14:conditionalFormatting>
        <x14:conditionalFormatting xmlns:xm="http://schemas.microsoft.com/office/excel/2006/main">
          <x14:cfRule type="iconSet" priority="80" id="{D42FBFDF-47A9-4C01-8869-AA448786F1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Q104</xm:sqref>
        </x14:conditionalFormatting>
        <x14:conditionalFormatting xmlns:xm="http://schemas.microsoft.com/office/excel/2006/main">
          <x14:cfRule type="iconSet" priority="79" id="{F31D090F-A9D9-4D6B-8EAA-796D5B26A6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R104</xm:sqref>
        </x14:conditionalFormatting>
        <x14:conditionalFormatting xmlns:xm="http://schemas.microsoft.com/office/excel/2006/main">
          <x14:cfRule type="iconSet" priority="78" id="{5CAFA863-F500-4DC7-89C9-B54B35AF92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U104</xm:sqref>
        </x14:conditionalFormatting>
        <x14:conditionalFormatting xmlns:xm="http://schemas.microsoft.com/office/excel/2006/main">
          <x14:cfRule type="iconSet" priority="77" id="{F34C9E9F-F6FD-408A-A17B-D80C4C86DF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V104</xm:sqref>
        </x14:conditionalFormatting>
        <x14:conditionalFormatting xmlns:xm="http://schemas.microsoft.com/office/excel/2006/main">
          <x14:cfRule type="iconSet" priority="76" id="{A3B65EEF-19CE-4260-A688-C5433125B1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Y104</xm:sqref>
        </x14:conditionalFormatting>
        <x14:conditionalFormatting xmlns:xm="http://schemas.microsoft.com/office/excel/2006/main">
          <x14:cfRule type="iconSet" priority="75" id="{0BE97F72-4502-48D3-9C56-3FB31A79A9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Z104</xm:sqref>
        </x14:conditionalFormatting>
        <x14:conditionalFormatting xmlns:xm="http://schemas.microsoft.com/office/excel/2006/main">
          <x14:cfRule type="iconSet" priority="74" id="{14193DCE-476B-4F88-8328-929C26C6FC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I127</xm:sqref>
        </x14:conditionalFormatting>
        <x14:conditionalFormatting xmlns:xm="http://schemas.microsoft.com/office/excel/2006/main">
          <x14:cfRule type="iconSet" priority="73" id="{9FD9DC56-31E5-4F7C-93B8-D1CDD1FD66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J127</xm:sqref>
        </x14:conditionalFormatting>
        <x14:conditionalFormatting xmlns:xm="http://schemas.microsoft.com/office/excel/2006/main">
          <x14:cfRule type="iconSet" priority="72" id="{39B4CDA0-B1D5-4823-AED1-861839E6B8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M127</xm:sqref>
        </x14:conditionalFormatting>
        <x14:conditionalFormatting xmlns:xm="http://schemas.microsoft.com/office/excel/2006/main">
          <x14:cfRule type="iconSet" priority="71" id="{8BFDFA64-2963-4125-BC62-7CA2088B6D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N127</xm:sqref>
        </x14:conditionalFormatting>
        <x14:conditionalFormatting xmlns:xm="http://schemas.microsoft.com/office/excel/2006/main">
          <x14:cfRule type="iconSet" priority="70" id="{176B45DF-AC81-4723-A7D7-18A9FE7CA1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Q127</xm:sqref>
        </x14:conditionalFormatting>
        <x14:conditionalFormatting xmlns:xm="http://schemas.microsoft.com/office/excel/2006/main">
          <x14:cfRule type="iconSet" priority="69" id="{5BBE6BCC-09F8-4BA7-A062-33BEAFF36C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R127</xm:sqref>
        </x14:conditionalFormatting>
        <x14:conditionalFormatting xmlns:xm="http://schemas.microsoft.com/office/excel/2006/main">
          <x14:cfRule type="iconSet" priority="68" id="{2703EE1F-D226-4B49-B6A8-10F8CB7B99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Y127</xm:sqref>
        </x14:conditionalFormatting>
        <x14:conditionalFormatting xmlns:xm="http://schemas.microsoft.com/office/excel/2006/main">
          <x14:cfRule type="iconSet" priority="67" id="{FDC16D0E-788D-4E66-AAE9-C7D70E8090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Z127</xm:sqref>
        </x14:conditionalFormatting>
        <x14:conditionalFormatting xmlns:xm="http://schemas.microsoft.com/office/excel/2006/main">
          <x14:cfRule type="iconSet" priority="66" id="{5A7F2D11-8E33-4A57-945A-C1091A81A4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E167</xm:sqref>
        </x14:conditionalFormatting>
        <x14:conditionalFormatting xmlns:xm="http://schemas.microsoft.com/office/excel/2006/main">
          <x14:cfRule type="iconSet" priority="65" id="{2A475558-CBEB-460C-B5BF-19E55FF410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F167</xm:sqref>
        </x14:conditionalFormatting>
        <x14:conditionalFormatting xmlns:xm="http://schemas.microsoft.com/office/excel/2006/main">
          <x14:cfRule type="iconSet" priority="64" id="{196FD8FE-8CED-451D-A3F4-4DD582EB699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I167</xm:sqref>
        </x14:conditionalFormatting>
        <x14:conditionalFormatting xmlns:xm="http://schemas.microsoft.com/office/excel/2006/main">
          <x14:cfRule type="iconSet" priority="63" id="{9C98DE75-45E4-4753-8CFA-DAE61E4EF3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J167</xm:sqref>
        </x14:conditionalFormatting>
        <x14:conditionalFormatting xmlns:xm="http://schemas.microsoft.com/office/excel/2006/main">
          <x14:cfRule type="iconSet" priority="62" id="{0023F8C0-4F19-4450-9F2F-6096D62CEC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E178:J178</xm:sqref>
        </x14:conditionalFormatting>
        <x14:conditionalFormatting xmlns:xm="http://schemas.microsoft.com/office/excel/2006/main">
          <x14:cfRule type="iconSet" priority="61" id="{DBB6F7FD-50D7-4240-B831-55F3BAC781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E184:J184</xm:sqref>
        </x14:conditionalFormatting>
        <x14:conditionalFormatting xmlns:xm="http://schemas.microsoft.com/office/excel/2006/main">
          <x14:cfRule type="iconSet" priority="59" id="{5405DC78-4FEA-420F-A803-1C328D9705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E150:F151 I150:J151 M150:N151 Q150:R151 U150:V151 Y150:Z151</xm:sqref>
        </x14:conditionalFormatting>
        <x14:conditionalFormatting xmlns:xm="http://schemas.microsoft.com/office/excel/2006/main">
          <x14:cfRule type="iconSet" priority="58" id="{3912DBC8-1D3D-4E6F-835E-74DEF28AE4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E195</xm:sqref>
        </x14:conditionalFormatting>
        <x14:conditionalFormatting xmlns:xm="http://schemas.microsoft.com/office/excel/2006/main">
          <x14:cfRule type="iconSet" priority="57" id="{7592BE06-7427-40CE-9838-31E905A3DE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F195</xm:sqref>
        </x14:conditionalFormatting>
        <x14:conditionalFormatting xmlns:xm="http://schemas.microsoft.com/office/excel/2006/main">
          <x14:cfRule type="iconSet" priority="56" id="{3CCDC70B-337D-48D2-92D3-56809EF0F6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I195</xm:sqref>
        </x14:conditionalFormatting>
        <x14:conditionalFormatting xmlns:xm="http://schemas.microsoft.com/office/excel/2006/main">
          <x14:cfRule type="iconSet" priority="55" id="{A0AFCBA5-6A81-4E9F-AAA7-6038BA5B14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J195</xm:sqref>
        </x14:conditionalFormatting>
        <x14:conditionalFormatting xmlns:xm="http://schemas.microsoft.com/office/excel/2006/main">
          <x14:cfRule type="iconSet" priority="54" id="{6C5FA027-9FD9-4536-8900-1010A15325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E200</xm:sqref>
        </x14:conditionalFormatting>
        <x14:conditionalFormatting xmlns:xm="http://schemas.microsoft.com/office/excel/2006/main">
          <x14:cfRule type="iconSet" priority="53" id="{BA023A30-0978-4F37-98F9-1A3ADAAC52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F200</xm:sqref>
        </x14:conditionalFormatting>
        <x14:conditionalFormatting xmlns:xm="http://schemas.microsoft.com/office/excel/2006/main">
          <x14:cfRule type="iconSet" priority="52" id="{4DC4D200-F1E5-4D37-82CA-06E2FF737B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I200</xm:sqref>
        </x14:conditionalFormatting>
        <x14:conditionalFormatting xmlns:xm="http://schemas.microsoft.com/office/excel/2006/main">
          <x14:cfRule type="iconSet" priority="51" id="{7D82274F-4A41-432A-9810-75DD0EEAE3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J200</xm:sqref>
        </x14:conditionalFormatting>
        <x14:conditionalFormatting xmlns:xm="http://schemas.microsoft.com/office/excel/2006/main">
          <x14:cfRule type="iconSet" priority="50" id="{4B4E433B-9D6C-493C-90D1-971848CA50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E204:L204</xm:sqref>
        </x14:conditionalFormatting>
        <x14:conditionalFormatting xmlns:xm="http://schemas.microsoft.com/office/excel/2006/main">
          <x14:cfRule type="iconSet" priority="49" id="{B3C74131-2CB6-4CB8-A676-F57932E9DB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E209</xm:sqref>
        </x14:conditionalFormatting>
        <x14:conditionalFormatting xmlns:xm="http://schemas.microsoft.com/office/excel/2006/main">
          <x14:cfRule type="iconSet" priority="48" id="{827C885F-BB8A-4006-9CE8-D13D994FBC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J209</xm:sqref>
        </x14:conditionalFormatting>
        <x14:conditionalFormatting xmlns:xm="http://schemas.microsoft.com/office/excel/2006/main">
          <x14:cfRule type="iconSet" priority="47" id="{9A20C8E5-31E5-4C89-AA5B-5B2444B00D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I209</xm:sqref>
        </x14:conditionalFormatting>
        <x14:conditionalFormatting xmlns:xm="http://schemas.microsoft.com/office/excel/2006/main">
          <x14:cfRule type="iconSet" priority="46" id="{6D5854BC-035E-4963-9562-73971B5DA6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F209</xm:sqref>
        </x14:conditionalFormatting>
        <x14:conditionalFormatting xmlns:xm="http://schemas.microsoft.com/office/excel/2006/main">
          <x14:cfRule type="iconSet" priority="45" id="{DFAD78D7-AC27-4CBB-A488-C44E8828CB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F90</xm:sqref>
        </x14:conditionalFormatting>
        <x14:conditionalFormatting xmlns:xm="http://schemas.microsoft.com/office/excel/2006/main">
          <x14:cfRule type="iconSet" priority="44" id="{F5AA7B35-560B-4D76-9BD0-242EDB27A6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I90</xm:sqref>
        </x14:conditionalFormatting>
        <x14:conditionalFormatting xmlns:xm="http://schemas.microsoft.com/office/excel/2006/main">
          <x14:cfRule type="iconSet" priority="43" id="{5BAE80A6-86B2-4483-8DEE-EAAAFD230F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E115</xm:sqref>
        </x14:conditionalFormatting>
        <x14:conditionalFormatting xmlns:xm="http://schemas.microsoft.com/office/excel/2006/main">
          <x14:cfRule type="iconSet" priority="42" id="{265071C5-3DB8-44E6-8C38-685DE266E3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F115</xm:sqref>
        </x14:conditionalFormatting>
        <x14:conditionalFormatting xmlns:xm="http://schemas.microsoft.com/office/excel/2006/main">
          <x14:cfRule type="iconSet" priority="41" id="{BDCDCAEF-FA29-4469-B99D-0FDE6C1182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I115</xm:sqref>
        </x14:conditionalFormatting>
        <x14:conditionalFormatting xmlns:xm="http://schemas.microsoft.com/office/excel/2006/main">
          <x14:cfRule type="iconSet" priority="40" id="{685D11F6-050A-419D-BF78-E6AB68DC5E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J115</xm:sqref>
        </x14:conditionalFormatting>
        <x14:conditionalFormatting xmlns:xm="http://schemas.microsoft.com/office/excel/2006/main">
          <x14:cfRule type="iconSet" priority="39" id="{6173FCFF-21AF-4248-8534-40E478B8A1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M115</xm:sqref>
        </x14:conditionalFormatting>
        <x14:conditionalFormatting xmlns:xm="http://schemas.microsoft.com/office/excel/2006/main">
          <x14:cfRule type="iconSet" priority="38" id="{1091460E-D5D2-48A6-AA26-6B6E8BB618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N115</xm:sqref>
        </x14:conditionalFormatting>
        <x14:conditionalFormatting xmlns:xm="http://schemas.microsoft.com/office/excel/2006/main">
          <x14:cfRule type="iconSet" priority="37" id="{149B813F-9FB1-4DA9-8E65-326506D46D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Q115</xm:sqref>
        </x14:conditionalFormatting>
        <x14:conditionalFormatting xmlns:xm="http://schemas.microsoft.com/office/excel/2006/main">
          <x14:cfRule type="iconSet" priority="36" id="{AD8A89CE-7060-4D3F-A9E2-863B259973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R115</xm:sqref>
        </x14:conditionalFormatting>
        <x14:conditionalFormatting xmlns:xm="http://schemas.microsoft.com/office/excel/2006/main">
          <x14:cfRule type="iconSet" priority="35" id="{B6526CF1-C1FB-450D-821A-EFA218A3C6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U115</xm:sqref>
        </x14:conditionalFormatting>
        <x14:conditionalFormatting xmlns:xm="http://schemas.microsoft.com/office/excel/2006/main">
          <x14:cfRule type="iconSet" priority="34" id="{108303D1-FA7A-4439-A141-A3A5523DE2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V115</xm:sqref>
        </x14:conditionalFormatting>
        <x14:conditionalFormatting xmlns:xm="http://schemas.microsoft.com/office/excel/2006/main">
          <x14:cfRule type="iconSet" priority="33" id="{9B4B1242-08CE-4101-8B3F-404E3D7372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Y115</xm:sqref>
        </x14:conditionalFormatting>
        <x14:conditionalFormatting xmlns:xm="http://schemas.microsoft.com/office/excel/2006/main">
          <x14:cfRule type="iconSet" priority="32" id="{577FF69B-F011-4EFF-B83A-AC284ECBD0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Z115</xm:sqref>
        </x14:conditionalFormatting>
        <x14:conditionalFormatting xmlns:xm="http://schemas.microsoft.com/office/excel/2006/main">
          <x14:cfRule type="iconSet" priority="31" id="{B35BBFB4-314E-4FE7-8CF0-D574FEB899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E121</xm:sqref>
        </x14:conditionalFormatting>
        <x14:conditionalFormatting xmlns:xm="http://schemas.microsoft.com/office/excel/2006/main">
          <x14:cfRule type="iconSet" priority="30" id="{9EC986A3-F16B-47BD-8E9E-E6EAA888A4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E172</xm:sqref>
        </x14:conditionalFormatting>
        <x14:conditionalFormatting xmlns:xm="http://schemas.microsoft.com/office/excel/2006/main">
          <x14:cfRule type="iconSet" priority="29" id="{6BDC7191-DE4F-46A8-8F29-D9A4A8087A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F172</xm:sqref>
        </x14:conditionalFormatting>
        <x14:conditionalFormatting xmlns:xm="http://schemas.microsoft.com/office/excel/2006/main">
          <x14:cfRule type="iconSet" priority="28" id="{1C2B7E0F-C866-48FD-8104-3CA6D4EEA2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I172</xm:sqref>
        </x14:conditionalFormatting>
        <x14:conditionalFormatting xmlns:xm="http://schemas.microsoft.com/office/excel/2006/main">
          <x14:cfRule type="iconSet" priority="27" id="{09DA8B0A-0339-40EC-9699-0D758C79E2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J172</xm:sqref>
        </x14:conditionalFormatting>
        <x14:conditionalFormatting xmlns:xm="http://schemas.microsoft.com/office/excel/2006/main">
          <x14:cfRule type="iconSet" priority="26" id="{401A576F-0D1D-4437-B1B2-86B060C911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F121</xm:sqref>
        </x14:conditionalFormatting>
        <x14:conditionalFormatting xmlns:xm="http://schemas.microsoft.com/office/excel/2006/main">
          <x14:cfRule type="iconSet" priority="25" id="{DDFE4DB6-347A-46AA-AD4A-D8468C7F52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I121</xm:sqref>
        </x14:conditionalFormatting>
        <x14:conditionalFormatting xmlns:xm="http://schemas.microsoft.com/office/excel/2006/main">
          <x14:cfRule type="iconSet" priority="24" id="{6FEBABE1-CA9D-4FAD-8425-1A5CB02B59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J121</xm:sqref>
        </x14:conditionalFormatting>
        <x14:conditionalFormatting xmlns:xm="http://schemas.microsoft.com/office/excel/2006/main">
          <x14:cfRule type="iconSet" priority="23" id="{CD574DA9-D3E4-4645-8531-C33411A167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M121</xm:sqref>
        </x14:conditionalFormatting>
        <x14:conditionalFormatting xmlns:xm="http://schemas.microsoft.com/office/excel/2006/main">
          <x14:cfRule type="iconSet" priority="22" id="{76D4A7A2-950C-430D-9B5C-DC654EFC0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N121</xm:sqref>
        </x14:conditionalFormatting>
        <x14:conditionalFormatting xmlns:xm="http://schemas.microsoft.com/office/excel/2006/main">
          <x14:cfRule type="iconSet" priority="21" id="{F9C90315-17D1-456F-A787-C447E4CB27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Q121</xm:sqref>
        </x14:conditionalFormatting>
        <x14:conditionalFormatting xmlns:xm="http://schemas.microsoft.com/office/excel/2006/main">
          <x14:cfRule type="iconSet" priority="20" id="{D5D1BB99-5ECA-48F3-B43B-BFA63CFDC2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R121</xm:sqref>
        </x14:conditionalFormatting>
        <x14:conditionalFormatting xmlns:xm="http://schemas.microsoft.com/office/excel/2006/main">
          <x14:cfRule type="iconSet" priority="19" id="{DE21B0E0-15DC-402B-9D06-95298F5CFB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U121</xm:sqref>
        </x14:conditionalFormatting>
        <x14:conditionalFormatting xmlns:xm="http://schemas.microsoft.com/office/excel/2006/main">
          <x14:cfRule type="iconSet" priority="18" id="{557CC13F-1FD5-4B78-B579-F96E79E3AC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V121</xm:sqref>
        </x14:conditionalFormatting>
        <x14:conditionalFormatting xmlns:xm="http://schemas.microsoft.com/office/excel/2006/main">
          <x14:cfRule type="iconSet" priority="17" id="{C67F1BC7-CB06-4890-A69F-26997A131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Y121</xm:sqref>
        </x14:conditionalFormatting>
        <x14:conditionalFormatting xmlns:xm="http://schemas.microsoft.com/office/excel/2006/main">
          <x14:cfRule type="iconSet" priority="16" id="{83A4DE7F-7634-458A-BCA9-52216F3FF1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Z121</xm:sqref>
        </x14:conditionalFormatting>
        <x14:conditionalFormatting xmlns:xm="http://schemas.microsoft.com/office/excel/2006/main">
          <x14:cfRule type="iconSet" priority="15" id="{54461AD3-808C-414A-90DF-916551FD52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F110</xm:sqref>
        </x14:conditionalFormatting>
        <x14:conditionalFormatting xmlns:xm="http://schemas.microsoft.com/office/excel/2006/main">
          <x14:cfRule type="iconSet" priority="14" id="{FB49D29A-FC9B-4E02-89B4-942E742713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I110</xm:sqref>
        </x14:conditionalFormatting>
        <x14:conditionalFormatting xmlns:xm="http://schemas.microsoft.com/office/excel/2006/main">
          <x14:cfRule type="iconSet" priority="13" id="{0525DBF2-20EF-4793-A060-C8B055F048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J110</xm:sqref>
        </x14:conditionalFormatting>
        <x14:conditionalFormatting xmlns:xm="http://schemas.microsoft.com/office/excel/2006/main">
          <x14:cfRule type="iconSet" priority="12" id="{8C300D5B-7C9C-4F08-B45C-F5D4E32057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M110</xm:sqref>
        </x14:conditionalFormatting>
        <x14:conditionalFormatting xmlns:xm="http://schemas.microsoft.com/office/excel/2006/main">
          <x14:cfRule type="iconSet" priority="11" id="{807231B3-D321-41AB-9E62-171B0BE51E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N110</xm:sqref>
        </x14:conditionalFormatting>
        <x14:conditionalFormatting xmlns:xm="http://schemas.microsoft.com/office/excel/2006/main">
          <x14:cfRule type="iconSet" priority="10" id="{B7970FC7-2171-4435-B996-01F332EBF3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Q110</xm:sqref>
        </x14:conditionalFormatting>
        <x14:conditionalFormatting xmlns:xm="http://schemas.microsoft.com/office/excel/2006/main">
          <x14:cfRule type="iconSet" priority="9" id="{62854228-5BBF-42DE-940A-8D268A695A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R110</xm:sqref>
        </x14:conditionalFormatting>
        <x14:conditionalFormatting xmlns:xm="http://schemas.microsoft.com/office/excel/2006/main">
          <x14:cfRule type="iconSet" priority="8" id="{5EC46AFA-618E-4D1A-914F-59F9AE48A1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U110</xm:sqref>
        </x14:conditionalFormatting>
        <x14:conditionalFormatting xmlns:xm="http://schemas.microsoft.com/office/excel/2006/main">
          <x14:cfRule type="iconSet" priority="7" id="{648C5B7E-B37D-4D27-BC2C-E8E217A6FF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V110</xm:sqref>
        </x14:conditionalFormatting>
        <x14:conditionalFormatting xmlns:xm="http://schemas.microsoft.com/office/excel/2006/main">
          <x14:cfRule type="iconSet" priority="6" id="{A3CCD747-0946-4B9B-81FF-57F694407A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Y110</xm:sqref>
        </x14:conditionalFormatting>
        <x14:conditionalFormatting xmlns:xm="http://schemas.microsoft.com/office/excel/2006/main">
          <x14:cfRule type="iconSet" priority="5" id="{2A4F6BEC-A863-45EB-AE4F-2651810558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Z110</xm:sqref>
        </x14:conditionalFormatting>
        <x14:conditionalFormatting xmlns:xm="http://schemas.microsoft.com/office/excel/2006/main">
          <x14:cfRule type="iconSet" priority="4" id="{A11C9D54-FB8D-4BC6-8B58-703FF3C389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E190</xm:sqref>
        </x14:conditionalFormatting>
        <x14:conditionalFormatting xmlns:xm="http://schemas.microsoft.com/office/excel/2006/main">
          <x14:cfRule type="iconSet" priority="3" id="{D1249021-EC66-47F8-91E5-64BA01FE4F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F190</xm:sqref>
        </x14:conditionalFormatting>
        <x14:conditionalFormatting xmlns:xm="http://schemas.microsoft.com/office/excel/2006/main">
          <x14:cfRule type="iconSet" priority="2" id="{6B17B333-CB32-4A5C-8DAF-6717BEED56A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I190</xm:sqref>
        </x14:conditionalFormatting>
        <x14:conditionalFormatting xmlns:xm="http://schemas.microsoft.com/office/excel/2006/main">
          <x14:cfRule type="iconSet" priority="1" id="{304A382F-BA2D-4C22-9189-884EE42D5A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J190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ADMIN</cp:lastModifiedBy>
  <dcterms:created xsi:type="dcterms:W3CDTF">2021-05-20T11:25:09Z</dcterms:created>
  <dcterms:modified xsi:type="dcterms:W3CDTF">2023-08-03T09:58:20Z</dcterms:modified>
</cp:coreProperties>
</file>