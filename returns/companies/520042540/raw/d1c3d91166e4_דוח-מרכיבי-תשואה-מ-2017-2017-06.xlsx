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2017\"/>
    </mc:Choice>
  </mc:AlternateContent>
  <bookViews>
    <workbookView xWindow="240" yWindow="135" windowWidth="20115" windowHeight="7485" tabRatio="891"/>
  </bookViews>
  <sheets>
    <sheet name="קרן ט" sheetId="20" r:id="rId1"/>
    <sheet name="קרן י" sheetId="10" r:id="rId2"/>
    <sheet name="40" sheetId="18" r:id="rId3"/>
    <sheet name="41" sheetId="19" r:id="rId4"/>
    <sheet name="42" sheetId="7" r:id="rId5"/>
    <sheet name="43" sheetId="14" r:id="rId6"/>
    <sheet name="44" sheetId="15" r:id="rId7"/>
    <sheet name="101" sheetId="16" r:id="rId8"/>
    <sheet name="180" sheetId="6" r:id="rId9"/>
    <sheet name="181" sheetId="5" r:id="rId10"/>
    <sheet name="184" sheetId="9" r:id="rId11"/>
    <sheet name="9534" sheetId="8" r:id="rId12"/>
    <sheet name="9535" sheetId="17" r:id="rId13"/>
    <sheet name="9536" sheetId="11" r:id="rId14"/>
    <sheet name="9537" sheetId="12" r:id="rId15"/>
    <sheet name="9544" sheetId="13" r:id="rId16"/>
  </sheets>
  <definedNames>
    <definedName name="_xlnm.Print_Area" localSheetId="8">'180'!$B$1:$Z$68</definedName>
    <definedName name="_xlnm.Print_Area" localSheetId="9">'181'!$B$1:$Z$68</definedName>
    <definedName name="_xlnm.Print_Area" localSheetId="10">'184'!$B$1:$Z$68</definedName>
    <definedName name="_xlnm.Print_Area" localSheetId="4">'42'!$B$1:$Z$68</definedName>
    <definedName name="_xlnm.Print_Area" localSheetId="11">'9534'!$B$1:$AA$68</definedName>
    <definedName name="_xlnm.Print_Area" localSheetId="1">'קרן י'!$B$1:$Z$68</definedName>
    <definedName name="Years" localSheetId="8">#REF!</definedName>
    <definedName name="Years" localSheetId="10">#REF!</definedName>
    <definedName name="Years" localSheetId="4">#REF!</definedName>
    <definedName name="Years" localSheetId="11">#REF!</definedName>
    <definedName name="Years" localSheetId="1">#REF!</definedName>
    <definedName name="years">'181'!$N$46</definedName>
    <definedName name="yr" localSheetId="10">#REF!</definedName>
    <definedName name="yr" localSheetId="2">#REF!</definedName>
    <definedName name="yr" localSheetId="11">#REF!</definedName>
    <definedName name="yr" localSheetId="1">#REF!</definedName>
    <definedName name="yr">#REF!</definedName>
  </definedNames>
  <calcPr calcId="152511"/>
</workbook>
</file>

<file path=xl/calcChain.xml><?xml version="1.0" encoding="utf-8"?>
<calcChain xmlns="http://schemas.openxmlformats.org/spreadsheetml/2006/main">
  <c r="F60" i="18" l="1"/>
  <c r="C59" i="18" l="1"/>
  <c r="D59" i="18"/>
  <c r="I35" i="18"/>
  <c r="I31" i="18"/>
  <c r="K35" i="18"/>
  <c r="K31" i="18"/>
  <c r="G35" i="18"/>
  <c r="G31" i="18"/>
  <c r="E35" i="18"/>
  <c r="E31" i="18"/>
  <c r="C35" i="18"/>
  <c r="C31" i="18"/>
  <c r="F67" i="18" l="1"/>
  <c r="D67" i="18"/>
  <c r="F66" i="18"/>
  <c r="F68" i="18" s="1"/>
  <c r="D66" i="18"/>
  <c r="D68" i="18" s="1"/>
  <c r="F63" i="18"/>
  <c r="D63" i="18"/>
  <c r="F62" i="18"/>
  <c r="F64" i="18" s="1"/>
  <c r="D62" i="18"/>
  <c r="D64" i="18" s="1"/>
  <c r="D60" i="18"/>
  <c r="F58" i="18"/>
  <c r="D58" i="18"/>
  <c r="F57" i="18"/>
  <c r="D57" i="18"/>
  <c r="F56" i="18"/>
  <c r="D56" i="18"/>
  <c r="F55" i="18"/>
  <c r="D55" i="18"/>
  <c r="F54" i="18"/>
  <c r="D54" i="18"/>
  <c r="F53" i="18"/>
  <c r="D53" i="18"/>
  <c r="F52" i="18"/>
  <c r="D52" i="18"/>
  <c r="F51" i="18"/>
  <c r="D51" i="18"/>
  <c r="F50" i="18"/>
  <c r="D50" i="18"/>
  <c r="F49" i="18"/>
  <c r="D49" i="18"/>
  <c r="F48" i="18"/>
  <c r="D48" i="18"/>
  <c r="F47" i="18"/>
  <c r="D47" i="18"/>
  <c r="F46" i="18"/>
  <c r="D46" i="18"/>
  <c r="F45" i="18"/>
  <c r="D45" i="18"/>
  <c r="F44" i="18"/>
  <c r="D44" i="18"/>
  <c r="F43" i="18"/>
  <c r="D43" i="18"/>
  <c r="F42" i="18"/>
  <c r="D42" i="18"/>
  <c r="F41" i="18"/>
  <c r="D41" i="18"/>
  <c r="F40" i="18"/>
  <c r="D40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J35" i="18"/>
  <c r="H35" i="18"/>
  <c r="F35" i="18"/>
  <c r="D35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J31" i="18"/>
  <c r="H31" i="18"/>
  <c r="F31" i="18"/>
  <c r="D31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E59" i="18" s="1"/>
  <c r="L26" i="18"/>
  <c r="F59" i="18" s="1"/>
  <c r="K26" i="18"/>
  <c r="J26" i="18"/>
  <c r="I26" i="18"/>
  <c r="H26" i="18"/>
  <c r="G26" i="18"/>
  <c r="F26" i="18"/>
  <c r="E26" i="18"/>
  <c r="D26" i="18"/>
  <c r="C2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G4" i="18"/>
  <c r="E4" i="18"/>
  <c r="E5" i="18"/>
  <c r="C5" i="18"/>
  <c r="I4" i="18" l="1"/>
  <c r="E67" i="18"/>
  <c r="E62" i="18"/>
  <c r="E63" i="18"/>
  <c r="E66" i="18"/>
  <c r="G5" i="18"/>
  <c r="E68" i="18" l="1"/>
  <c r="E64" i="18"/>
  <c r="K4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I5" i="18"/>
  <c r="M4" i="18" l="1"/>
  <c r="K5" i="18"/>
  <c r="O4" i="18" l="1"/>
  <c r="M5" i="18"/>
  <c r="Q4" i="18" l="1"/>
  <c r="O5" i="18"/>
  <c r="S4" i="18" l="1"/>
  <c r="Q5" i="18"/>
  <c r="U4" i="18" l="1"/>
  <c r="S5" i="18"/>
  <c r="W4" i="18" l="1"/>
  <c r="U5" i="18"/>
  <c r="Y4" i="18" l="1"/>
  <c r="Y5" i="18"/>
  <c r="W5" i="18"/>
  <c r="C40" i="18" l="1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62" i="18"/>
  <c r="C63" i="18"/>
  <c r="C64" i="18"/>
  <c r="C66" i="18"/>
  <c r="C67" i="18"/>
  <c r="C68" i="18"/>
</calcChain>
</file>

<file path=xl/sharedStrings.xml><?xml version="1.0" encoding="utf-8"?>
<sst xmlns="http://schemas.openxmlformats.org/spreadsheetml/2006/main" count="1917" uniqueCount="80">
  <si>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</si>
  <si>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</si>
  <si>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</si>
  <si>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</si>
  <si>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</si>
  <si>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</si>
  <si>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</si>
  <si>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</si>
  <si>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</si>
  <si>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</si>
  <si>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</si>
  <si>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</si>
  <si>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</si>
  <si>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</si>
  <si>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</si>
  <si>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</si>
  <si>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</si>
  <si>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</si>
  <si>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</si>
  <si>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</si>
  <si>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</si>
  <si>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</si>
  <si>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</si>
  <si>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</si>
  <si>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</si>
  <si>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</si>
  <si>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</si>
  <si>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</si>
  <si>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</si>
  <si>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</si>
  <si>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</si>
  <si>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</si>
  <si>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</si>
  <si>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</si>
  <si>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</si>
  <si>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</si>
  <si>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</si>
  <si>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</si>
  <si>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</si>
  <si>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</si>
  <si>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</si>
  <si>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</si>
  <si>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</si>
  <si>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הערות:</t>
  </si>
  <si>
    <t>התרומה לתשואה ושיעור מסך הנכסים  ידווחו באחוזים עם שתי ספרות לאחר הנקודה העשרונית.</t>
  </si>
  <si>
    <t>אגח משלת ישראל צמוד מדד</t>
  </si>
  <si>
    <t>מנורה מבטחים</t>
  </si>
  <si>
    <t>ינואר- מרץ 2017</t>
  </si>
  <si>
    <t>ינואר-יוני 2017</t>
  </si>
  <si>
    <t>ינואר-ספטמבר 2017</t>
  </si>
  <si>
    <t>ינואר-דצמבר 2017</t>
  </si>
  <si>
    <t>אגח משלת ישראל</t>
  </si>
  <si>
    <t>אג"ח צמוד מדד</t>
  </si>
  <si>
    <t>בסיסי למקבלי קצבה</t>
  </si>
  <si>
    <t>ביטוח הלכה</t>
  </si>
  <si>
    <t xml:space="preserve">ביטוח כללי </t>
  </si>
  <si>
    <t>לבני 50 ומטה</t>
  </si>
  <si>
    <t>לבני 50 עד 60</t>
  </si>
  <si>
    <t>לבני 60 ומעלה</t>
  </si>
  <si>
    <t>ביטוח מניות</t>
  </si>
  <si>
    <t xml:space="preserve">ביטוח מט"ח </t>
  </si>
  <si>
    <t xml:space="preserve">ביטוח מניות בחו"ל </t>
  </si>
  <si>
    <t>מתמחה למקבלי קצבה אג"ח עד 25% מניות</t>
  </si>
  <si>
    <t>שקלי טווח קצר</t>
  </si>
  <si>
    <t xml:space="preserve"> משתתף 91</t>
  </si>
  <si>
    <t>שקלי</t>
  </si>
  <si>
    <t>ינואר 2017</t>
  </si>
  <si>
    <t>פברואר 2017</t>
  </si>
  <si>
    <t>מרץ 2017</t>
  </si>
  <si>
    <t>אפריל 2017</t>
  </si>
  <si>
    <t>מאי 2017</t>
  </si>
  <si>
    <t>יוני 2017</t>
  </si>
  <si>
    <t>יולי 2017</t>
  </si>
  <si>
    <t>אוגוסט 2017</t>
  </si>
  <si>
    <t>ספטמבר 2017</t>
  </si>
  <si>
    <t>אוקטובר 2017</t>
  </si>
  <si>
    <t>נובמבר 2017</t>
  </si>
  <si>
    <t>דצמבר 2017</t>
  </si>
  <si>
    <t>התרומה לתשואה ושיעור מסך הנכסים  דווחו באחוזים עם שתי ספרות לאחר הנקודה העשרונית.</t>
  </si>
  <si>
    <t xml:space="preserve">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</si>
</sst>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_ * #,##0_ ;_ * \-#,##0_ ;_ * &quot;-&quot;??_ ;_ @_ 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86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17" fontId="3" fillId="5" borderId="2" xfId="0" applyNumberFormat="1" applyFont="1" applyFill="1" applyBorder="1" applyAlignment="1">
      <alignment horizontal="centerContinuous"/>
    </xf>
    <xf numFmtId="17" fontId="2" fillId="5" borderId="3" xfId="0" applyNumberFormat="1" applyFont="1" applyFill="1" applyBorder="1" applyAlignment="1">
      <alignment horizontal="centerContinuous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3" fontId="3" fillId="5" borderId="12" xfId="421" applyNumberFormat="1" applyFont="1" applyFill="1" applyBorder="1"/>
    <xf numFmtId="0" fontId="19" fillId="6" borderId="0" xfId="0" applyFont="1" applyFill="1"/>
    <xf numFmtId="0" fontId="19" fillId="7" borderId="0" xfId="0" applyFont="1" applyFill="1"/>
    <xf numFmtId="0" fontId="3" fillId="8" borderId="14" xfId="0" applyFont="1" applyFill="1" applyBorder="1"/>
    <xf numFmtId="2" fontId="2" fillId="2" borderId="6" xfId="421" applyNumberFormat="1" applyFont="1" applyFill="1" applyBorder="1"/>
    <xf numFmtId="2" fontId="2" fillId="5" borderId="5" xfId="421" applyNumberFormat="1" applyFont="1" applyFill="1" applyBorder="1"/>
    <xf numFmtId="2" fontId="2" fillId="5" borderId="6" xfId="421" applyNumberFormat="1" applyFont="1" applyFill="1" applyBorder="1"/>
    <xf numFmtId="2" fontId="2" fillId="2" borderId="5" xfId="421" applyNumberFormat="1" applyFont="1" applyFill="1" applyBorder="1"/>
    <xf numFmtId="177" fontId="3" fillId="4" borderId="13" xfId="421" applyNumberFormat="1" applyFont="1" applyFill="1" applyBorder="1"/>
    <xf numFmtId="4" fontId="3" fillId="2" borderId="12" xfId="421" applyNumberFormat="1" applyFont="1" applyFill="1" applyBorder="1"/>
    <xf numFmtId="10" fontId="19" fillId="0" borderId="0" xfId="421" applyNumberFormat="1" applyFont="1"/>
    <xf numFmtId="43" fontId="19" fillId="0" borderId="0" xfId="0" applyNumberFormat="1" applyFont="1"/>
    <xf numFmtId="2" fontId="3" fillId="5" borderId="11" xfId="421" applyNumberFormat="1" applyFont="1" applyFill="1" applyBorder="1"/>
    <xf numFmtId="2" fontId="3" fillId="2" borderId="10" xfId="421" applyNumberFormat="1" applyFont="1" applyFill="1" applyBorder="1"/>
    <xf numFmtId="2" fontId="3" fillId="2" borderId="11" xfId="421" applyNumberFormat="1" applyFont="1" applyFill="1" applyBorder="1"/>
    <xf numFmtId="2" fontId="3" fillId="5" borderId="10" xfId="421" applyNumberFormat="1" applyFont="1" applyFill="1" applyBorder="1"/>
    <xf numFmtId="2" fontId="3" fillId="2" borderId="6" xfId="421" applyNumberFormat="1" applyFont="1" applyFill="1" applyBorder="1"/>
    <xf numFmtId="2" fontId="3" fillId="5" borderId="5" xfId="421" applyNumberFormat="1" applyFont="1" applyFill="1" applyBorder="1"/>
    <xf numFmtId="2" fontId="3" fillId="2" borderId="5" xfId="421" applyNumberFormat="1" applyFont="1" applyFill="1" applyBorder="1"/>
    <xf numFmtId="0" fontId="21" fillId="0" borderId="0" xfId="0" applyFont="1"/>
    <xf numFmtId="1" fontId="3" fillId="8" borderId="14" xfId="0" applyNumberFormat="1" applyFont="1" applyFill="1" applyBorder="1"/>
    <xf numFmtId="1" fontId="2" fillId="2" borderId="6" xfId="421" applyNumberFormat="1" applyFont="1" applyFill="1" applyBorder="1"/>
    <xf numFmtId="1" fontId="3" fillId="5" borderId="12" xfId="421" applyNumberFormat="1" applyFont="1" applyFill="1" applyBorder="1"/>
    <xf numFmtId="1" fontId="3" fillId="2" borderId="12" xfId="421" applyNumberFormat="1" applyFont="1" applyFill="1" applyBorder="1"/>
    <xf numFmtId="1" fontId="3" fillId="4" borderId="13" xfId="421" applyNumberFormat="1" applyFont="1" applyFill="1" applyBorder="1"/>
    <xf numFmtId="1" fontId="19" fillId="0" borderId="0" xfId="0" applyNumberFormat="1" applyFont="1"/>
    <xf numFmtId="4" fontId="3" fillId="5" borderId="12" xfId="421" applyNumberFormat="1" applyFont="1" applyFill="1" applyBorder="1"/>
    <xf numFmtId="2" fontId="2" fillId="2" borderId="2" xfId="421" applyNumberFormat="1" applyFont="1" applyFill="1" applyBorder="1"/>
    <xf numFmtId="2" fontId="2" fillId="2" borderId="3" xfId="421" applyNumberFormat="1" applyFont="1" applyFill="1" applyBorder="1"/>
    <xf numFmtId="2" fontId="2" fillId="5" borderId="2" xfId="421" applyNumberFormat="1" applyFont="1" applyFill="1" applyBorder="1"/>
    <xf numFmtId="2" fontId="2" fillId="5" borderId="3" xfId="421" applyNumberFormat="1" applyFont="1" applyFill="1" applyBorder="1"/>
    <xf numFmtId="2" fontId="2" fillId="0" borderId="0" xfId="0" applyNumberFormat="1" applyFont="1" applyFill="1"/>
    <xf numFmtId="2" fontId="3" fillId="5" borderId="6" xfId="421" applyNumberFormat="1" applyFont="1" applyFill="1" applyBorder="1"/>
    <xf numFmtId="177" fontId="3" fillId="4" borderId="13" xfId="504" applyNumberFormat="1" applyFont="1" applyFill="1" applyBorder="1"/>
    <xf numFmtId="177" fontId="3" fillId="5" borderId="12" xfId="504" applyNumberFormat="1" applyFont="1" applyFill="1" applyBorder="1"/>
    <xf numFmtId="177" fontId="3" fillId="2" borderId="12" xfId="504" applyNumberFormat="1" applyFont="1" applyFill="1" applyBorder="1"/>
    <xf numFmtId="177" fontId="19" fillId="0" borderId="0" xfId="504" applyNumberFormat="1" applyFont="1"/>
    <xf numFmtId="177" fontId="3" fillId="8" borderId="14" xfId="504" applyNumberFormat="1" applyFont="1" applyFill="1" applyBorder="1"/>
    <xf numFmtId="177" fontId="2" fillId="2" borderId="6" xfId="504" applyNumberFormat="1" applyFont="1" applyFill="1" applyBorder="1"/>
    <xf numFmtId="0" fontId="2" fillId="9" borderId="0" xfId="0" applyFont="1" applyFill="1"/>
    <xf numFmtId="177" fontId="3" fillId="4" borderId="13" xfId="421" applyNumberFormat="1" applyFont="1" applyFill="1" applyBorder="1" applyAlignment="1">
      <alignment horizontal="right" indent="1"/>
    </xf>
    <xf numFmtId="2" fontId="2" fillId="2" borderId="18" xfId="421" applyNumberFormat="1" applyFont="1" applyFill="1" applyBorder="1"/>
    <xf numFmtId="17" fontId="3" fillId="5" borderId="19" xfId="0" applyNumberFormat="1" applyFont="1" applyFill="1" applyBorder="1" applyAlignment="1">
      <alignment horizontal="centerContinuous"/>
    </xf>
    <xf numFmtId="0" fontId="2" fillId="5" borderId="20" xfId="0" applyFont="1" applyFill="1" applyBorder="1" applyAlignment="1">
      <alignment horizontal="center" vertical="center" wrapText="1"/>
    </xf>
    <xf numFmtId="2" fontId="2" fillId="5" borderId="20" xfId="421" applyNumberFormat="1" applyFont="1" applyFill="1" applyBorder="1"/>
    <xf numFmtId="2" fontId="3" fillId="5" borderId="21" xfId="421" applyNumberFormat="1" applyFont="1" applyFill="1" applyBorder="1"/>
    <xf numFmtId="1" fontId="3" fillId="5" borderId="22" xfId="421" applyNumberFormat="1" applyFont="1" applyFill="1" applyBorder="1"/>
    <xf numFmtId="2" fontId="3" fillId="5" borderId="23" xfId="421" applyNumberFormat="1" applyFont="1" applyFill="1" applyBorder="1"/>
    <xf numFmtId="3" fontId="3" fillId="5" borderId="22" xfId="421" applyNumberFormat="1" applyFont="1" applyFill="1" applyBorder="1"/>
    <xf numFmtId="2" fontId="2" fillId="5" borderId="19" xfId="421" applyNumberFormat="1" applyFont="1" applyFill="1" applyBorder="1"/>
    <xf numFmtId="43" fontId="3" fillId="4" borderId="13" xfId="504" applyFont="1" applyFill="1" applyBorder="1"/>
    <xf numFmtId="0" fontId="19" fillId="7" borderId="17" xfId="0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5" borderId="15" xfId="0" applyNumberFormat="1" applyFont="1" applyFill="1" applyBorder="1" applyAlignment="1">
      <alignment horizontal="center"/>
    </xf>
    <xf numFmtId="17" fontId="3" fillId="5" borderId="16" xfId="0" applyNumberFormat="1" applyFont="1" applyFill="1" applyBorder="1" applyAlignment="1">
      <alignment horizontal="center"/>
    </xf>
    <xf numFmtId="17" fontId="3" fillId="5" borderId="19" xfId="0" applyNumberFormat="1" applyFont="1" applyFill="1" applyBorder="1" applyAlignment="1">
      <alignment horizontal="center"/>
    </xf>
    <xf numFmtId="17" fontId="3" fillId="2" borderId="2" xfId="0" applyNumberFormat="1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/>
    </xf>
    <xf numFmtId="17" fontId="3" fillId="5" borderId="2" xfId="0" applyNumberFormat="1" applyFont="1" applyFill="1" applyBorder="1" applyAlignment="1">
      <alignment horizontal="center"/>
    </xf>
    <xf numFmtId="17" fontId="2" fillId="5" borderId="3" xfId="0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tabSelected="1" zoomScale="85" zoomScaleNormal="85" workbookViewId="0">
      <selection activeCell="B1" sqref="B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64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-2.1370282915415272E-2</v>
      </c>
      <c r="D7" s="29">
        <v>1.3953475738447796</v>
      </c>
      <c r="E7" s="30">
        <v>-3.5899036742288279E-3</v>
      </c>
      <c r="F7" s="31">
        <v>1.2047291642658329</v>
      </c>
      <c r="G7" s="32">
        <v>-2.6958457282344764E-2</v>
      </c>
      <c r="H7" s="29">
        <v>1.2956721762069676</v>
      </c>
      <c r="I7" s="30">
        <v>-1.2129385310931566E-2</v>
      </c>
      <c r="J7" s="31">
        <v>0.38613555631515867</v>
      </c>
      <c r="K7" s="32">
        <v>-2.483663915316706E-2</v>
      </c>
      <c r="L7" s="29">
        <v>0.42319739887604024</v>
      </c>
      <c r="M7" s="30">
        <v>-3.7193480554037733E-2</v>
      </c>
      <c r="N7" s="31">
        <v>1.0107228291856305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2.6655021309236065E-2</v>
      </c>
      <c r="D8" s="29">
        <v>40.87866650414356</v>
      </c>
      <c r="E8" s="30">
        <v>-2.7222371166431579E-2</v>
      </c>
      <c r="F8" s="31">
        <v>40.643712321361889</v>
      </c>
      <c r="G8" s="32">
        <v>0.13263192632650772</v>
      </c>
      <c r="H8" s="29">
        <v>40.550877893752521</v>
      </c>
      <c r="I8" s="30">
        <v>0.41864292846890372</v>
      </c>
      <c r="J8" s="31">
        <v>42.040436808313181</v>
      </c>
      <c r="K8" s="32">
        <v>0.19934750153322237</v>
      </c>
      <c r="L8" s="29">
        <v>41.862004182379344</v>
      </c>
      <c r="M8" s="30">
        <v>-0.13989378684431403</v>
      </c>
      <c r="N8" s="31">
        <v>41.43853445476082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-1.3904024338955157E-2</v>
      </c>
      <c r="D11" s="29">
        <v>5.9074367611363643</v>
      </c>
      <c r="E11" s="30">
        <v>-4.7392992745252847E-2</v>
      </c>
      <c r="F11" s="31">
        <v>5.6782965211249463</v>
      </c>
      <c r="G11" s="32">
        <v>-1.0187608436982036E-2</v>
      </c>
      <c r="H11" s="29">
        <v>5.5424665759931218</v>
      </c>
      <c r="I11" s="30">
        <v>8.5632438866109203E-2</v>
      </c>
      <c r="J11" s="31">
        <v>5.0966185521591392</v>
      </c>
      <c r="K11" s="32">
        <v>9.3062524086454726E-3</v>
      </c>
      <c r="L11" s="29">
        <v>5.0177289279771466</v>
      </c>
      <c r="M11" s="30">
        <v>-5.9809285080425705E-2</v>
      </c>
      <c r="N11" s="31">
        <v>5.0388901644199882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1.1155434565556404E-2</v>
      </c>
      <c r="D12" s="29">
        <v>2.8607363171847422</v>
      </c>
      <c r="E12" s="30">
        <v>-3.1844341168564233E-3</v>
      </c>
      <c r="F12" s="31">
        <v>2.831387441043713</v>
      </c>
      <c r="G12" s="32">
        <v>8.832145540717309E-3</v>
      </c>
      <c r="H12" s="29">
        <v>2.8500379014444888</v>
      </c>
      <c r="I12" s="30">
        <v>3.9910119421854032E-2</v>
      </c>
      <c r="J12" s="31">
        <v>3.0000678169945902</v>
      </c>
      <c r="K12" s="32">
        <v>1.5908682512020583E-2</v>
      </c>
      <c r="L12" s="29">
        <v>2.9617081112826593</v>
      </c>
      <c r="M12" s="30">
        <v>1.173350319819296E-2</v>
      </c>
      <c r="N12" s="31">
        <v>2.9545533208424941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-0.1425614475583766</v>
      </c>
      <c r="D13" s="29">
        <v>22.31726590933841</v>
      </c>
      <c r="E13" s="30">
        <v>0.51797524133450923</v>
      </c>
      <c r="F13" s="31">
        <v>22.340498442582049</v>
      </c>
      <c r="G13" s="32">
        <v>1.3619861891138729E-3</v>
      </c>
      <c r="H13" s="29">
        <v>21.870463008110161</v>
      </c>
      <c r="I13" s="30">
        <v>0.38427913191478658</v>
      </c>
      <c r="J13" s="31">
        <v>20.855705320089967</v>
      </c>
      <c r="K13" s="32">
        <v>0.43088411275287436</v>
      </c>
      <c r="L13" s="29">
        <v>21.157439996246858</v>
      </c>
      <c r="M13" s="30">
        <v>-0.15656212232488856</v>
      </c>
      <c r="N13" s="31">
        <v>21.667055352089768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-4.1230691667340363E-2</v>
      </c>
      <c r="D14" s="29">
        <v>5.5753592174982147</v>
      </c>
      <c r="E14" s="30">
        <v>-7.4385248854312511E-2</v>
      </c>
      <c r="F14" s="31">
        <v>5.9501726725898818</v>
      </c>
      <c r="G14" s="32">
        <v>4.1439717428633331E-3</v>
      </c>
      <c r="H14" s="29">
        <v>6.7569477869074221</v>
      </c>
      <c r="I14" s="30">
        <v>3.8791411920790969E-2</v>
      </c>
      <c r="J14" s="31">
        <v>7.1378980149158862</v>
      </c>
      <c r="K14" s="32">
        <v>3.8432900049382629E-2</v>
      </c>
      <c r="L14" s="29">
        <v>7.308153849158316</v>
      </c>
      <c r="M14" s="30">
        <v>-0.10760176778495806</v>
      </c>
      <c r="N14" s="31">
        <v>6.9050294417743743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4.3363187307735696E-2</v>
      </c>
      <c r="D15" s="29">
        <v>6.7605363612500495</v>
      </c>
      <c r="E15" s="30">
        <v>-0.14504286825360399</v>
      </c>
      <c r="F15" s="31">
        <v>6.6336347093582386</v>
      </c>
      <c r="G15" s="32">
        <v>4.0277193004404195E-2</v>
      </c>
      <c r="H15" s="29">
        <v>6.6435467481078172</v>
      </c>
      <c r="I15" s="30">
        <v>0.12330713081770595</v>
      </c>
      <c r="J15" s="31">
        <v>7.5474754926941943</v>
      </c>
      <c r="K15" s="32">
        <v>5.8636436017597986E-2</v>
      </c>
      <c r="L15" s="29">
        <v>7.6278801852938631</v>
      </c>
      <c r="M15" s="30">
        <v>-0.13899796573799869</v>
      </c>
      <c r="N15" s="31">
        <v>7.624000008951068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-9.3156310258555976E-5</v>
      </c>
      <c r="D16" s="29">
        <v>0.49071188720189879</v>
      </c>
      <c r="E16" s="30">
        <v>-1.1748314758995389E-5</v>
      </c>
      <c r="F16" s="31">
        <v>0.46902141929122865</v>
      </c>
      <c r="G16" s="32">
        <v>5.0585274378049029E-2</v>
      </c>
      <c r="H16" s="29">
        <v>0.52646679135134899</v>
      </c>
      <c r="I16" s="30">
        <v>-1.1580513893350252E-6</v>
      </c>
      <c r="J16" s="31">
        <v>0.54798939289495663</v>
      </c>
      <c r="K16" s="32">
        <v>2.0095870741970702E-2</v>
      </c>
      <c r="L16" s="29">
        <v>0.56177812318931197</v>
      </c>
      <c r="M16" s="30">
        <v>-9.3325043514188402E-6</v>
      </c>
      <c r="N16" s="31">
        <v>0.47100889876280549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-9.3506380248488993E-4</v>
      </c>
      <c r="D17" s="29">
        <v>8.8458725166134476E-3</v>
      </c>
      <c r="E17" s="30">
        <v>1.6098817087255354E-3</v>
      </c>
      <c r="F17" s="31">
        <v>1.0318294095368122E-2</v>
      </c>
      <c r="G17" s="32">
        <v>-1.2216063694180304E-2</v>
      </c>
      <c r="H17" s="29">
        <v>1.5030580058738433E-3</v>
      </c>
      <c r="I17" s="30">
        <v>6.045967473695432E-4</v>
      </c>
      <c r="J17" s="31">
        <v>1.8403376546487821E-3</v>
      </c>
      <c r="K17" s="32">
        <v>1.1745780871137155E-3</v>
      </c>
      <c r="L17" s="29">
        <v>3.0130560712198547E-3</v>
      </c>
      <c r="M17" s="30">
        <v>-1.0230917498035503E-3</v>
      </c>
      <c r="N17" s="31">
        <v>2.0930264868765001E-3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0.21403898686746556</v>
      </c>
      <c r="D18" s="29">
        <v>0.47291000649397386</v>
      </c>
      <c r="E18" s="30">
        <v>0.4244625791900169</v>
      </c>
      <c r="F18" s="31">
        <v>0.65864190181777138</v>
      </c>
      <c r="G18" s="32">
        <v>0.1480049404308009</v>
      </c>
      <c r="H18" s="29">
        <v>0.67072128429776767</v>
      </c>
      <c r="I18" s="30">
        <v>3.2039024069579661E-2</v>
      </c>
      <c r="J18" s="31">
        <v>0.44134931595332116</v>
      </c>
      <c r="K18" s="32">
        <v>0.13365904222948088</v>
      </c>
      <c r="L18" s="29">
        <v>0.45231205098212601</v>
      </c>
      <c r="M18" s="30">
        <v>0.27223408048158221</v>
      </c>
      <c r="N18" s="31">
        <v>0.52166622558276943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-2.9007184780397034E-3</v>
      </c>
      <c r="D19" s="29">
        <v>0.57730432478130134</v>
      </c>
      <c r="E19" s="30">
        <v>4.1344532461894436E-3</v>
      </c>
      <c r="F19" s="31">
        <v>0.80972857348410465</v>
      </c>
      <c r="G19" s="32">
        <v>2.1179004734478129E-2</v>
      </c>
      <c r="H19" s="29">
        <v>0.74420704913188518</v>
      </c>
      <c r="I19" s="30">
        <v>4.0690087596552908E-3</v>
      </c>
      <c r="J19" s="31">
        <v>0.67916151147239123</v>
      </c>
      <c r="K19" s="32">
        <v>2.8991191352916293E-2</v>
      </c>
      <c r="L19" s="29">
        <v>0.59350092009681443</v>
      </c>
      <c r="M19" s="30">
        <v>-7.5204852906586494E-3</v>
      </c>
      <c r="N19" s="31">
        <v>0.60686566993432944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-5.7299425777549977E-2</v>
      </c>
      <c r="D20" s="29">
        <v>3.2784535587903743</v>
      </c>
      <c r="E20" s="30">
        <v>-8.6796143248096938E-2</v>
      </c>
      <c r="F20" s="31">
        <v>3.171268502238707</v>
      </c>
      <c r="G20" s="32">
        <v>-1.4846422996659068E-2</v>
      </c>
      <c r="H20" s="29">
        <v>3.1390180124150393</v>
      </c>
      <c r="I20" s="30">
        <v>-3.7821056346293747E-4</v>
      </c>
      <c r="J20" s="31">
        <v>2.4696026799796913</v>
      </c>
      <c r="K20" s="32">
        <v>-2.5812504258922106E-2</v>
      </c>
      <c r="L20" s="29">
        <v>2.4175346392377994</v>
      </c>
      <c r="M20" s="30">
        <v>-5.2361120358962759E-2</v>
      </c>
      <c r="N20" s="31">
        <v>2.3495182359886417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-0.29090112480458052</v>
      </c>
      <c r="D21" s="29">
        <v>8.8367403896072396</v>
      </c>
      <c r="E21" s="30">
        <v>-5.9431947491360104E-2</v>
      </c>
      <c r="F21" s="31">
        <v>9.1341844840988777</v>
      </c>
      <c r="G21" s="32">
        <v>6.4218493280950403E-2</v>
      </c>
      <c r="H21" s="29">
        <v>8.7888672427226364</v>
      </c>
      <c r="I21" s="30">
        <v>7.5925554849250121E-2</v>
      </c>
      <c r="J21" s="31">
        <v>9.2158430640329154</v>
      </c>
      <c r="K21" s="32">
        <v>3.8158591191725114E-2</v>
      </c>
      <c r="L21" s="29">
        <v>9.099409345813724</v>
      </c>
      <c r="M21" s="30">
        <v>-3.5904689468367758E-2</v>
      </c>
      <c r="N21" s="31">
        <v>8.8967675204955778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2.0950488436439216E-3</v>
      </c>
      <c r="D22" s="29">
        <v>0.79504050859796949</v>
      </c>
      <c r="E22" s="30">
        <v>6.2372871084120983E-4</v>
      </c>
      <c r="F22" s="31">
        <v>0.70583519836215058</v>
      </c>
      <c r="G22" s="32">
        <v>1.4287477965485194E-3</v>
      </c>
      <c r="H22" s="29">
        <v>0.72695405278063863</v>
      </c>
      <c r="I22" s="30">
        <v>5.2978534959298744E-3</v>
      </c>
      <c r="J22" s="31">
        <v>0.73759825042174376</v>
      </c>
      <c r="K22" s="32">
        <v>3.6386961903967863E-3</v>
      </c>
      <c r="L22" s="29">
        <v>0.72467683346421663</v>
      </c>
      <c r="M22" s="30">
        <v>2.6041929187891025E-3</v>
      </c>
      <c r="N22" s="31">
        <v>0.73957364958471605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3.8882567593634303E-3</v>
      </c>
      <c r="D25" s="29">
        <v>-0.15535519238548487</v>
      </c>
      <c r="E25" s="30">
        <v>8.2517736746199367E-3</v>
      </c>
      <c r="F25" s="31">
        <v>-0.24142964571477649</v>
      </c>
      <c r="G25" s="32">
        <v>8.2813160197454483E-4</v>
      </c>
      <c r="H25" s="29">
        <v>-0.10774958122768108</v>
      </c>
      <c r="I25" s="30">
        <v>1.0955459384882145E-4</v>
      </c>
      <c r="J25" s="31">
        <v>-0.15772211389175256</v>
      </c>
      <c r="K25" s="32">
        <v>2.4152883447421327E-3</v>
      </c>
      <c r="L25" s="29">
        <v>-0.2103376200694502</v>
      </c>
      <c r="M25" s="30">
        <v>1.0305351100202696E-2</v>
      </c>
      <c r="N25" s="31">
        <v>-0.22627879885985272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-0.26999999999999996</v>
      </c>
      <c r="D26" s="41">
        <v>100.00000000000001</v>
      </c>
      <c r="E26" s="42">
        <v>0.51</v>
      </c>
      <c r="F26" s="37">
        <v>99.999999999999986</v>
      </c>
      <c r="G26" s="43">
        <v>0.40928326261624176</v>
      </c>
      <c r="H26" s="41">
        <v>100.00000000000003</v>
      </c>
      <c r="I26" s="42">
        <v>1.1960999999999999</v>
      </c>
      <c r="J26" s="37">
        <v>100.00000000000003</v>
      </c>
      <c r="K26" s="41">
        <v>0.92999999999999983</v>
      </c>
      <c r="L26" s="41">
        <v>100</v>
      </c>
      <c r="M26" s="42">
        <v>-0.43999999999999984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46"/>
      <c r="D27" s="58">
        <v>-1254.9874471789994</v>
      </c>
      <c r="E27" s="59"/>
      <c r="F27" s="58">
        <v>2387.5764801519999</v>
      </c>
      <c r="G27" s="60"/>
      <c r="H27" s="58">
        <v>2293.4221199999988</v>
      </c>
      <c r="I27" s="59"/>
      <c r="J27" s="58">
        <v>5164.2785933999994</v>
      </c>
      <c r="K27" s="60"/>
      <c r="L27" s="58">
        <v>4238.8947009940021</v>
      </c>
      <c r="M27" s="47"/>
      <c r="N27" s="58">
        <v>-2074.4699676520013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-0.2112796781972601</v>
      </c>
      <c r="D29" s="29">
        <v>74.445841135223532</v>
      </c>
      <c r="E29" s="30">
        <v>0.64961661251368519</v>
      </c>
      <c r="F29" s="31">
        <v>74.476830679188325</v>
      </c>
      <c r="G29" s="29">
        <v>0.30147268250430814</v>
      </c>
      <c r="H29" s="29">
        <v>74.106579939639772</v>
      </c>
      <c r="I29" s="30">
        <v>0.83575817473066549</v>
      </c>
      <c r="J29" s="31">
        <v>72.941346944073345</v>
      </c>
      <c r="K29" s="32">
        <v>1.0452800749120335</v>
      </c>
      <c r="L29" s="29">
        <v>72.69260779451767</v>
      </c>
      <c r="M29" s="30">
        <v>1.3702318126520376E-2</v>
      </c>
      <c r="N29" s="31">
        <v>72.793842710154948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-5.8720321802739908E-2</v>
      </c>
      <c r="D30" s="29">
        <v>25.554158864776472</v>
      </c>
      <c r="E30" s="30">
        <v>-0.1396166125136851</v>
      </c>
      <c r="F30" s="31">
        <v>25.523169320811672</v>
      </c>
      <c r="G30" s="29">
        <v>0.10781058011193369</v>
      </c>
      <c r="H30" s="29">
        <v>25.893420060360235</v>
      </c>
      <c r="I30" s="31">
        <v>0.36034182526933439</v>
      </c>
      <c r="J30" s="31">
        <v>27.058653055926644</v>
      </c>
      <c r="K30" s="32">
        <v>-0.11528007491203338</v>
      </c>
      <c r="L30" s="29">
        <v>27.30739220548233</v>
      </c>
      <c r="M30" s="30">
        <v>-0.45370231812652034</v>
      </c>
      <c r="N30" s="31">
        <v>27.206157289845045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-0.27</v>
      </c>
      <c r="D31" s="41">
        <v>100</v>
      </c>
      <c r="E31" s="37">
        <v>0.51000000000000012</v>
      </c>
      <c r="F31" s="37">
        <v>100</v>
      </c>
      <c r="G31" s="41">
        <v>0.40928326261624182</v>
      </c>
      <c r="H31" s="41">
        <v>100</v>
      </c>
      <c r="I31" s="37">
        <v>1.1960999999999999</v>
      </c>
      <c r="J31" s="37">
        <v>99.999999999999986</v>
      </c>
      <c r="K31" s="41">
        <v>0.93</v>
      </c>
      <c r="L31" s="41">
        <v>100</v>
      </c>
      <c r="M31" s="37">
        <v>-0.43999999999999995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-0.18467949033656933</v>
      </c>
      <c r="D33" s="29">
        <v>47.463184777731357</v>
      </c>
      <c r="E33" s="30">
        <v>0.24316392330285033</v>
      </c>
      <c r="F33" s="31">
        <v>46.98413946591274</v>
      </c>
      <c r="G33" s="29">
        <v>3.943932236181269E-2</v>
      </c>
      <c r="H33" s="29">
        <v>48.056128488764749</v>
      </c>
      <c r="I33" s="30">
        <v>0.62134466337130767</v>
      </c>
      <c r="J33" s="31">
        <v>46.151379531435225</v>
      </c>
      <c r="K33" s="32">
        <v>0.38275960269102144</v>
      </c>
      <c r="L33" s="29">
        <v>46.578278414279204</v>
      </c>
      <c r="M33" s="30">
        <v>-0.57049091880457203</v>
      </c>
      <c r="N33" s="31">
        <v>47.187633962509764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-8.5320509663430674E-2</v>
      </c>
      <c r="D34" s="29">
        <v>52.53681522226865</v>
      </c>
      <c r="E34" s="30">
        <v>0.26683607669714965</v>
      </c>
      <c r="F34" s="31">
        <v>53.015860534087267</v>
      </c>
      <c r="G34" s="29">
        <v>0.36984394025442907</v>
      </c>
      <c r="H34" s="29">
        <v>51.943871511235251</v>
      </c>
      <c r="I34" s="31">
        <v>0.57475533662869216</v>
      </c>
      <c r="J34" s="31">
        <v>53.848620468564768</v>
      </c>
      <c r="K34" s="32">
        <v>0.54724039730897844</v>
      </c>
      <c r="L34" s="29">
        <v>53.421721585720796</v>
      </c>
      <c r="M34" s="30">
        <v>0.13049091880457198</v>
      </c>
      <c r="N34" s="31">
        <v>52.812366037490243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-0.27</v>
      </c>
      <c r="D35" s="41">
        <v>100</v>
      </c>
      <c r="E35" s="37">
        <v>0.51</v>
      </c>
      <c r="F35" s="37">
        <v>100</v>
      </c>
      <c r="G35" s="41">
        <v>0.40928326261624176</v>
      </c>
      <c r="H35" s="41">
        <v>100</v>
      </c>
      <c r="I35" s="37">
        <v>1.1960999999999999</v>
      </c>
      <c r="J35" s="37">
        <v>100</v>
      </c>
      <c r="K35" s="41">
        <v>0.92999999999999994</v>
      </c>
      <c r="L35" s="41">
        <v>100</v>
      </c>
      <c r="M35" s="37">
        <v>-0.44000000000000006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-3.4192527906496788E-2</v>
      </c>
      <c r="D40" s="29">
        <v>1.2956721762069676</v>
      </c>
      <c r="E40" s="30">
        <v>-0.13218363450066878</v>
      </c>
      <c r="F40" s="31">
        <v>1.0107228291856305</v>
      </c>
      <c r="G40" s="32"/>
      <c r="H40" s="29"/>
      <c r="I40" s="69"/>
      <c r="J40" s="69"/>
    </row>
    <row r="41" spans="2:26">
      <c r="B41" s="10" t="s">
        <v>7</v>
      </c>
      <c r="C41" s="32">
        <v>9.465122044051695E-2</v>
      </c>
      <c r="D41" s="29">
        <v>40.550877893752521</v>
      </c>
      <c r="E41" s="30">
        <v>0.60779492992086748</v>
      </c>
      <c r="F41" s="31">
        <v>41.43853445476082</v>
      </c>
      <c r="G41" s="32"/>
      <c r="H41" s="29"/>
      <c r="I41" s="69"/>
      <c r="J41" s="69"/>
    </row>
    <row r="42" spans="2:26">
      <c r="B42" s="10" t="s">
        <v>9</v>
      </c>
      <c r="C42" s="32">
        <v>0</v>
      </c>
      <c r="D42" s="29">
        <v>0</v>
      </c>
      <c r="E42" s="30">
        <v>0</v>
      </c>
      <c r="F42" s="31">
        <v>0</v>
      </c>
      <c r="G42" s="32"/>
      <c r="H42" s="29"/>
      <c r="I42" s="69"/>
      <c r="J42" s="69"/>
    </row>
    <row r="43" spans="2:26">
      <c r="B43" s="10" t="s">
        <v>11</v>
      </c>
      <c r="C43" s="32">
        <v>0</v>
      </c>
      <c r="D43" s="29">
        <v>0</v>
      </c>
      <c r="E43" s="30">
        <v>0</v>
      </c>
      <c r="F43" s="31">
        <v>0</v>
      </c>
      <c r="G43" s="32"/>
      <c r="H43" s="29"/>
      <c r="I43" s="69"/>
      <c r="J43" s="69"/>
    </row>
    <row r="44" spans="2:26">
      <c r="B44" s="10" t="s">
        <v>13</v>
      </c>
      <c r="C44" s="32">
        <v>-4.3967317001126258E-2</v>
      </c>
      <c r="D44" s="29">
        <v>5.5424665759931218</v>
      </c>
      <c r="E44" s="30">
        <v>-4.639009887869578E-2</v>
      </c>
      <c r="F44" s="31">
        <v>5.0388901644199882</v>
      </c>
      <c r="G44" s="32"/>
      <c r="H44" s="29"/>
      <c r="I44" s="69"/>
      <c r="J44" s="69"/>
    </row>
    <row r="45" spans="2:26">
      <c r="B45" s="10" t="s">
        <v>15</v>
      </c>
      <c r="C45" s="32">
        <v>1.1060718236030749E-2</v>
      </c>
      <c r="D45" s="29">
        <v>2.8500379014444888</v>
      </c>
      <c r="E45" s="30">
        <v>8.4027702933359608E-2</v>
      </c>
      <c r="F45" s="31">
        <v>2.9545533208424941</v>
      </c>
      <c r="G45" s="32"/>
      <c r="H45" s="29"/>
      <c r="I45" s="69"/>
      <c r="J45" s="69"/>
    </row>
    <row r="46" spans="2:26">
      <c r="B46" s="10" t="s">
        <v>17</v>
      </c>
      <c r="C46" s="32">
        <v>0.22648819967134398</v>
      </c>
      <c r="D46" s="29">
        <v>21.870463008110161</v>
      </c>
      <c r="E46" s="30">
        <v>1.0117873232047871</v>
      </c>
      <c r="F46" s="31">
        <v>21.667055352089768</v>
      </c>
      <c r="G46" s="32"/>
      <c r="H46" s="29"/>
      <c r="I46" s="69"/>
      <c r="J46" s="69"/>
    </row>
    <row r="47" spans="2:26">
      <c r="B47" s="10" t="s">
        <v>19</v>
      </c>
      <c r="C47" s="32">
        <v>-6.6115009645823203E-2</v>
      </c>
      <c r="D47" s="29">
        <v>6.7569477869074221</v>
      </c>
      <c r="E47" s="30">
        <v>-0.14809005514107898</v>
      </c>
      <c r="F47" s="31">
        <v>6.9050294417743743</v>
      </c>
      <c r="G47" s="32"/>
      <c r="H47" s="29"/>
      <c r="I47" s="69"/>
      <c r="J47" s="69"/>
    </row>
    <row r="48" spans="2:26">
      <c r="B48" s="10" t="s">
        <v>21</v>
      </c>
      <c r="C48" s="32">
        <v>-3.2218259397536336E-2</v>
      </c>
      <c r="D48" s="29">
        <v>6.6435467481078172</v>
      </c>
      <c r="E48" s="30">
        <v>-2.3356105965194066E-2</v>
      </c>
      <c r="F48" s="31">
        <v>7.624000008951068</v>
      </c>
      <c r="G48" s="32"/>
      <c r="H48" s="29"/>
      <c r="I48" s="69"/>
      <c r="J48" s="69"/>
    </row>
    <row r="49" spans="2:14">
      <c r="B49" s="10" t="s">
        <v>23</v>
      </c>
      <c r="C49" s="32">
        <v>3.6210250046875253E-2</v>
      </c>
      <c r="D49" s="29">
        <v>0.52646679135134899</v>
      </c>
      <c r="E49" s="30">
        <v>8.1404714337346834E-2</v>
      </c>
      <c r="F49" s="31">
        <v>0.47100889876280549</v>
      </c>
      <c r="G49" s="32"/>
      <c r="H49" s="29"/>
      <c r="I49" s="69"/>
      <c r="J49" s="69"/>
    </row>
    <row r="50" spans="2:14">
      <c r="B50" s="10" t="s">
        <v>25</v>
      </c>
      <c r="C50" s="32">
        <v>-8.3513885446652152E-3</v>
      </c>
      <c r="D50" s="29">
        <v>1.5030580058738433E-3</v>
      </c>
      <c r="E50" s="30">
        <v>-1.3502871696130424E-2</v>
      </c>
      <c r="F50" s="31">
        <v>2.0930264868765001E-3</v>
      </c>
      <c r="G50" s="32"/>
      <c r="H50" s="29"/>
      <c r="I50" s="69"/>
      <c r="J50" s="69"/>
    </row>
    <row r="51" spans="2:14">
      <c r="B51" s="10" t="s">
        <v>26</v>
      </c>
      <c r="C51" s="32">
        <v>0.4877248748405687</v>
      </c>
      <c r="D51" s="29">
        <v>0.67072128429776767</v>
      </c>
      <c r="E51" s="30">
        <v>1.2699093797960612</v>
      </c>
      <c r="F51" s="31">
        <v>0.52166622558276943</v>
      </c>
      <c r="G51" s="32"/>
      <c r="H51" s="29"/>
      <c r="I51" s="69"/>
      <c r="J51" s="69"/>
    </row>
    <row r="52" spans="2:14">
      <c r="B52" s="10" t="s">
        <v>27</v>
      </c>
      <c r="C52" s="32">
        <v>1.5938133932227642E-2</v>
      </c>
      <c r="D52" s="29">
        <v>0.74420704913188518</v>
      </c>
      <c r="E52" s="30">
        <v>5.1906084045214483E-2</v>
      </c>
      <c r="F52" s="31">
        <v>0.60686566993432944</v>
      </c>
      <c r="G52" s="32"/>
      <c r="H52" s="29"/>
      <c r="I52" s="69"/>
      <c r="J52" s="69"/>
    </row>
    <row r="53" spans="2:14">
      <c r="B53" s="10" t="s">
        <v>28</v>
      </c>
      <c r="C53" s="32">
        <v>-9.6725108736402637E-2</v>
      </c>
      <c r="D53" s="29">
        <v>3.1390180124150393</v>
      </c>
      <c r="E53" s="30">
        <v>-0.24388245322413282</v>
      </c>
      <c r="F53" s="31">
        <v>2.3495182359886417</v>
      </c>
      <c r="G53" s="32"/>
      <c r="H53" s="29"/>
      <c r="I53" s="69"/>
      <c r="J53" s="69"/>
    </row>
    <row r="54" spans="2:14">
      <c r="B54" s="10" t="s">
        <v>29</v>
      </c>
      <c r="C54" s="32">
        <v>4.9243749280087214E-2</v>
      </c>
      <c r="D54" s="29">
        <v>8.7888672427226364</v>
      </c>
      <c r="E54" s="30">
        <v>-0.20389763324846358</v>
      </c>
      <c r="F54" s="31">
        <v>8.8967675204955778</v>
      </c>
      <c r="G54" s="32"/>
      <c r="H54" s="29"/>
      <c r="I54" s="69"/>
      <c r="J54" s="69"/>
    </row>
    <row r="55" spans="2:14">
      <c r="B55" s="10" t="s">
        <v>30</v>
      </c>
      <c r="C55" s="32">
        <v>2.6442963560013365E-3</v>
      </c>
      <c r="D55" s="29">
        <v>0.72695405278063863</v>
      </c>
      <c r="E55" s="30">
        <v>1.5737149272759487E-2</v>
      </c>
      <c r="F55" s="31">
        <v>0.73957364958471605</v>
      </c>
      <c r="G55" s="32"/>
      <c r="H55" s="29"/>
      <c r="I55" s="69"/>
      <c r="J55" s="69"/>
    </row>
    <row r="56" spans="2:14">
      <c r="B56" s="10" t="s">
        <v>31</v>
      </c>
      <c r="C56" s="32">
        <v>0</v>
      </c>
      <c r="D56" s="29">
        <v>0</v>
      </c>
      <c r="E56" s="30">
        <v>0</v>
      </c>
      <c r="F56" s="31">
        <v>0</v>
      </c>
      <c r="G56" s="32"/>
      <c r="H56" s="29"/>
      <c r="I56" s="69"/>
      <c r="J56" s="69"/>
    </row>
    <row r="57" spans="2:14">
      <c r="B57" s="10" t="s">
        <v>32</v>
      </c>
      <c r="C57" s="32">
        <v>0</v>
      </c>
      <c r="D57" s="29">
        <v>0</v>
      </c>
      <c r="E57" s="30">
        <v>0</v>
      </c>
      <c r="F57" s="31">
        <v>0</v>
      </c>
      <c r="G57" s="32"/>
      <c r="H57" s="29"/>
      <c r="I57" s="69"/>
      <c r="J57" s="69"/>
    </row>
    <row r="58" spans="2:14">
      <c r="B58" s="10" t="s">
        <v>33</v>
      </c>
      <c r="C58" s="32">
        <v>7.8500077186013165E-3</v>
      </c>
      <c r="D58" s="29">
        <v>-0.10774958122768108</v>
      </c>
      <c r="E58" s="30">
        <v>2.6390396469320239E-2</v>
      </c>
      <c r="F58" s="31">
        <v>-0.22627879885985272</v>
      </c>
      <c r="G58" s="32"/>
      <c r="H58" s="29"/>
      <c r="I58" s="69"/>
      <c r="J58" s="69"/>
    </row>
    <row r="59" spans="2:14">
      <c r="B59" s="11" t="s">
        <v>34</v>
      </c>
      <c r="C59" s="34">
        <v>0.64888290661602177</v>
      </c>
      <c r="D59" s="29">
        <v>100.00000000000003</v>
      </c>
      <c r="E59" s="51">
        <v>2.3376548273253519</v>
      </c>
      <c r="F59" s="31">
        <v>100</v>
      </c>
      <c r="G59" s="32"/>
      <c r="H59" s="39"/>
      <c r="I59" s="69"/>
      <c r="J59" s="69"/>
      <c r="M59" s="35"/>
    </row>
    <row r="60" spans="2:14">
      <c r="B60" s="28" t="s">
        <v>40</v>
      </c>
      <c r="C60" s="34"/>
      <c r="D60" s="33">
        <v>3426.0111529729993</v>
      </c>
      <c r="E60" s="25"/>
      <c r="F60" s="33">
        <v>10754.714479714999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53">
        <v>0.69150309745622407</v>
      </c>
      <c r="D62" s="53">
        <v>74.106579939639772</v>
      </c>
      <c r="E62" s="30">
        <v>2.6487290106167478</v>
      </c>
      <c r="F62" s="31">
        <v>72.793842710154948</v>
      </c>
      <c r="G62" s="52"/>
      <c r="H62" s="53"/>
      <c r="I62" s="69"/>
      <c r="J62" s="69"/>
    </row>
    <row r="63" spans="2:14">
      <c r="B63" s="10" t="s">
        <v>36</v>
      </c>
      <c r="C63" s="29">
        <v>-4.1261258166021289E-2</v>
      </c>
      <c r="D63" s="29">
        <v>25.893420060360235</v>
      </c>
      <c r="E63" s="30">
        <v>-0.31107418329139591</v>
      </c>
      <c r="F63" s="31">
        <v>27.206157289845045</v>
      </c>
      <c r="G63" s="32"/>
      <c r="H63" s="29"/>
      <c r="I63" s="69"/>
      <c r="J63" s="69"/>
    </row>
    <row r="64" spans="2:14">
      <c r="B64" s="11" t="s">
        <v>34</v>
      </c>
      <c r="C64" s="34">
        <v>0.65024183929020274</v>
      </c>
      <c r="D64" s="34">
        <v>100</v>
      </c>
      <c r="E64" s="51">
        <v>2.3376548273253519</v>
      </c>
      <c r="F64" s="57">
        <v>100</v>
      </c>
      <c r="G64" s="32"/>
      <c r="H64" s="39"/>
      <c r="I64" s="30"/>
      <c r="J64" s="30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53">
        <v>6.4106960976868327E-2</v>
      </c>
      <c r="D66" s="53">
        <v>48.056128488764749</v>
      </c>
      <c r="E66" s="30">
        <v>0.48658130988071691</v>
      </c>
      <c r="F66" s="31">
        <v>47.187633962509764</v>
      </c>
      <c r="G66" s="52"/>
      <c r="H66" s="53"/>
      <c r="I66" s="69"/>
      <c r="J66" s="69"/>
    </row>
    <row r="67" spans="2:10">
      <c r="B67" s="10" t="s">
        <v>38</v>
      </c>
      <c r="C67" s="29">
        <v>0.58613487831333455</v>
      </c>
      <c r="D67" s="29">
        <v>51.943871511235251</v>
      </c>
      <c r="E67" s="30">
        <v>1.8510735174446342</v>
      </c>
      <c r="F67" s="31">
        <v>52.812366037490243</v>
      </c>
      <c r="G67" s="32"/>
      <c r="H67" s="29"/>
      <c r="I67" s="69"/>
      <c r="J67" s="69"/>
    </row>
    <row r="68" spans="2:10">
      <c r="B68" s="11" t="s">
        <v>34</v>
      </c>
      <c r="C68" s="34">
        <v>0.65024183929020285</v>
      </c>
      <c r="D68" s="34">
        <v>100</v>
      </c>
      <c r="E68" s="51">
        <v>2.337654827325351</v>
      </c>
      <c r="F68" s="57">
        <v>100</v>
      </c>
      <c r="G68" s="38"/>
      <c r="H68" s="39"/>
      <c r="I68" s="30"/>
      <c r="J68" s="30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78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1"/>
  <sheetViews>
    <sheetView rightToLeft="1" zoomScale="85" zoomScaleNormal="85" workbookViewId="0">
      <pane ySplit="6" topLeftCell="A7" activePane="bottomLeft" state="frozen"/>
      <selection activeCell="F4" sqref="F4"/>
      <selection pane="bottomLeft" activeCell="B1" sqref="B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.25" style="1" bestFit="1" customWidth="1"/>
    <col min="5" max="5" width="9.125" style="1"/>
    <col min="6" max="6" width="11.875" style="1" bestFit="1" customWidth="1"/>
    <col min="7" max="7" width="8.625" style="1" customWidth="1"/>
    <col min="8" max="8" width="10.5" style="1" bestFit="1" customWidth="1"/>
    <col min="9" max="9" width="8.375" style="1" customWidth="1"/>
    <col min="10" max="10" width="10.5" style="1" bestFit="1" customWidth="1"/>
    <col min="11" max="11" width="8.25" style="1" customWidth="1"/>
    <col min="12" max="12" width="10.5" style="1" bestFit="1" customWidth="1"/>
    <col min="13" max="13" width="8.125" style="1" customWidth="1"/>
    <col min="14" max="14" width="9.625" style="1" bestFit="1" customWidth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-1.4587212779778761E-2</v>
      </c>
      <c r="D7" s="29">
        <v>7.9668699736220887</v>
      </c>
      <c r="E7" s="30">
        <v>-4.181741709141313E-2</v>
      </c>
      <c r="F7" s="31">
        <v>8.108176542195352</v>
      </c>
      <c r="G7" s="32">
        <v>-1.7039710333970278E-2</v>
      </c>
      <c r="H7" s="29">
        <v>8.873917257962729</v>
      </c>
      <c r="I7" s="30">
        <v>1.13910551770527E-3</v>
      </c>
      <c r="J7" s="31">
        <v>8.0529002294495307</v>
      </c>
      <c r="K7" s="32">
        <v>-1.1163900571791147E-2</v>
      </c>
      <c r="L7" s="29">
        <v>8.0386474650901558</v>
      </c>
      <c r="M7" s="30">
        <v>-2.0029744315754463E-2</v>
      </c>
      <c r="N7" s="31">
        <v>8.340055754699792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3.0390917836260515E-3</v>
      </c>
      <c r="D8" s="29">
        <v>12.717497422586636</v>
      </c>
      <c r="E8" s="30">
        <v>-1.3386174616270832E-2</v>
      </c>
      <c r="F8" s="31">
        <v>12.633455291286952</v>
      </c>
      <c r="G8" s="32">
        <v>3.6824778980043896E-2</v>
      </c>
      <c r="H8" s="29">
        <v>12.482191993061701</v>
      </c>
      <c r="I8" s="30">
        <v>9.5434003525480468E-2</v>
      </c>
      <c r="J8" s="31">
        <v>12.673155336033837</v>
      </c>
      <c r="K8" s="32">
        <v>7.1784181711816386E-2</v>
      </c>
      <c r="L8" s="29">
        <v>12.599901689655768</v>
      </c>
      <c r="M8" s="30">
        <v>-4.3596481954175849E-2</v>
      </c>
      <c r="N8" s="31">
        <v>12.577766962830866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2.1646797010807267E-2</v>
      </c>
      <c r="D11" s="29">
        <v>13.279510826553862</v>
      </c>
      <c r="E11" s="30">
        <v>-3.1096129064815931E-2</v>
      </c>
      <c r="F11" s="31">
        <v>12.697161835480495</v>
      </c>
      <c r="G11" s="32">
        <v>-3.6455621302468747E-3</v>
      </c>
      <c r="H11" s="29">
        <v>12.272176707216415</v>
      </c>
      <c r="I11" s="30">
        <v>0.17337677168507679</v>
      </c>
      <c r="J11" s="31">
        <v>12.51080652689652</v>
      </c>
      <c r="K11" s="32">
        <v>7.4946156877198106E-2</v>
      </c>
      <c r="L11" s="29">
        <v>12.435107819882145</v>
      </c>
      <c r="M11" s="30">
        <v>-9.9912124775837927E-2</v>
      </c>
      <c r="N11" s="31">
        <v>12.564153772858019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2.1643045455851738E-2</v>
      </c>
      <c r="D12" s="29">
        <v>4.0548749593431275</v>
      </c>
      <c r="E12" s="30">
        <v>1.6421458726188583E-3</v>
      </c>
      <c r="F12" s="31">
        <v>4.0140245756129458</v>
      </c>
      <c r="G12" s="32">
        <v>1.7688824750572211E-2</v>
      </c>
      <c r="H12" s="29">
        <v>4.0568399401815327</v>
      </c>
      <c r="I12" s="30">
        <v>5.7630641711799983E-2</v>
      </c>
      <c r="J12" s="31">
        <v>4.0983659636860041</v>
      </c>
      <c r="K12" s="32">
        <v>1.7855842404648579E-2</v>
      </c>
      <c r="L12" s="29">
        <v>4.0281254805355955</v>
      </c>
      <c r="M12" s="30">
        <v>7.0022445765945407E-3</v>
      </c>
      <c r="N12" s="31">
        <v>4.0243338105443147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-0.13930079125557818</v>
      </c>
      <c r="D13" s="29">
        <v>22.242480598998362</v>
      </c>
      <c r="E13" s="30">
        <v>0.49683363992637219</v>
      </c>
      <c r="F13" s="31">
        <v>22.461050133664749</v>
      </c>
      <c r="G13" s="32">
        <v>4.3656611559518966E-4</v>
      </c>
      <c r="H13" s="29">
        <v>21.993455742222618</v>
      </c>
      <c r="I13" s="30">
        <v>0.36668117200329453</v>
      </c>
      <c r="J13" s="31">
        <v>22.243318856110818</v>
      </c>
      <c r="K13" s="32">
        <v>0.4726967837223135</v>
      </c>
      <c r="L13" s="29">
        <v>22.530215476562535</v>
      </c>
      <c r="M13" s="30">
        <v>-0.21446624687113941</v>
      </c>
      <c r="N13" s="31">
        <v>22.649267338268672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-3.2904580461801572E-2</v>
      </c>
      <c r="D14" s="29">
        <v>6.6224978291927572</v>
      </c>
      <c r="E14" s="30">
        <v>-5.9132589295093234E-2</v>
      </c>
      <c r="F14" s="31">
        <v>7.0614127604790387</v>
      </c>
      <c r="G14" s="32">
        <v>8.1807805381842614E-3</v>
      </c>
      <c r="H14" s="29">
        <v>7.7568274246239923</v>
      </c>
      <c r="I14" s="30">
        <v>5.205736662901371E-2</v>
      </c>
      <c r="J14" s="31">
        <v>8.0292883725586872</v>
      </c>
      <c r="K14" s="32">
        <v>5.229453600318288E-2</v>
      </c>
      <c r="L14" s="29">
        <v>8.2361385066729014</v>
      </c>
      <c r="M14" s="30">
        <v>-0.10614904207189572</v>
      </c>
      <c r="N14" s="31">
        <v>7.779605177031562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2.5710925037742353E-2</v>
      </c>
      <c r="D15" s="29">
        <v>6.9467724763987562</v>
      </c>
      <c r="E15" s="30">
        <v>-0.14237581095053017</v>
      </c>
      <c r="F15" s="31">
        <v>6.7871433593417478</v>
      </c>
      <c r="G15" s="32">
        <v>3.6224027232713646E-2</v>
      </c>
      <c r="H15" s="29">
        <v>6.7450153368564703</v>
      </c>
      <c r="I15" s="30">
        <v>0.11579903555353811</v>
      </c>
      <c r="J15" s="31">
        <v>7.2773125226904298</v>
      </c>
      <c r="K15" s="32">
        <v>5.1552950699329067E-2</v>
      </c>
      <c r="L15" s="29">
        <v>7.3876175762260115</v>
      </c>
      <c r="M15" s="30">
        <v>-0.13886881218574007</v>
      </c>
      <c r="N15" s="31">
        <v>7.4403956879408106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-6.2168855244528462E-2</v>
      </c>
      <c r="D16" s="29">
        <v>6.4249295515019398</v>
      </c>
      <c r="E16" s="30">
        <v>-8.7019440178181418E-2</v>
      </c>
      <c r="F16" s="31">
        <v>6.2288083770471809</v>
      </c>
      <c r="G16" s="32">
        <v>8.7524236487344309E-2</v>
      </c>
      <c r="H16" s="29">
        <v>6.3014816423846511</v>
      </c>
      <c r="I16" s="30">
        <v>4.1296457229232962E-3</v>
      </c>
      <c r="J16" s="31">
        <v>6.4014939370030151</v>
      </c>
      <c r="K16" s="32">
        <v>-8.4028406173692182E-3</v>
      </c>
      <c r="L16" s="29">
        <v>6.4394301916361458</v>
      </c>
      <c r="M16" s="30">
        <v>-6.1709750810591484E-2</v>
      </c>
      <c r="N16" s="31">
        <v>6.2827695817015154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-9.4822059302952484E-4</v>
      </c>
      <c r="D17" s="29">
        <v>8.9222427494467238E-3</v>
      </c>
      <c r="E17" s="30">
        <v>1.626700584803794E-3</v>
      </c>
      <c r="F17" s="31">
        <v>1.0483875450756427E-2</v>
      </c>
      <c r="G17" s="32">
        <v>-1.0606161450867469E-2</v>
      </c>
      <c r="H17" s="29">
        <v>1.5297112829437578E-3</v>
      </c>
      <c r="I17" s="30">
        <v>5.8438226665491412E-4</v>
      </c>
      <c r="J17" s="31">
        <v>2.055382985896582E-3</v>
      </c>
      <c r="K17" s="32">
        <v>1.3080588357325229E-3</v>
      </c>
      <c r="L17" s="29">
        <v>3.3591996592884964E-3</v>
      </c>
      <c r="M17" s="30">
        <v>-1.1648213912717209E-3</v>
      </c>
      <c r="N17" s="31">
        <v>2.2796996754858561E-3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0.2816666633608384</v>
      </c>
      <c r="D18" s="29">
        <v>0.61761874979538112</v>
      </c>
      <c r="E18" s="30">
        <v>0.57076259828495157</v>
      </c>
      <c r="F18" s="31">
        <v>0.85050622006548793</v>
      </c>
      <c r="G18" s="32">
        <v>0.20164925785894433</v>
      </c>
      <c r="H18" s="29">
        <v>0.85115832581058803</v>
      </c>
      <c r="I18" s="30">
        <v>-1.1334701564509711E-2</v>
      </c>
      <c r="J18" s="31">
        <v>0.43470621155676425</v>
      </c>
      <c r="K18" s="32">
        <v>0.14635115801429319</v>
      </c>
      <c r="L18" s="29">
        <v>0.45569706130147869</v>
      </c>
      <c r="M18" s="30">
        <v>0.3762484970650799</v>
      </c>
      <c r="N18" s="31">
        <v>0.57180396202535688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2.4779802532399087E-2</v>
      </c>
      <c r="D19" s="29">
        <v>0.61896476918485677</v>
      </c>
      <c r="E19" s="30">
        <v>3.1095000886628655E-3</v>
      </c>
      <c r="F19" s="31">
        <v>0.85814220678403808</v>
      </c>
      <c r="G19" s="32">
        <v>1.817380183113582E-2</v>
      </c>
      <c r="H19" s="29">
        <v>0.79314880920715192</v>
      </c>
      <c r="I19" s="30">
        <v>3.7826690110321433E-3</v>
      </c>
      <c r="J19" s="31">
        <v>0.79314064397231487</v>
      </c>
      <c r="K19" s="32">
        <v>3.7736466983269282E-2</v>
      </c>
      <c r="L19" s="29">
        <v>0.70131123689141861</v>
      </c>
      <c r="M19" s="30">
        <v>-9.4925454216553146E-3</v>
      </c>
      <c r="N19" s="31">
        <v>0.69979699895460812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-5.2472561310374741E-2</v>
      </c>
      <c r="D20" s="29">
        <v>3.3253806888089952</v>
      </c>
      <c r="E20" s="30">
        <v>-7.8240407231914E-2</v>
      </c>
      <c r="F20" s="31">
        <v>3.2215684067960737</v>
      </c>
      <c r="G20" s="32">
        <v>-8.059068010764496E-3</v>
      </c>
      <c r="H20" s="29">
        <v>3.1842266911778854</v>
      </c>
      <c r="I20" s="30">
        <v>-8.7195538536484242E-3</v>
      </c>
      <c r="J20" s="31">
        <v>2.5591384999406337</v>
      </c>
      <c r="K20" s="32">
        <v>-2.4560455150613392E-2</v>
      </c>
      <c r="L20" s="29">
        <v>2.5035619540265923</v>
      </c>
      <c r="M20" s="30">
        <v>-4.8595982442275913E-2</v>
      </c>
      <c r="N20" s="31">
        <v>2.4606710808052616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-5.5198422744918967E-3</v>
      </c>
      <c r="D21" s="29">
        <v>11.132776791845709</v>
      </c>
      <c r="E21" s="30">
        <v>-4.1492858023592011E-2</v>
      </c>
      <c r="F21" s="31">
        <v>11.237750921267679</v>
      </c>
      <c r="G21" s="32">
        <v>5.8422126651344046E-2</v>
      </c>
      <c r="H21" s="29">
        <v>11.025689864602009</v>
      </c>
      <c r="I21" s="30">
        <v>0.13239252983120733</v>
      </c>
      <c r="J21" s="31">
        <v>11.151623631279373</v>
      </c>
      <c r="K21" s="32">
        <v>5.2403572167321069E-2</v>
      </c>
      <c r="L21" s="29">
        <v>10.984540907007124</v>
      </c>
      <c r="M21" s="30">
        <v>-4.2033586723024402E-2</v>
      </c>
      <c r="N21" s="31">
        <v>10.923246772551009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1.4579047165572432E-2</v>
      </c>
      <c r="D22" s="29">
        <v>3.9059237117898973</v>
      </c>
      <c r="E22" s="30">
        <v>-2.2593729942267026E-3</v>
      </c>
      <c r="F22" s="31">
        <v>3.8485197899795418</v>
      </c>
      <c r="G22" s="32">
        <v>7.2162914437534338E-3</v>
      </c>
      <c r="H22" s="29">
        <v>3.5656573891227636</v>
      </c>
      <c r="I22" s="30">
        <v>4.5857871058107812E-2</v>
      </c>
      <c r="J22" s="31">
        <v>3.5856393608644064</v>
      </c>
      <c r="K22" s="32">
        <v>2.4219528917791028E-2</v>
      </c>
      <c r="L22" s="29">
        <v>3.5608393422182743</v>
      </c>
      <c r="M22" s="30">
        <v>-1.2338645176367014E-2</v>
      </c>
      <c r="N22" s="31">
        <v>3.5613517707431548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-6.3751446654935094E-3</v>
      </c>
      <c r="E23" s="30">
        <v>0</v>
      </c>
      <c r="F23" s="31">
        <v>-6.3360249585806914E-3</v>
      </c>
      <c r="G23" s="32">
        <v>0</v>
      </c>
      <c r="H23" s="29">
        <v>-6.2906170351800274E-3</v>
      </c>
      <c r="I23" s="30">
        <v>0</v>
      </c>
      <c r="J23" s="31">
        <v>-6.4359981206877246E-3</v>
      </c>
      <c r="K23" s="32">
        <v>0</v>
      </c>
      <c r="L23" s="29">
        <v>-6.3654806578402456E-3</v>
      </c>
      <c r="M23" s="30">
        <v>0</v>
      </c>
      <c r="N23" s="31">
        <v>-6.318114042837583E-3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1.6034136513979203E-3</v>
      </c>
      <c r="D24" s="29">
        <v>0.36646242339178464</v>
      </c>
      <c r="E24" s="30">
        <v>1.8185876077011283E-3</v>
      </c>
      <c r="F24" s="31">
        <v>0.36421370538617726</v>
      </c>
      <c r="G24" s="32">
        <v>1.3450513882865835E-3</v>
      </c>
      <c r="H24" s="29">
        <v>0.36160352184937616</v>
      </c>
      <c r="I24" s="30">
        <v>2.9404516830037171E-3</v>
      </c>
      <c r="J24" s="31">
        <v>0.36151254632014851</v>
      </c>
      <c r="K24" s="32">
        <v>1.4979323240015461E-3</v>
      </c>
      <c r="L24" s="29">
        <v>0.35755155269087985</v>
      </c>
      <c r="M24" s="30">
        <v>1.7362939381638381E-3</v>
      </c>
      <c r="N24" s="31">
        <v>0.35856126343787942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3.0448347586194248E-3</v>
      </c>
      <c r="D25" s="29">
        <v>-0.22510787109811015</v>
      </c>
      <c r="E25" s="30">
        <v>9.2289075180827639E-3</v>
      </c>
      <c r="F25" s="31">
        <v>-0.37608197587964115</v>
      </c>
      <c r="G25" s="32">
        <v>1.632820177176701E-4</v>
      </c>
      <c r="H25" s="29">
        <v>-0.25862974052765503</v>
      </c>
      <c r="I25" s="30">
        <v>-1.6792945775309255E-4</v>
      </c>
      <c r="J25" s="31">
        <v>-0.16802202322768559</v>
      </c>
      <c r="K25" s="32">
        <v>2.3468804462843476E-3</v>
      </c>
      <c r="L25" s="29">
        <v>-0.25567997939847875</v>
      </c>
      <c r="M25" s="30">
        <v>1.4030479662749732E-2</v>
      </c>
      <c r="N25" s="31">
        <v>-0.22974152002546774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8.9811556837271531E-2</v>
      </c>
      <c r="D26" s="41">
        <v>100</v>
      </c>
      <c r="E26" s="42">
        <v>0.58820188043715571</v>
      </c>
      <c r="F26" s="37">
        <v>99.999999999999986</v>
      </c>
      <c r="G26" s="43">
        <v>0.43449852336978628</v>
      </c>
      <c r="H26" s="41">
        <v>100</v>
      </c>
      <c r="I26" s="42">
        <v>1.0315834613229269</v>
      </c>
      <c r="J26" s="37">
        <v>99.999999999999986</v>
      </c>
      <c r="K26" s="41">
        <v>0.96286685276740769</v>
      </c>
      <c r="L26" s="41">
        <v>99.999999999999986</v>
      </c>
      <c r="M26" s="42">
        <v>-0.39934026889714136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46"/>
      <c r="D27" s="58">
        <v>17746.229408837029</v>
      </c>
      <c r="E27" s="59"/>
      <c r="F27" s="58">
        <v>114338.86708168508</v>
      </c>
      <c r="G27" s="60"/>
      <c r="H27" s="58">
        <v>103422.84945653798</v>
      </c>
      <c r="I27" s="59"/>
      <c r="J27" s="58">
        <v>184860.12758407998</v>
      </c>
      <c r="K27" s="60"/>
      <c r="L27" s="58">
        <v>189934.38886647107</v>
      </c>
      <c r="M27" s="47"/>
      <c r="N27" s="75">
        <v>-79771.734393520004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0.16906773695390592</v>
      </c>
      <c r="D29" s="29">
        <v>68.335204264435788</v>
      </c>
      <c r="E29" s="30">
        <v>0.80480658097395485</v>
      </c>
      <c r="F29" s="31">
        <v>68.727986464125152</v>
      </c>
      <c r="G29" s="29">
        <v>0.30522798973507287</v>
      </c>
      <c r="H29" s="29">
        <v>68.569749854272516</v>
      </c>
      <c r="I29" s="30">
        <v>0.64579367441652946</v>
      </c>
      <c r="J29" s="31">
        <v>68.07101582730084</v>
      </c>
      <c r="K29" s="32">
        <v>0.92402936569709104</v>
      </c>
      <c r="L29" s="29">
        <v>67.620811987421064</v>
      </c>
      <c r="M29" s="30">
        <v>0.17326844739244124</v>
      </c>
      <c r="N29" s="31">
        <v>67.673543141638845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-7.9256180116634406E-2</v>
      </c>
      <c r="D30" s="29">
        <v>31.664795735564212</v>
      </c>
      <c r="E30" s="30">
        <v>-0.21660470053679898</v>
      </c>
      <c r="F30" s="31">
        <v>31.272013535874848</v>
      </c>
      <c r="G30" s="29">
        <v>0.12927053363471336</v>
      </c>
      <c r="H30" s="29">
        <v>31.430250145727491</v>
      </c>
      <c r="I30" s="31">
        <v>0.38578978690639742</v>
      </c>
      <c r="J30" s="31">
        <v>31.928984172699153</v>
      </c>
      <c r="K30" s="32">
        <v>3.883748707031684E-2</v>
      </c>
      <c r="L30" s="29">
        <v>32.379188012578922</v>
      </c>
      <c r="M30" s="30">
        <v>-0.57260871628958265</v>
      </c>
      <c r="N30" s="31">
        <v>32.326456858361148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8.9811556837271517E-2</v>
      </c>
      <c r="D31" s="41">
        <v>100</v>
      </c>
      <c r="E31" s="37">
        <v>0.58820188043715582</v>
      </c>
      <c r="F31" s="37">
        <v>100</v>
      </c>
      <c r="G31" s="41">
        <v>0.43449852336978623</v>
      </c>
      <c r="H31" s="41">
        <v>100</v>
      </c>
      <c r="I31" s="37">
        <v>1.0315834613229269</v>
      </c>
      <c r="J31" s="37">
        <v>100</v>
      </c>
      <c r="K31" s="41">
        <v>0.96286685276740791</v>
      </c>
      <c r="L31" s="41">
        <v>99.999999999999986</v>
      </c>
      <c r="M31" s="37">
        <v>-0.39934026889714141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-0.14578742719309107</v>
      </c>
      <c r="D33" s="29">
        <v>70.262539344880395</v>
      </c>
      <c r="E33" s="30">
        <v>0.21203670367822197</v>
      </c>
      <c r="F33" s="31">
        <v>70.442949104185772</v>
      </c>
      <c r="G33" s="29">
        <v>6.922110351487154E-2</v>
      </c>
      <c r="H33" s="29">
        <v>70.744152470375695</v>
      </c>
      <c r="I33" s="30">
        <v>0.80614770234277799</v>
      </c>
      <c r="J33" s="31">
        <v>71.404039289637339</v>
      </c>
      <c r="K33" s="32">
        <v>0.74593505004060301</v>
      </c>
      <c r="L33" s="29">
        <v>71.750992452226441</v>
      </c>
      <c r="M33" s="30">
        <v>-0.65362580952230942</v>
      </c>
      <c r="N33" s="31">
        <v>71.859254923285306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0.23559898403036256</v>
      </c>
      <c r="D34" s="29">
        <v>29.737460655119602</v>
      </c>
      <c r="E34" s="30">
        <v>0.37616517675893385</v>
      </c>
      <c r="F34" s="31">
        <v>29.557050895814218</v>
      </c>
      <c r="G34" s="29">
        <v>0.36527741985491463</v>
      </c>
      <c r="H34" s="29">
        <v>29.255847529624297</v>
      </c>
      <c r="I34" s="31">
        <v>0.22543575898014886</v>
      </c>
      <c r="J34" s="31">
        <v>28.595960710362672</v>
      </c>
      <c r="K34" s="32">
        <v>0.21693180272680479</v>
      </c>
      <c r="L34" s="29">
        <v>28.249007547773552</v>
      </c>
      <c r="M34" s="30">
        <v>0.25428554062516795</v>
      </c>
      <c r="N34" s="31">
        <v>28.140745076714683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8.9811556837271489E-2</v>
      </c>
      <c r="D35" s="41">
        <v>100</v>
      </c>
      <c r="E35" s="37">
        <v>0.58820188043715582</v>
      </c>
      <c r="F35" s="37">
        <v>99.999999999999986</v>
      </c>
      <c r="G35" s="41">
        <v>0.43449852336978617</v>
      </c>
      <c r="H35" s="41">
        <v>100</v>
      </c>
      <c r="I35" s="37">
        <v>1.0315834613229269</v>
      </c>
      <c r="J35" s="37">
        <v>100.00000000000001</v>
      </c>
      <c r="K35" s="41">
        <v>0.9628668527674078</v>
      </c>
      <c r="L35" s="41">
        <v>100</v>
      </c>
      <c r="M35" s="37">
        <v>-0.39934026889714147</v>
      </c>
      <c r="N35" s="37">
        <v>99.999999999999986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-7.54816174181486E-2</v>
      </c>
      <c r="D40" s="29">
        <v>8.873917257962729</v>
      </c>
      <c r="E40" s="30">
        <v>-0.10843607401316807</v>
      </c>
      <c r="F40" s="31">
        <v>8.340055754699792</v>
      </c>
      <c r="G40" s="32"/>
      <c r="H40" s="29"/>
      <c r="I40" s="69"/>
      <c r="J40" s="69"/>
    </row>
    <row r="41" spans="2:26">
      <c r="B41" s="10" t="s">
        <v>7</v>
      </c>
      <c r="C41" s="32">
        <v>3.1601729337807929E-2</v>
      </c>
      <c r="D41" s="29">
        <v>12.482191993061701</v>
      </c>
      <c r="E41" s="30">
        <v>0.15090536939922691</v>
      </c>
      <c r="F41" s="31">
        <v>12.577766962830866</v>
      </c>
      <c r="G41" s="32"/>
      <c r="H41" s="29"/>
      <c r="I41" s="69"/>
      <c r="J41" s="69"/>
    </row>
    <row r="42" spans="2:26">
      <c r="B42" s="10" t="s">
        <v>9</v>
      </c>
      <c r="C42" s="32">
        <v>0</v>
      </c>
      <c r="D42" s="29">
        <v>0</v>
      </c>
      <c r="E42" s="30">
        <v>0</v>
      </c>
      <c r="F42" s="31">
        <v>0</v>
      </c>
      <c r="G42" s="32"/>
      <c r="H42" s="29"/>
      <c r="I42" s="69"/>
      <c r="J42" s="69"/>
    </row>
    <row r="43" spans="2:26">
      <c r="B43" s="10" t="s">
        <v>11</v>
      </c>
      <c r="C43" s="32">
        <v>0</v>
      </c>
      <c r="D43" s="29">
        <v>0</v>
      </c>
      <c r="E43" s="30">
        <v>0</v>
      </c>
      <c r="F43" s="31">
        <v>0</v>
      </c>
      <c r="G43" s="32"/>
      <c r="H43" s="29"/>
      <c r="I43" s="69"/>
      <c r="J43" s="69"/>
    </row>
    <row r="44" spans="2:26">
      <c r="B44" s="10" t="s">
        <v>13</v>
      </c>
      <c r="C44" s="32">
        <v>-1.2312044646122901E-2</v>
      </c>
      <c r="D44" s="29">
        <v>12.272176707216415</v>
      </c>
      <c r="E44" s="30">
        <v>0.11972587874618965</v>
      </c>
      <c r="F44" s="31">
        <v>12.564153772858019</v>
      </c>
      <c r="G44" s="32"/>
      <c r="H44" s="29"/>
      <c r="I44" s="69"/>
      <c r="J44" s="69"/>
    </row>
    <row r="45" spans="2:26">
      <c r="B45" s="10" t="s">
        <v>15</v>
      </c>
      <c r="C45" s="32">
        <v>4.1144513050147387E-2</v>
      </c>
      <c r="D45" s="29">
        <v>4.0568399401815327</v>
      </c>
      <c r="E45" s="30">
        <v>0.12381850201242779</v>
      </c>
      <c r="F45" s="31">
        <v>4.0243338105443147</v>
      </c>
      <c r="G45" s="32"/>
      <c r="H45" s="29"/>
      <c r="I45" s="69"/>
      <c r="J45" s="69"/>
    </row>
    <row r="46" spans="2:26">
      <c r="B46" s="10" t="s">
        <v>17</v>
      </c>
      <c r="C46" s="32">
        <v>0.32311714267200142</v>
      </c>
      <c r="D46" s="29">
        <v>21.993455742222618</v>
      </c>
      <c r="E46" s="30">
        <v>0.95365043407065109</v>
      </c>
      <c r="F46" s="31">
        <v>22.649267338268672</v>
      </c>
      <c r="G46" s="32"/>
      <c r="H46" s="29"/>
      <c r="I46" s="69"/>
      <c r="J46" s="69"/>
    </row>
    <row r="47" spans="2:26">
      <c r="B47" s="10" t="s">
        <v>19</v>
      </c>
      <c r="C47" s="32">
        <v>-7.49850172536803E-2</v>
      </c>
      <c r="D47" s="29">
        <v>7.7568274246239923</v>
      </c>
      <c r="E47" s="30">
        <v>-9.0640602719871968E-2</v>
      </c>
      <c r="F47" s="31">
        <v>7.779605177031562</v>
      </c>
      <c r="G47" s="32"/>
      <c r="H47" s="29"/>
      <c r="I47" s="69"/>
      <c r="J47" s="69"/>
    </row>
    <row r="48" spans="2:26">
      <c r="B48" s="10" t="s">
        <v>21</v>
      </c>
      <c r="C48" s="32">
        <v>-6.5286738391629517E-2</v>
      </c>
      <c r="D48" s="29">
        <v>6.7450153368564703</v>
      </c>
      <c r="E48" s="30">
        <v>-5.555634274767101E-2</v>
      </c>
      <c r="F48" s="31">
        <v>7.4403956879408106</v>
      </c>
      <c r="G48" s="32"/>
      <c r="H48" s="29"/>
      <c r="I48" s="69"/>
      <c r="J48" s="69"/>
    </row>
    <row r="49" spans="2:14">
      <c r="B49" s="10" t="s">
        <v>23</v>
      </c>
      <c r="C49" s="32">
        <v>-3.9089863003297441E-2</v>
      </c>
      <c r="D49" s="29">
        <v>6.3014816423846511</v>
      </c>
      <c r="E49" s="30">
        <v>-0.11124028392232069</v>
      </c>
      <c r="F49" s="31">
        <v>6.2827695817015154</v>
      </c>
      <c r="G49" s="32"/>
      <c r="H49" s="29"/>
      <c r="I49" s="69"/>
      <c r="J49" s="69"/>
    </row>
    <row r="50" spans="2:14">
      <c r="B50" s="10" t="s">
        <v>25</v>
      </c>
      <c r="C50" s="32">
        <v>-1.1193338850531434E-2</v>
      </c>
      <c r="D50" s="29">
        <v>1.5297112829437578E-3</v>
      </c>
      <c r="E50" s="30">
        <v>-1.1662202051856287E-2</v>
      </c>
      <c r="F50" s="31">
        <v>2.2796996754858561E-3</v>
      </c>
      <c r="G50" s="32"/>
      <c r="H50" s="29"/>
      <c r="I50" s="69"/>
      <c r="J50" s="69"/>
    </row>
    <row r="51" spans="2:14">
      <c r="B51" s="10" t="s">
        <v>26</v>
      </c>
      <c r="C51" s="32">
        <v>1.0026730214865915</v>
      </c>
      <c r="D51" s="29">
        <v>0.85115832581058803</v>
      </c>
      <c r="E51" s="30">
        <v>1.6296624575177214</v>
      </c>
      <c r="F51" s="31">
        <v>0.57180396202535688</v>
      </c>
      <c r="G51" s="32"/>
      <c r="H51" s="29"/>
      <c r="I51" s="69"/>
      <c r="J51" s="69"/>
    </row>
    <row r="52" spans="2:14">
      <c r="B52" s="10" t="s">
        <v>27</v>
      </c>
      <c r="C52" s="32">
        <v>4.5912416869583944E-2</v>
      </c>
      <c r="D52" s="29">
        <v>0.79314880920715192</v>
      </c>
      <c r="E52" s="30">
        <v>8.2626798361397844E-2</v>
      </c>
      <c r="F52" s="31">
        <v>0.69979699895460812</v>
      </c>
      <c r="G52" s="32"/>
      <c r="H52" s="29"/>
      <c r="I52" s="69"/>
      <c r="J52" s="69"/>
    </row>
    <row r="53" spans="2:14">
      <c r="B53" s="10" t="s">
        <v>28</v>
      </c>
      <c r="C53" s="32">
        <v>-0.12846515288848309</v>
      </c>
      <c r="D53" s="29">
        <v>3.1842266911778854</v>
      </c>
      <c r="E53" s="30">
        <v>-0.22447920219099463</v>
      </c>
      <c r="F53" s="31">
        <v>2.4606710808052616</v>
      </c>
      <c r="G53" s="32"/>
      <c r="H53" s="29"/>
      <c r="I53" s="69"/>
      <c r="J53" s="69"/>
    </row>
    <row r="54" spans="2:14">
      <c r="B54" s="10" t="s">
        <v>29</v>
      </c>
      <c r="C54" s="32">
        <v>4.2918309164345164E-2</v>
      </c>
      <c r="D54" s="29">
        <v>11.025689864602009</v>
      </c>
      <c r="E54" s="30">
        <v>0.15655814554653491</v>
      </c>
      <c r="F54" s="31">
        <v>10.923246772551009</v>
      </c>
      <c r="G54" s="32"/>
      <c r="H54" s="29"/>
      <c r="I54" s="69"/>
      <c r="J54" s="69"/>
    </row>
    <row r="55" spans="2:14">
      <c r="B55" s="10" t="s">
        <v>30</v>
      </c>
      <c r="C55" s="32">
        <v>1.9432826051999114E-2</v>
      </c>
      <c r="D55" s="29">
        <v>3.5656573891227636</v>
      </c>
      <c r="E55" s="30">
        <v>7.5613854036036182E-2</v>
      </c>
      <c r="F55" s="31">
        <v>3.5613517707431548</v>
      </c>
      <c r="G55" s="32"/>
      <c r="H55" s="29"/>
      <c r="I55" s="69"/>
      <c r="J55" s="69"/>
    </row>
    <row r="56" spans="2:14">
      <c r="B56" s="10" t="s">
        <v>31</v>
      </c>
      <c r="C56" s="32">
        <v>0</v>
      </c>
      <c r="D56" s="29">
        <v>-6.2906170351800274E-3</v>
      </c>
      <c r="E56" s="30">
        <v>0</v>
      </c>
      <c r="F56" s="31">
        <v>-6.318114042837583E-3</v>
      </c>
      <c r="G56" s="32"/>
      <c r="H56" s="29"/>
      <c r="I56" s="69"/>
      <c r="J56" s="69"/>
    </row>
    <row r="57" spans="2:14">
      <c r="B57" s="10" t="s">
        <v>32</v>
      </c>
      <c r="C57" s="32">
        <v>4.6278189276775126E-3</v>
      </c>
      <c r="D57" s="29">
        <v>0.36160352184937616</v>
      </c>
      <c r="E57" s="30">
        <v>1.1117059852585074E-2</v>
      </c>
      <c r="F57" s="31">
        <v>0.35856126343787942</v>
      </c>
      <c r="G57" s="32"/>
      <c r="H57" s="29"/>
      <c r="I57" s="69"/>
      <c r="J57" s="69"/>
    </row>
    <row r="58" spans="2:14">
      <c r="B58" s="10" t="s">
        <v>33</v>
      </c>
      <c r="C58" s="32">
        <v>1.1374482514871168E-2</v>
      </c>
      <c r="D58" s="29">
        <v>-0.25862974052765503</v>
      </c>
      <c r="E58" s="30">
        <v>2.9185973240777652E-2</v>
      </c>
      <c r="F58" s="31">
        <v>-0.22974152002546774</v>
      </c>
      <c r="G58" s="32"/>
      <c r="H58" s="29"/>
      <c r="I58" s="69"/>
      <c r="J58" s="69"/>
    </row>
    <row r="59" spans="2:14">
      <c r="B59" s="11" t="s">
        <v>34</v>
      </c>
      <c r="C59" s="34">
        <v>1.1159884876231319</v>
      </c>
      <c r="D59" s="29">
        <v>100</v>
      </c>
      <c r="E59" s="51">
        <v>2.7308497651376662</v>
      </c>
      <c r="F59" s="31">
        <v>99.999999999999986</v>
      </c>
      <c r="G59" s="32"/>
      <c r="H59" s="39"/>
      <c r="I59" s="30"/>
      <c r="J59" s="30"/>
      <c r="M59" s="35"/>
    </row>
    <row r="60" spans="2:14">
      <c r="B60" s="28" t="s">
        <v>40</v>
      </c>
      <c r="C60" s="34"/>
      <c r="D60" s="33">
        <v>235507.9459470601</v>
      </c>
      <c r="E60" s="25"/>
      <c r="F60" s="33">
        <v>530530.72800409119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1.2439114993374405</v>
      </c>
      <c r="D62" s="53">
        <v>68.569749854272516</v>
      </c>
      <c r="E62" s="30">
        <v>3.0632920658935316</v>
      </c>
      <c r="F62" s="31">
        <v>67.673543141638845</v>
      </c>
      <c r="G62" s="52"/>
      <c r="H62" s="53"/>
      <c r="I62" s="30"/>
      <c r="J62" s="30"/>
    </row>
    <row r="63" spans="2:14">
      <c r="B63" s="10" t="s">
        <v>36</v>
      </c>
      <c r="C63" s="32">
        <v>-0.12792301171430831</v>
      </c>
      <c r="D63" s="29">
        <v>31.430250145727491</v>
      </c>
      <c r="E63" s="30">
        <v>-0.33244230075586517</v>
      </c>
      <c r="F63" s="31">
        <v>32.326456858361148</v>
      </c>
      <c r="G63" s="32"/>
      <c r="H63" s="29"/>
      <c r="I63" s="30"/>
      <c r="J63" s="30"/>
    </row>
    <row r="64" spans="2:14">
      <c r="B64" s="11" t="s">
        <v>34</v>
      </c>
      <c r="C64" s="34">
        <v>1.1159884876231323</v>
      </c>
      <c r="D64" s="34">
        <v>100</v>
      </c>
      <c r="E64" s="51">
        <v>2.7308497651376666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53">
        <v>0.13496693516736322</v>
      </c>
      <c r="D66" s="53">
        <v>70.744152470375695</v>
      </c>
      <c r="E66" s="30">
        <v>0.97761371452500656</v>
      </c>
      <c r="F66" s="31">
        <v>71.859254923285306</v>
      </c>
      <c r="G66" s="52"/>
      <c r="H66" s="53"/>
      <c r="I66" s="30"/>
      <c r="J66" s="30"/>
    </row>
    <row r="67" spans="2:10">
      <c r="B67" s="10" t="s">
        <v>38</v>
      </c>
      <c r="C67" s="29">
        <v>0.98102155245576861</v>
      </c>
      <c r="D67" s="29">
        <v>29.255847529624297</v>
      </c>
      <c r="E67" s="30">
        <v>1.7532360506126594</v>
      </c>
      <c r="F67" s="31">
        <v>28.140745076714683</v>
      </c>
      <c r="G67" s="32"/>
      <c r="H67" s="29"/>
      <c r="I67" s="30"/>
      <c r="J67" s="30"/>
    </row>
    <row r="68" spans="2:10">
      <c r="B68" s="11" t="s">
        <v>34</v>
      </c>
      <c r="C68" s="34">
        <v>1.1159884876231319</v>
      </c>
      <c r="D68" s="34">
        <v>100</v>
      </c>
      <c r="E68" s="51">
        <v>2.7308497651376662</v>
      </c>
      <c r="F68" s="57">
        <v>99.999999999999986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78</v>
      </c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topLeftCell="A34" zoomScale="85" zoomScaleNormal="85" workbookViewId="0">
      <selection activeCell="B72" sqref="B72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f>C4+1</f>
        <v>6</v>
      </c>
      <c r="F4" s="18"/>
      <c r="G4" s="18">
        <f>E4+1</f>
        <v>7</v>
      </c>
      <c r="H4" s="18"/>
      <c r="I4" s="18">
        <f>G4+1</f>
        <v>8</v>
      </c>
      <c r="J4" s="18"/>
      <c r="K4" s="18">
        <f>I4+1</f>
        <v>9</v>
      </c>
      <c r="L4" s="18"/>
      <c r="M4" s="18">
        <f>K4+1</f>
        <v>10</v>
      </c>
      <c r="N4" s="18"/>
      <c r="O4" s="18">
        <f>M4+1</f>
        <v>11</v>
      </c>
      <c r="P4" s="18"/>
      <c r="Q4" s="18">
        <f>O4+1</f>
        <v>12</v>
      </c>
      <c r="R4" s="18"/>
      <c r="S4" s="18">
        <f>Q4+1</f>
        <v>13</v>
      </c>
      <c r="T4" s="18"/>
      <c r="U4" s="18">
        <f>S4+1</f>
        <v>14</v>
      </c>
      <c r="V4" s="18"/>
      <c r="W4" s="18">
        <f>U4+1</f>
        <v>15</v>
      </c>
      <c r="X4" s="18"/>
      <c r="Y4" s="18">
        <f>W4+1</f>
        <v>16</v>
      </c>
      <c r="Z4" s="18"/>
      <c r="AE4" s="1">
        <v>2016</v>
      </c>
    </row>
    <row r="5" spans="2:31" ht="15.75">
      <c r="B5" s="17" t="s">
        <v>42</v>
      </c>
      <c r="C5" s="3" t="str">
        <f ca="1">CONCATENATE(INDIRECT(CONCATENATE($C$3,C4))," ",$B$4)</f>
        <v>ינואר 2017</v>
      </c>
      <c r="D5" s="4"/>
      <c r="E5" s="21" t="str">
        <f ca="1">CONCATENATE(INDIRECT(CONCATENATE($C$3,E4))," ",$B$4)</f>
        <v>פברואר 2017</v>
      </c>
      <c r="F5" s="22"/>
      <c r="G5" s="3" t="str">
        <f ca="1">CONCATENATE(INDIRECT(CONCATENATE($C$3,G4))," ",$B$4)</f>
        <v>מרץ 2017</v>
      </c>
      <c r="H5" s="4"/>
      <c r="I5" s="21" t="str">
        <f ca="1">CONCATENATE(INDIRECT(CONCATENATE($C$3,I4))," ",$B$4)</f>
        <v>אפריל 2017</v>
      </c>
      <c r="J5" s="22"/>
      <c r="K5" s="3" t="str">
        <f ca="1">CONCATENATE(INDIRECT(CONCATENATE($C$3,K4))," ",$B$4)</f>
        <v>מאי 2017</v>
      </c>
      <c r="L5" s="4"/>
      <c r="M5" s="21" t="str">
        <f ca="1">CONCATENATE(INDIRECT(CONCATENATE($C$3,M4))," ",$B$4)</f>
        <v>יוני 2017</v>
      </c>
      <c r="N5" s="22"/>
      <c r="O5" s="3" t="str">
        <f ca="1">CONCATENATE(INDIRECT(CONCATENATE($C$3,O4))," ",$B$4)</f>
        <v>יולי 2017</v>
      </c>
      <c r="P5" s="4"/>
      <c r="Q5" s="21" t="str">
        <f ca="1">CONCATENATE(INDIRECT(CONCATENATE($C$3,Q4))," ",$B$4)</f>
        <v>אוגוסט 2017</v>
      </c>
      <c r="R5" s="22"/>
      <c r="S5" s="3" t="str">
        <f ca="1">CONCATENATE(INDIRECT(CONCATENATE($C$3,S4))," ",$B$4)</f>
        <v>ספטמבר 2017</v>
      </c>
      <c r="T5" s="4"/>
      <c r="U5" s="21" t="str">
        <f ca="1">CONCATENATE(INDIRECT(CONCATENATE($C$3,U4))," ",$B$4)</f>
        <v>אוקטובר 2017</v>
      </c>
      <c r="V5" s="22"/>
      <c r="W5" s="3" t="str">
        <f ca="1">CONCATENATE(INDIRECT(CONCATENATE($C$3,W4))," ",$B$4)</f>
        <v>נובמבר 2017</v>
      </c>
      <c r="X5" s="4"/>
      <c r="Y5" s="21" t="str">
        <f ca="1">CONCATENATE(INDIRECT(CONCATENATE($C$3,Y4))," ",$B$4)</f>
        <v>דצמבר 2017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tr">
        <f>$C$6</f>
        <v>התרומה לתשואה</v>
      </c>
      <c r="F6" s="24" t="str">
        <f>$D$6</f>
        <v>שיעור מסך הנכסים</v>
      </c>
      <c r="G6" s="7" t="str">
        <f>$C$6</f>
        <v>התרומה לתשואה</v>
      </c>
      <c r="H6" s="8" t="str">
        <f>$D$6</f>
        <v>שיעור מסך הנכסים</v>
      </c>
      <c r="I6" s="23" t="str">
        <f>$C$6</f>
        <v>התרומה לתשואה</v>
      </c>
      <c r="J6" s="24" t="str">
        <f>$D$6</f>
        <v>שיעור מסך הנכסים</v>
      </c>
      <c r="K6" s="7" t="str">
        <f>$C$6</f>
        <v>התרומה לתשואה</v>
      </c>
      <c r="L6" s="8" t="str">
        <f>$D$6</f>
        <v>שיעור מסך הנכסים</v>
      </c>
      <c r="M6" s="23" t="str">
        <f>$C$6</f>
        <v>התרומה לתשואה</v>
      </c>
      <c r="N6" s="24" t="str">
        <f>$D$6</f>
        <v>שיעור מסך הנכסים</v>
      </c>
      <c r="O6" s="7" t="str">
        <f>$C$6</f>
        <v>התרומה לתשואה</v>
      </c>
      <c r="P6" s="8" t="str">
        <f>$D$6</f>
        <v>שיעור מסך הנכסים</v>
      </c>
      <c r="Q6" s="23" t="str">
        <f>$C$6</f>
        <v>התרומה לתשואה</v>
      </c>
      <c r="R6" s="24" t="str">
        <f>$D$6</f>
        <v>שיעור מסך הנכסים</v>
      </c>
      <c r="S6" s="7" t="str">
        <f>$C$6</f>
        <v>התרומה לתשואה</v>
      </c>
      <c r="T6" s="8" t="str">
        <f>$D$6</f>
        <v>שיעור מסך הנכסים</v>
      </c>
      <c r="U6" s="23" t="str">
        <f>$C$6</f>
        <v>התרומה לתשואה</v>
      </c>
      <c r="V6" s="24" t="str">
        <f>$D$6</f>
        <v>שיעור מסך הנכסים</v>
      </c>
      <c r="W6" s="7" t="str">
        <f>$C$6</f>
        <v>התרומה לתשואה</v>
      </c>
      <c r="X6" s="8" t="str">
        <f>$D$6</f>
        <v>שיעור מסך הנכסים</v>
      </c>
      <c r="Y6" s="23" t="str">
        <f>$C$6</f>
        <v>התרומה לתשואה</v>
      </c>
      <c r="Z6" s="24" t="str">
        <f>$D$6</f>
        <v>שיעור מסך הנכסים</v>
      </c>
      <c r="AE6" s="5" t="s">
        <v>4</v>
      </c>
    </row>
    <row r="7" spans="2:31">
      <c r="B7" s="9" t="s">
        <v>5</v>
      </c>
      <c r="C7" s="29">
        <v>-7.2573615640225133E-4</v>
      </c>
      <c r="D7" s="29">
        <v>2.564604312316435</v>
      </c>
      <c r="E7" s="30">
        <v>-1.6028821706587002E-3</v>
      </c>
      <c r="F7" s="31">
        <v>1.6253556887311928</v>
      </c>
      <c r="G7" s="32">
        <v>5.7931692040888765E-5</v>
      </c>
      <c r="H7" s="29">
        <v>3.444133479852364</v>
      </c>
      <c r="I7" s="30">
        <v>-1.1558531298198969E-4</v>
      </c>
      <c r="J7" s="31">
        <v>2.276013409871132</v>
      </c>
      <c r="K7" s="32">
        <v>-9.0734708923968473E-4</v>
      </c>
      <c r="L7" s="29">
        <v>3.6821545034605219</v>
      </c>
      <c r="M7" s="30">
        <v>-1.1040663370864372E-3</v>
      </c>
      <c r="N7" s="31">
        <v>3.1082616914194348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-6.8419101005020508E-2</v>
      </c>
      <c r="D8" s="29">
        <v>58.826741994145536</v>
      </c>
      <c r="E8" s="30">
        <v>9.2899964127798731E-2</v>
      </c>
      <c r="F8" s="31">
        <v>58.312074726611172</v>
      </c>
      <c r="G8" s="32">
        <v>0.28873030179189269</v>
      </c>
      <c r="H8" s="29">
        <v>56.654198222608898</v>
      </c>
      <c r="I8" s="30">
        <v>5.8207034200517347E-3</v>
      </c>
      <c r="J8" s="31">
        <v>57.574742736542397</v>
      </c>
      <c r="K8" s="32">
        <v>0.36687191369778199</v>
      </c>
      <c r="L8" s="29">
        <v>57.004420568426418</v>
      </c>
      <c r="M8" s="30">
        <v>-3.0813721556694682E-2</v>
      </c>
      <c r="N8" s="31">
        <v>57.000114695050854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0.11324008053409784</v>
      </c>
      <c r="D11" s="29">
        <v>23.791187725845035</v>
      </c>
      <c r="E11" s="30">
        <v>0.11579059403419076</v>
      </c>
      <c r="F11" s="31">
        <v>24.350552124044832</v>
      </c>
      <c r="G11" s="32">
        <v>0.14138694218425951</v>
      </c>
      <c r="H11" s="29">
        <v>23.965576930909631</v>
      </c>
      <c r="I11" s="30">
        <v>0.14442040265630871</v>
      </c>
      <c r="J11" s="31">
        <v>25.793845386905907</v>
      </c>
      <c r="K11" s="32">
        <v>0.2032788575188631</v>
      </c>
      <c r="L11" s="29">
        <v>25.161707973846291</v>
      </c>
      <c r="M11" s="30">
        <v>-0.1077377433324536</v>
      </c>
      <c r="N11" s="31">
        <v>25.899795889470813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2.3643720297538292E-3</v>
      </c>
      <c r="D12" s="29">
        <v>1.563675633489876</v>
      </c>
      <c r="E12" s="30">
        <v>1.8667850424786373E-3</v>
      </c>
      <c r="F12" s="31">
        <v>1.6126150214613408</v>
      </c>
      <c r="G12" s="32">
        <v>3.5555683226781744E-3</v>
      </c>
      <c r="H12" s="29">
        <v>1.7471226517005674</v>
      </c>
      <c r="I12" s="30">
        <v>2.1470825913921651E-3</v>
      </c>
      <c r="J12" s="31">
        <v>0.33746878206413428</v>
      </c>
      <c r="K12" s="32">
        <v>1.9093028306367099E-3</v>
      </c>
      <c r="L12" s="29">
        <v>0.30442337845609108</v>
      </c>
      <c r="M12" s="30">
        <v>3.739027102991169E-4</v>
      </c>
      <c r="N12" s="31">
        <v>0.30741948507417183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-2.8136723127557238E-3</v>
      </c>
      <c r="D13" s="29">
        <v>0.37521346066677841</v>
      </c>
      <c r="E13" s="30">
        <v>9.6265635644720259E-3</v>
      </c>
      <c r="F13" s="31">
        <v>0.39319655212373894</v>
      </c>
      <c r="G13" s="32">
        <v>4.8034306820802266E-4</v>
      </c>
      <c r="H13" s="29">
        <v>0.404437695438985</v>
      </c>
      <c r="I13" s="30">
        <v>6.3050150890726405E-3</v>
      </c>
      <c r="J13" s="31">
        <v>0.41907684019337754</v>
      </c>
      <c r="K13" s="32">
        <v>1.0905815023649061E-2</v>
      </c>
      <c r="L13" s="29">
        <v>0.43296738506705384</v>
      </c>
      <c r="M13" s="30">
        <v>-4.874979036300524E-3</v>
      </c>
      <c r="N13" s="31">
        <v>0.43268891397279008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2.8031557218013786E-2</v>
      </c>
      <c r="D14" s="29">
        <v>6.3916467637739931</v>
      </c>
      <c r="E14" s="30">
        <v>3.4302931011851882E-2</v>
      </c>
      <c r="F14" s="31">
        <v>6.8094342230263223</v>
      </c>
      <c r="G14" s="32">
        <v>4.0485220748146013E-2</v>
      </c>
      <c r="H14" s="29">
        <v>6.8427927953041037</v>
      </c>
      <c r="I14" s="30">
        <v>2.6616298097014563E-2</v>
      </c>
      <c r="J14" s="31">
        <v>6.4158758742889148</v>
      </c>
      <c r="K14" s="32">
        <v>5.6182876292693584E-2</v>
      </c>
      <c r="L14" s="29">
        <v>6.3095573724655569</v>
      </c>
      <c r="M14" s="30">
        <v>-7.2345107497978119E-3</v>
      </c>
      <c r="N14" s="31">
        <v>5.9425326515617956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-1.3666777273836283E-2</v>
      </c>
      <c r="D15" s="29">
        <v>1.2223153523819656</v>
      </c>
      <c r="E15" s="30">
        <v>-2.6929248509366642E-2</v>
      </c>
      <c r="F15" s="31">
        <v>1.254842065450763</v>
      </c>
      <c r="G15" s="32">
        <v>-5.0271630410687485E-3</v>
      </c>
      <c r="H15" s="29">
        <v>1.2673216092343675</v>
      </c>
      <c r="I15" s="30">
        <v>1.7574728657983945E-3</v>
      </c>
      <c r="J15" s="31">
        <v>1.3351741254001237</v>
      </c>
      <c r="K15" s="32">
        <v>-7.872625144761676E-3</v>
      </c>
      <c r="L15" s="29">
        <v>1.3238563557860734</v>
      </c>
      <c r="M15" s="30">
        <v>-3.0459816105646857E-2</v>
      </c>
      <c r="N15" s="31">
        <v>1.3155864510533521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-2.198255101934271E-5</v>
      </c>
      <c r="D17" s="29">
        <v>2.0803300696689572E-4</v>
      </c>
      <c r="E17" s="30">
        <v>3.8031829921612365E-5</v>
      </c>
      <c r="F17" s="31">
        <v>2.5122598267701224E-4</v>
      </c>
      <c r="G17" s="32">
        <v>-3.4771186683420951E-4</v>
      </c>
      <c r="H17" s="29">
        <v>3.7397010962848801E-5</v>
      </c>
      <c r="I17" s="30">
        <v>1.3805049140206597E-5</v>
      </c>
      <c r="J17" s="31">
        <v>5.0515024554437768E-5</v>
      </c>
      <c r="K17" s="32">
        <v>3.2670013305307489E-5</v>
      </c>
      <c r="L17" s="29">
        <v>8.4174595811807183E-5</v>
      </c>
      <c r="M17" s="30">
        <v>-2.9526623122247846E-5</v>
      </c>
      <c r="N17" s="31">
        <v>5.7396001611523419E-5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1.7368140176305096E-2</v>
      </c>
      <c r="N18" s="31">
        <v>1.0475443253442717E-2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-6.8193412730339911E-5</v>
      </c>
      <c r="D19" s="29">
        <v>1.3582317020674488E-2</v>
      </c>
      <c r="E19" s="30">
        <v>9.7672283669170208E-5</v>
      </c>
      <c r="F19" s="31">
        <v>1.9721843574347683E-2</v>
      </c>
      <c r="G19" s="32">
        <v>6.0282849333748645E-4</v>
      </c>
      <c r="H19" s="29">
        <v>1.8560533741032531E-2</v>
      </c>
      <c r="I19" s="30">
        <v>9.230849129394167E-5</v>
      </c>
      <c r="J19" s="31">
        <v>1.8642155378181785E-2</v>
      </c>
      <c r="K19" s="32">
        <v>8.0636836023124004E-4</v>
      </c>
      <c r="L19" s="29">
        <v>1.6584659224661451E-2</v>
      </c>
      <c r="M19" s="30">
        <v>-2.1704264089052186E-4</v>
      </c>
      <c r="N19" s="31">
        <v>1.6641768836445074E-2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3.3446958148631221E-5</v>
      </c>
      <c r="D20" s="29">
        <v>5.3272889841365944E-4</v>
      </c>
      <c r="E20" s="30">
        <v>-5.5933126998235443E-5</v>
      </c>
      <c r="F20" s="31">
        <v>4.9180145831961754E-4</v>
      </c>
      <c r="G20" s="32">
        <v>9.9239111256746183E-5</v>
      </c>
      <c r="H20" s="29">
        <v>6.035625535499423E-4</v>
      </c>
      <c r="I20" s="30">
        <v>-1.4322854415108239E-4</v>
      </c>
      <c r="J20" s="31">
        <v>4.746290429783654E-4</v>
      </c>
      <c r="K20" s="32">
        <v>1.4223908166092352E-4</v>
      </c>
      <c r="L20" s="29">
        <v>6.198721091756795E-4</v>
      </c>
      <c r="M20" s="30">
        <v>-2.7316960434120265E-4</v>
      </c>
      <c r="N20" s="31">
        <v>3.5321032465082566E-4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4.1932910506835119E-2</v>
      </c>
      <c r="D21" s="29">
        <v>5.2081550487444375</v>
      </c>
      <c r="E21" s="30">
        <v>6.4833672049867475E-3</v>
      </c>
      <c r="F21" s="31">
        <v>5.5952952762072528</v>
      </c>
      <c r="G21" s="32">
        <v>3.930632183546047E-2</v>
      </c>
      <c r="H21" s="29">
        <v>5.610303235159023</v>
      </c>
      <c r="I21" s="30">
        <v>5.6006247967820534E-2</v>
      </c>
      <c r="J21" s="31">
        <v>5.8020597620283905</v>
      </c>
      <c r="K21" s="32">
        <v>2.7199064272435194E-2</v>
      </c>
      <c r="L21" s="29">
        <v>5.7445481039284498</v>
      </c>
      <c r="M21" s="30">
        <v>5.1513226663492471E-4</v>
      </c>
      <c r="N21" s="31">
        <v>5.9331784186705177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4.2136629709901882E-2</v>
      </c>
      <c r="E22" s="30">
        <v>0</v>
      </c>
      <c r="F22" s="31">
        <v>2.6169451328032535E-2</v>
      </c>
      <c r="G22" s="32">
        <v>0</v>
      </c>
      <c r="H22" s="29">
        <v>4.4911886486521564E-2</v>
      </c>
      <c r="I22" s="30">
        <v>0</v>
      </c>
      <c r="J22" s="31">
        <v>2.6575783259913294E-2</v>
      </c>
      <c r="K22" s="32">
        <v>0</v>
      </c>
      <c r="L22" s="29">
        <v>1.907565263392216E-2</v>
      </c>
      <c r="M22" s="30">
        <v>0</v>
      </c>
      <c r="N22" s="31">
        <v>3.2761701106081391E-2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1.3577731064294023E-4</v>
      </c>
      <c r="N25" s="31">
        <v>1.3228420405649613E-4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f t="shared" ref="C26:Z26" si="0">SUM(C7:C25)</f>
        <v>9.9886904535084753E-2</v>
      </c>
      <c r="D26" s="41">
        <f t="shared" si="0"/>
        <v>100.00000000000004</v>
      </c>
      <c r="E26" s="42">
        <f t="shared" si="0"/>
        <v>0.23251784529234598</v>
      </c>
      <c r="F26" s="37">
        <f t="shared" si="0"/>
        <v>100</v>
      </c>
      <c r="G26" s="43">
        <f t="shared" si="0"/>
        <v>0.50932982233937707</v>
      </c>
      <c r="H26" s="41">
        <f t="shared" si="0"/>
        <v>100</v>
      </c>
      <c r="I26" s="42">
        <f t="shared" si="0"/>
        <v>0.24292052237075978</v>
      </c>
      <c r="J26" s="37">
        <f t="shared" si="0"/>
        <v>100.00000000000004</v>
      </c>
      <c r="K26" s="41">
        <f t="shared" si="0"/>
        <v>0.65854913485725575</v>
      </c>
      <c r="L26" s="41">
        <f t="shared" si="0"/>
        <v>100.00000000000004</v>
      </c>
      <c r="M26" s="42">
        <f t="shared" si="0"/>
        <v>-0.16435162352245183</v>
      </c>
      <c r="N26" s="37">
        <f t="shared" si="0"/>
        <v>100.00000000000003</v>
      </c>
      <c r="O26" s="43">
        <f t="shared" si="0"/>
        <v>0</v>
      </c>
      <c r="P26" s="41">
        <f t="shared" si="0"/>
        <v>0</v>
      </c>
      <c r="Q26" s="42">
        <f t="shared" si="0"/>
        <v>0</v>
      </c>
      <c r="R26" s="37">
        <f t="shared" si="0"/>
        <v>0</v>
      </c>
      <c r="S26" s="41">
        <f t="shared" si="0"/>
        <v>0</v>
      </c>
      <c r="T26" s="41">
        <f t="shared" si="0"/>
        <v>0</v>
      </c>
      <c r="U26" s="42">
        <f t="shared" si="0"/>
        <v>0</v>
      </c>
      <c r="V26" s="37">
        <f t="shared" si="0"/>
        <v>0</v>
      </c>
      <c r="W26" s="43">
        <f t="shared" si="0"/>
        <v>0</v>
      </c>
      <c r="X26" s="41">
        <f t="shared" si="0"/>
        <v>0</v>
      </c>
      <c r="Y26" s="42">
        <f t="shared" si="0"/>
        <v>0</v>
      </c>
      <c r="Z26" s="37">
        <f t="shared" si="0"/>
        <v>0</v>
      </c>
    </row>
    <row r="27" spans="2:31" s="50" customFormat="1">
      <c r="B27" s="45" t="s">
        <v>40</v>
      </c>
      <c r="C27" s="46"/>
      <c r="D27" s="58">
        <v>761.53892809200022</v>
      </c>
      <c r="E27" s="59"/>
      <c r="F27" s="58">
        <v>1716.8693269870002</v>
      </c>
      <c r="G27" s="60"/>
      <c r="H27" s="58">
        <v>3736.3505775840013</v>
      </c>
      <c r="I27" s="59"/>
      <c r="J27" s="58">
        <v>1624.8008510489997</v>
      </c>
      <c r="K27" s="60"/>
      <c r="L27" s="58">
        <v>4551.1668945380015</v>
      </c>
      <c r="M27" s="47"/>
      <c r="N27" s="58">
        <v>-1132.299313517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0.12556312381953699</v>
      </c>
      <c r="D29" s="29">
        <v>97.344046421425233</v>
      </c>
      <c r="E29" s="30">
        <v>0.27805105944017572</v>
      </c>
      <c r="F29" s="31">
        <v>97.277593146691544</v>
      </c>
      <c r="G29" s="29">
        <v>0.51696287732465296</v>
      </c>
      <c r="H29" s="29">
        <v>97.249308148415565</v>
      </c>
      <c r="I29" s="30">
        <v>0.21788177229580516</v>
      </c>
      <c r="J29" s="31">
        <v>97.209341944483398</v>
      </c>
      <c r="K29" s="32">
        <v>0.6679048664304349</v>
      </c>
      <c r="L29" s="29">
        <v>97.20705840108397</v>
      </c>
      <c r="M29" s="30">
        <v>-0.11339750619827341</v>
      </c>
      <c r="N29" s="31">
        <v>97.182081179173736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-2.5676219284452243E-2</v>
      </c>
      <c r="D30" s="29">
        <v>2.6559535785747661</v>
      </c>
      <c r="E30" s="30">
        <v>-4.553321414782973E-2</v>
      </c>
      <c r="F30" s="31">
        <v>2.7224068533084611</v>
      </c>
      <c r="G30" s="29">
        <v>-7.6330549852757995E-3</v>
      </c>
      <c r="H30" s="29">
        <v>2.750691851584441</v>
      </c>
      <c r="I30" s="31">
        <v>2.5038750074954645E-2</v>
      </c>
      <c r="J30" s="31">
        <v>2.7906580555166025</v>
      </c>
      <c r="K30" s="32">
        <v>-9.3557315731791282E-3</v>
      </c>
      <c r="L30" s="29">
        <v>2.7929415989160336</v>
      </c>
      <c r="M30" s="30">
        <v>-5.0954117324178407E-2</v>
      </c>
      <c r="N30" s="31">
        <v>2.8179188208262715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f t="shared" ref="C31:Z31" si="1">SUM(C29:C30)</f>
        <v>9.9886904535084753E-2</v>
      </c>
      <c r="D31" s="41">
        <f t="shared" si="1"/>
        <v>100</v>
      </c>
      <c r="E31" s="37">
        <f t="shared" si="1"/>
        <v>0.23251784529234598</v>
      </c>
      <c r="F31" s="37">
        <f t="shared" si="1"/>
        <v>100</v>
      </c>
      <c r="G31" s="41">
        <f t="shared" si="1"/>
        <v>0.50932982233937718</v>
      </c>
      <c r="H31" s="41">
        <f t="shared" si="1"/>
        <v>100</v>
      </c>
      <c r="I31" s="37">
        <f t="shared" si="1"/>
        <v>0.24292052237075981</v>
      </c>
      <c r="J31" s="37">
        <f t="shared" si="1"/>
        <v>100</v>
      </c>
      <c r="K31" s="41">
        <f t="shared" si="1"/>
        <v>0.65854913485725575</v>
      </c>
      <c r="L31" s="41">
        <f t="shared" si="1"/>
        <v>100</v>
      </c>
      <c r="M31" s="37">
        <f t="shared" si="1"/>
        <v>-0.16435162352245181</v>
      </c>
      <c r="N31" s="37">
        <f t="shared" si="1"/>
        <v>100</v>
      </c>
      <c r="O31" s="41">
        <f t="shared" si="1"/>
        <v>0</v>
      </c>
      <c r="P31" s="41">
        <f t="shared" si="1"/>
        <v>0</v>
      </c>
      <c r="Q31" s="37">
        <f t="shared" si="1"/>
        <v>0</v>
      </c>
      <c r="R31" s="37">
        <f t="shared" si="1"/>
        <v>0</v>
      </c>
      <c r="S31" s="41">
        <f t="shared" si="1"/>
        <v>0</v>
      </c>
      <c r="T31" s="41">
        <f t="shared" si="1"/>
        <v>0</v>
      </c>
      <c r="U31" s="37">
        <f t="shared" si="1"/>
        <v>0</v>
      </c>
      <c r="V31" s="37">
        <f t="shared" si="1"/>
        <v>0</v>
      </c>
      <c r="W31" s="41">
        <f t="shared" si="1"/>
        <v>0</v>
      </c>
      <c r="X31" s="41">
        <f t="shared" si="1"/>
        <v>0</v>
      </c>
      <c r="Y31" s="37">
        <f t="shared" si="1"/>
        <v>0</v>
      </c>
      <c r="Z31" s="37">
        <f t="shared" si="1"/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5.5560711772240534E-2</v>
      </c>
      <c r="D33" s="29">
        <v>93.185487383955717</v>
      </c>
      <c r="E33" s="30">
        <v>0.22422544727079735</v>
      </c>
      <c r="F33" s="31">
        <v>92.765417453492759</v>
      </c>
      <c r="G33" s="29">
        <v>0.46637491881545146</v>
      </c>
      <c r="H33" s="29">
        <v>92.597051556328594</v>
      </c>
      <c r="I33" s="30">
        <v>0.18490968032685182</v>
      </c>
      <c r="J33" s="31">
        <v>93.833413224471528</v>
      </c>
      <c r="K33" s="32">
        <v>0.62930040488327932</v>
      </c>
      <c r="L33" s="29">
        <v>93.93132708146787</v>
      </c>
      <c r="M33" s="30">
        <v>-0.18233548991030568</v>
      </c>
      <c r="N33" s="31">
        <v>93.715806108051183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4.4326192762844219E-2</v>
      </c>
      <c r="D34" s="29">
        <v>6.8145126160442659</v>
      </c>
      <c r="E34" s="30">
        <v>8.2923980215486338E-3</v>
      </c>
      <c r="F34" s="31">
        <v>7.2345825465072418</v>
      </c>
      <c r="G34" s="29">
        <v>4.295490352392569E-2</v>
      </c>
      <c r="H34" s="29">
        <v>7.4029484436713995</v>
      </c>
      <c r="I34" s="31">
        <v>5.8010842043907981E-2</v>
      </c>
      <c r="J34" s="31">
        <v>6.1665867755284669</v>
      </c>
      <c r="K34" s="32">
        <v>2.9248729973976494E-2</v>
      </c>
      <c r="L34" s="29">
        <v>6.0686729185321289</v>
      </c>
      <c r="M34" s="30">
        <v>1.7983866387853861E-2</v>
      </c>
      <c r="N34" s="31">
        <v>6.2841938919488136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f t="shared" ref="C35" si="2">SUM(C33:C34)</f>
        <v>9.9886904535084753E-2</v>
      </c>
      <c r="D35" s="41">
        <f t="shared" ref="D35:Z35" si="3">SUM(D33:D34)</f>
        <v>99.999999999999986</v>
      </c>
      <c r="E35" s="37">
        <f t="shared" si="3"/>
        <v>0.23251784529234598</v>
      </c>
      <c r="F35" s="37">
        <f t="shared" si="3"/>
        <v>100</v>
      </c>
      <c r="G35" s="41">
        <f t="shared" si="3"/>
        <v>0.50932982233937718</v>
      </c>
      <c r="H35" s="41">
        <f t="shared" si="3"/>
        <v>100</v>
      </c>
      <c r="I35" s="37">
        <f t="shared" si="3"/>
        <v>0.24292052237075978</v>
      </c>
      <c r="J35" s="37">
        <f t="shared" si="3"/>
        <v>100</v>
      </c>
      <c r="K35" s="41">
        <f t="shared" si="3"/>
        <v>0.65854913485725586</v>
      </c>
      <c r="L35" s="41">
        <f t="shared" si="3"/>
        <v>100</v>
      </c>
      <c r="M35" s="37">
        <f t="shared" si="3"/>
        <v>-0.16435162352245181</v>
      </c>
      <c r="N35" s="37">
        <f t="shared" si="3"/>
        <v>100</v>
      </c>
      <c r="O35" s="41">
        <f t="shared" si="3"/>
        <v>0</v>
      </c>
      <c r="P35" s="41">
        <f t="shared" si="3"/>
        <v>0</v>
      </c>
      <c r="Q35" s="37">
        <f t="shared" si="3"/>
        <v>0</v>
      </c>
      <c r="R35" s="37">
        <f t="shared" si="3"/>
        <v>0</v>
      </c>
      <c r="S35" s="41">
        <f t="shared" si="3"/>
        <v>0</v>
      </c>
      <c r="T35" s="41">
        <f t="shared" si="3"/>
        <v>0</v>
      </c>
      <c r="U35" s="37">
        <f t="shared" si="3"/>
        <v>0</v>
      </c>
      <c r="V35" s="37">
        <f t="shared" si="3"/>
        <v>0</v>
      </c>
      <c r="W35" s="41">
        <f t="shared" si="3"/>
        <v>0</v>
      </c>
      <c r="X35" s="41">
        <f t="shared" si="3"/>
        <v>0</v>
      </c>
      <c r="Y35" s="37">
        <f t="shared" si="3"/>
        <v>0</v>
      </c>
      <c r="Z35" s="37">
        <f t="shared" si="3"/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f>($D$27*C7/$C$26+$F$27*E7/$E$26+$H$27*G7/$G$26)/$D$60*$C$59</f>
        <v>-2.3000917073210587E-3</v>
      </c>
      <c r="D40" s="29">
        <f>H7</f>
        <v>3.444133479852364</v>
      </c>
      <c r="E40" s="69">
        <f>($D$27*C7/$C$26+$F$27*E7/$E$26+$H$27*G7/$G$26+$J$27*I7/$I$26+$L$27*K7/$K$26+$N$27*M7/$M$26)/$F$60*$E$59</f>
        <v>-4.4537860329918327E-3</v>
      </c>
      <c r="F40" s="69">
        <f>N7</f>
        <v>3.1082616914194348</v>
      </c>
      <c r="G40" s="32"/>
      <c r="H40" s="29"/>
      <c r="I40" s="30"/>
      <c r="J40" s="31"/>
    </row>
    <row r="41" spans="2:26">
      <c r="B41" s="10" t="s">
        <v>7</v>
      </c>
      <c r="C41" s="32">
        <f>($D$27*C8/$C$26+$F$27*E8/$E$26+$H$27*G8/$G$26)/$D$60*$C$59</f>
        <v>0.30983872010328678</v>
      </c>
      <c r="D41" s="29">
        <f t="shared" ref="D41:D58" si="4">H8</f>
        <v>56.654198222608898</v>
      </c>
      <c r="E41" s="69">
        <f t="shared" ref="E41:E58" si="5">($D$27*C8/$C$26+$F$27*E8/$E$26+$H$27*G8/$G$26+$J$27*I8/$I$26+$L$27*K8/$K$26+$N$27*M8/$M$26)/$F$60*$E$59</f>
        <v>0.65473491012501972</v>
      </c>
      <c r="F41" s="69">
        <f t="shared" ref="F41:F58" si="6">N8</f>
        <v>57.000114695050854</v>
      </c>
      <c r="G41" s="32"/>
      <c r="H41" s="29"/>
      <c r="I41" s="30"/>
      <c r="J41" s="31"/>
    </row>
    <row r="42" spans="2:26">
      <c r="B42" s="10" t="s">
        <v>9</v>
      </c>
      <c r="C42" s="32">
        <f t="shared" ref="C42:C52" si="7">($D$27*C9/$C$26+$F$27*E9/$E$26+$H$27*G9/$G$26)/$D$60*$C$59</f>
        <v>0</v>
      </c>
      <c r="D42" s="29">
        <f t="shared" si="4"/>
        <v>0</v>
      </c>
      <c r="E42" s="69">
        <f t="shared" si="5"/>
        <v>0</v>
      </c>
      <c r="F42" s="69">
        <f t="shared" si="6"/>
        <v>0</v>
      </c>
      <c r="G42" s="32"/>
      <c r="H42" s="29"/>
      <c r="I42" s="30"/>
      <c r="J42" s="31"/>
    </row>
    <row r="43" spans="2:26">
      <c r="B43" s="10" t="s">
        <v>11</v>
      </c>
      <c r="C43" s="32">
        <f t="shared" si="7"/>
        <v>0</v>
      </c>
      <c r="D43" s="29">
        <f t="shared" si="4"/>
        <v>0</v>
      </c>
      <c r="E43" s="69">
        <f t="shared" si="5"/>
        <v>0</v>
      </c>
      <c r="F43" s="69">
        <f t="shared" si="6"/>
        <v>0</v>
      </c>
      <c r="G43" s="32"/>
      <c r="H43" s="29"/>
      <c r="I43" s="30"/>
      <c r="J43" s="31"/>
    </row>
    <row r="44" spans="2:26">
      <c r="B44" s="10" t="s">
        <v>13</v>
      </c>
      <c r="C44" s="32">
        <f t="shared" si="7"/>
        <v>0.37406370125005939</v>
      </c>
      <c r="D44" s="29">
        <f t="shared" si="4"/>
        <v>23.965576930909631</v>
      </c>
      <c r="E44" s="69">
        <f t="shared" si="5"/>
        <v>0.61802667373752174</v>
      </c>
      <c r="F44" s="69">
        <f t="shared" si="6"/>
        <v>25.899795889470813</v>
      </c>
      <c r="G44" s="32"/>
      <c r="H44" s="29"/>
      <c r="I44" s="30"/>
      <c r="J44" s="31"/>
    </row>
    <row r="45" spans="2:26">
      <c r="B45" s="10" t="s">
        <v>15</v>
      </c>
      <c r="C45" s="32">
        <f t="shared" si="7"/>
        <v>7.8590449413590748E-3</v>
      </c>
      <c r="D45" s="29">
        <f t="shared" si="4"/>
        <v>1.7471226517005674</v>
      </c>
      <c r="E45" s="69">
        <f t="shared" si="5"/>
        <v>1.2408992795207548E-2</v>
      </c>
      <c r="F45" s="69">
        <f t="shared" si="6"/>
        <v>0.30741948507417183</v>
      </c>
      <c r="G45" s="32"/>
      <c r="H45" s="29"/>
      <c r="I45" s="30"/>
      <c r="J45" s="31"/>
    </row>
    <row r="46" spans="2:26">
      <c r="B46" s="10" t="s">
        <v>17</v>
      </c>
      <c r="C46" s="32">
        <f t="shared" si="7"/>
        <v>7.2155878062254283E-3</v>
      </c>
      <c r="D46" s="29">
        <f t="shared" si="4"/>
        <v>0.404437695438985</v>
      </c>
      <c r="E46" s="69">
        <f t="shared" si="5"/>
        <v>1.9328238484683222E-2</v>
      </c>
      <c r="F46" s="69">
        <f t="shared" si="6"/>
        <v>0.43268891397279008</v>
      </c>
      <c r="G46" s="32"/>
      <c r="H46" s="29"/>
      <c r="I46" s="30"/>
      <c r="J46" s="31"/>
    </row>
    <row r="47" spans="2:26">
      <c r="B47" s="10" t="s">
        <v>19</v>
      </c>
      <c r="C47" s="32">
        <f t="shared" si="7"/>
        <v>0.10371279796943353</v>
      </c>
      <c r="D47" s="29">
        <f t="shared" si="4"/>
        <v>6.8427927953041037</v>
      </c>
      <c r="E47" s="69">
        <f>($D$27*C14/$C$26+$F$27*E14/$E$26+$H$27*G14/$G$26+$J$27*I14/$I$26+$L$27*K14/$K$26+$N$27*M14/$M$26)/$F$60*$E$59</f>
        <v>0.18050659468603239</v>
      </c>
      <c r="F47" s="69">
        <f t="shared" si="6"/>
        <v>5.9425326515617956</v>
      </c>
      <c r="G47" s="32"/>
      <c r="H47" s="29"/>
      <c r="I47" s="30"/>
      <c r="J47" s="31"/>
    </row>
    <row r="48" spans="2:26">
      <c r="B48" s="10" t="s">
        <v>21</v>
      </c>
      <c r="C48" s="32">
        <f t="shared" si="7"/>
        <v>-4.6143829302251936E-2</v>
      </c>
      <c r="D48" s="29">
        <f t="shared" si="4"/>
        <v>1.2673216092343675</v>
      </c>
      <c r="E48" s="69">
        <f t="shared" si="5"/>
        <v>-8.3514068774644123E-2</v>
      </c>
      <c r="F48" s="69">
        <f t="shared" si="6"/>
        <v>1.3155864510533521</v>
      </c>
      <c r="G48" s="32"/>
      <c r="H48" s="29"/>
      <c r="I48" s="30"/>
      <c r="J48" s="31"/>
    </row>
    <row r="49" spans="2:14">
      <c r="B49" s="10" t="s">
        <v>23</v>
      </c>
      <c r="C49" s="32">
        <f t="shared" si="7"/>
        <v>0</v>
      </c>
      <c r="D49" s="29">
        <f t="shared" si="4"/>
        <v>0</v>
      </c>
      <c r="E49" s="69">
        <f t="shared" si="5"/>
        <v>0</v>
      </c>
      <c r="F49" s="69">
        <f t="shared" si="6"/>
        <v>0</v>
      </c>
      <c r="G49" s="32"/>
      <c r="H49" s="29"/>
      <c r="I49" s="30"/>
      <c r="J49" s="31"/>
    </row>
    <row r="50" spans="2:14">
      <c r="B50" s="10" t="s">
        <v>25</v>
      </c>
      <c r="C50" s="32">
        <f t="shared" si="7"/>
        <v>-3.3089709653230643E-4</v>
      </c>
      <c r="D50" s="29">
        <f t="shared" si="4"/>
        <v>3.7397010962848801E-5</v>
      </c>
      <c r="E50" s="69">
        <f t="shared" si="5"/>
        <v>-3.2745271353649735E-4</v>
      </c>
      <c r="F50" s="69">
        <f t="shared" si="6"/>
        <v>5.7396001611523419E-5</v>
      </c>
      <c r="G50" s="32"/>
      <c r="H50" s="29"/>
      <c r="I50" s="30"/>
      <c r="J50" s="31"/>
    </row>
    <row r="51" spans="2:14">
      <c r="B51" s="10" t="s">
        <v>26</v>
      </c>
      <c r="C51" s="32">
        <f t="shared" si="7"/>
        <v>0</v>
      </c>
      <c r="D51" s="29">
        <f t="shared" si="4"/>
        <v>0</v>
      </c>
      <c r="E51" s="69">
        <f t="shared" si="5"/>
        <v>1.686829003582592E-2</v>
      </c>
      <c r="F51" s="69">
        <f t="shared" si="6"/>
        <v>1.0475443253442717E-2</v>
      </c>
      <c r="G51" s="32"/>
      <c r="H51" s="29"/>
      <c r="I51" s="30"/>
      <c r="J51" s="31"/>
    </row>
    <row r="52" spans="2:14">
      <c r="B52" s="10" t="s">
        <v>27</v>
      </c>
      <c r="C52" s="32">
        <f t="shared" si="7"/>
        <v>6.2764935442487615E-4</v>
      </c>
      <c r="D52" s="29">
        <f t="shared" si="4"/>
        <v>1.8560533741032531E-2</v>
      </c>
      <c r="E52" s="69">
        <f t="shared" si="5"/>
        <v>1.313620599324491E-3</v>
      </c>
      <c r="F52" s="69">
        <f t="shared" si="6"/>
        <v>1.6641768836445074E-2</v>
      </c>
      <c r="G52" s="32"/>
      <c r="H52" s="29"/>
      <c r="I52" s="30"/>
      <c r="J52" s="31"/>
    </row>
    <row r="53" spans="2:14">
      <c r="B53" s="10" t="s">
        <v>28</v>
      </c>
      <c r="C53" s="32">
        <f>($D$27*C20/$C$26+$F$27*E20/$E$26+$H$27*G20/$G$26)/$D$60*$C$59</f>
        <v>7.7378191086567864E-5</v>
      </c>
      <c r="D53" s="29">
        <f t="shared" si="4"/>
        <v>6.035625535499423E-4</v>
      </c>
      <c r="E53" s="69">
        <f>($D$27*C20/$C$26+$F$27*E20/$E$26+$H$27*G20/$G$26+$J$27*I20/$I$26+$L$27*K20/$K$26+$N$27*M20/$M$26)/$F$60*$E$59</f>
        <v>-1.8142997702280152E-4</v>
      </c>
      <c r="F53" s="69">
        <f t="shared" si="6"/>
        <v>3.5321032465082566E-4</v>
      </c>
      <c r="G53" s="32"/>
      <c r="H53" s="29"/>
      <c r="I53" s="30"/>
      <c r="J53" s="31"/>
    </row>
    <row r="54" spans="2:14">
      <c r="B54" s="10" t="s">
        <v>29</v>
      </c>
      <c r="C54" s="32">
        <f t="shared" ref="C54:C58" si="8">($D$27*C21/$C$26+$F$27*E21/$E$26+$H$27*G21/$G$26)/$D$60*$C$59</f>
        <v>8.904098500028769E-2</v>
      </c>
      <c r="D54" s="29">
        <f t="shared" si="4"/>
        <v>5.610303235159023</v>
      </c>
      <c r="E54" s="69">
        <f t="shared" si="5"/>
        <v>0.17227192183452714</v>
      </c>
      <c r="F54" s="69">
        <f t="shared" si="6"/>
        <v>5.9331784186705177</v>
      </c>
      <c r="G54" s="32"/>
      <c r="H54" s="29"/>
      <c r="I54" s="30"/>
      <c r="J54" s="31"/>
    </row>
    <row r="55" spans="2:14">
      <c r="B55" s="10" t="s">
        <v>30</v>
      </c>
      <c r="C55" s="32">
        <f t="shared" si="8"/>
        <v>0</v>
      </c>
      <c r="D55" s="29">
        <f t="shared" si="4"/>
        <v>4.4911886486521564E-2</v>
      </c>
      <c r="E55" s="69">
        <f t="shared" si="5"/>
        <v>0</v>
      </c>
      <c r="F55" s="69">
        <f t="shared" si="6"/>
        <v>3.2761701106081391E-2</v>
      </c>
      <c r="G55" s="32"/>
      <c r="H55" s="29"/>
      <c r="I55" s="30"/>
      <c r="J55" s="31"/>
    </row>
    <row r="56" spans="2:14">
      <c r="B56" s="10" t="s">
        <v>31</v>
      </c>
      <c r="C56" s="32">
        <f t="shared" si="8"/>
        <v>0</v>
      </c>
      <c r="D56" s="29">
        <f t="shared" si="4"/>
        <v>0</v>
      </c>
      <c r="E56" s="69">
        <f t="shared" si="5"/>
        <v>0</v>
      </c>
      <c r="F56" s="69">
        <f t="shared" si="6"/>
        <v>0</v>
      </c>
      <c r="G56" s="32"/>
      <c r="H56" s="29"/>
      <c r="I56" s="30"/>
      <c r="J56" s="31"/>
    </row>
    <row r="57" spans="2:14">
      <c r="B57" s="10" t="s">
        <v>32</v>
      </c>
      <c r="C57" s="32">
        <f t="shared" si="8"/>
        <v>0</v>
      </c>
      <c r="D57" s="29">
        <f t="shared" si="4"/>
        <v>0</v>
      </c>
      <c r="E57" s="69">
        <f t="shared" si="5"/>
        <v>0</v>
      </c>
      <c r="F57" s="69">
        <f t="shared" si="6"/>
        <v>0</v>
      </c>
      <c r="G57" s="32"/>
      <c r="H57" s="29"/>
      <c r="I57" s="30"/>
      <c r="J57" s="31"/>
    </row>
    <row r="58" spans="2:14">
      <c r="B58" s="10" t="s">
        <v>33</v>
      </c>
      <c r="C58" s="32">
        <f t="shared" si="8"/>
        <v>0</v>
      </c>
      <c r="D58" s="29">
        <f t="shared" si="4"/>
        <v>0</v>
      </c>
      <c r="E58" s="69">
        <f t="shared" si="5"/>
        <v>1.3186967821311046E-4</v>
      </c>
      <c r="F58" s="69">
        <f t="shared" si="6"/>
        <v>1.3228420405649613E-4</v>
      </c>
      <c r="G58" s="32"/>
      <c r="H58" s="29"/>
      <c r="I58" s="30"/>
      <c r="J58" s="31"/>
    </row>
    <row r="59" spans="2:14">
      <c r="B59" s="11" t="s">
        <v>34</v>
      </c>
      <c r="C59" s="34">
        <f>((1+C26%)*(1+E26%)*(1+G26%)-1)*100</f>
        <v>0.84366104651005802</v>
      </c>
      <c r="D59" s="29">
        <f>SUM(D40:D58)</f>
        <v>100</v>
      </c>
      <c r="E59" s="51">
        <f>((1+M26%)*(1+C26%)*(1+E26%)*(1+G26%)*(1+I26%)*(1+K26%)-1)*100</f>
        <v>1.5871143744781602</v>
      </c>
      <c r="F59" s="31">
        <f>L26</f>
        <v>100.00000000000004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f>D27+F27+H27</f>
        <v>6214.7588326630012</v>
      </c>
      <c r="E60" s="25"/>
      <c r="F60" s="33">
        <f>D27+F27+H27+J27+L27+N27</f>
        <v>11258.427264733004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f>($D$27*C29/$C$26+$F$27*E29/$E$26+$H$27*G29/$G$26)/$D$60*$C$59</f>
        <v>0.92347725274660031</v>
      </c>
      <c r="D62" s="53">
        <f>H29</f>
        <v>97.249308148415565</v>
      </c>
      <c r="E62" s="30">
        <f>($D$27*C29/$C$26+$F$27*E29/$E$26+$H$27*G29/$G$26+$J$27*I29/$I$26+$L$27*K29/$K$26+$N$27*M29/$M$26)/$F$60*$E$59</f>
        <v>1.7049930422597921</v>
      </c>
      <c r="F62" s="31">
        <f t="shared" ref="F62:F63" si="9">N29</f>
        <v>97.182081179173736</v>
      </c>
      <c r="G62" s="52"/>
      <c r="H62" s="53"/>
      <c r="I62" s="54"/>
      <c r="J62" s="55"/>
    </row>
    <row r="63" spans="2:14">
      <c r="B63" s="10" t="s">
        <v>36</v>
      </c>
      <c r="C63" s="32">
        <f>($D$27*C30/$C$26+$F$27*E30/$E$26+$H$27*G30/$G$26)/$D$60*$C$59</f>
        <v>-7.9816206236542078E-2</v>
      </c>
      <c r="D63" s="29">
        <f>H30</f>
        <v>2.750691851584441</v>
      </c>
      <c r="E63" s="30">
        <f>($D$27*C30/$C$26+$F$27*E30/$E$26+$H$27*G30/$G$26+$J$27*I30/$I$26+$L$27*K30/$K$26+$N$27*M30/$M$26)/$F$60*$E$59</f>
        <v>-0.11787866778163225</v>
      </c>
      <c r="F63" s="31">
        <f t="shared" si="9"/>
        <v>2.8179188208262715</v>
      </c>
      <c r="G63" s="32"/>
      <c r="H63" s="29"/>
      <c r="I63" s="30"/>
      <c r="J63" s="31"/>
    </row>
    <row r="64" spans="2:14">
      <c r="B64" s="11" t="s">
        <v>34</v>
      </c>
      <c r="C64" s="34">
        <f>SUM(C62:C63)</f>
        <v>0.84366104651005824</v>
      </c>
      <c r="D64" s="34">
        <f>SUM(D62:D63)</f>
        <v>100</v>
      </c>
      <c r="E64" s="51">
        <f>SUM(E62:E63)</f>
        <v>1.5871143744781597</v>
      </c>
      <c r="F64" s="57">
        <f>SUM(F62:F63)</f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f>($D$27*C33/$C$26+$F$27*E33/$E$26+$H$27*G33/$G$26)/$D$60*$C$59</f>
        <v>0.74669635903848997</v>
      </c>
      <c r="D66" s="53">
        <f>H33</f>
        <v>92.597051556328594</v>
      </c>
      <c r="E66" s="30">
        <f>($D$27*C33/$C$26+$F$27*E33/$E$26+$H$27*G33/$G$26+$J$27*I33/$I$26+$L$27*K33/$K$26+$N$27*M33/$M$26)/$F$60*$E$59</f>
        <v>1.3857610748538498</v>
      </c>
      <c r="F66" s="31">
        <f t="shared" ref="F66:F67" si="10">N33</f>
        <v>93.715806108051183</v>
      </c>
      <c r="G66" s="52"/>
      <c r="H66" s="53"/>
      <c r="I66" s="54"/>
      <c r="J66" s="55"/>
    </row>
    <row r="67" spans="2:10">
      <c r="B67" s="10" t="s">
        <v>38</v>
      </c>
      <c r="C67" s="32">
        <f>($D$27*C34/$C$26+$F$27*E34/$E$26+$H$27*G34/$G$26)/$D$60*$C$59</f>
        <v>9.6964687471568237E-2</v>
      </c>
      <c r="D67" s="29">
        <f>H34</f>
        <v>7.4029484436713995</v>
      </c>
      <c r="E67" s="30">
        <f>($D$27*C34/$C$26+$F$27*E34/$E$26+$H$27*G34/$G$26+$J$27*I34/$I$26+$L$27*K34/$K$26+$N$27*M34/$M$26)/$F$60*$E$59</f>
        <v>0.20135329962431042</v>
      </c>
      <c r="F67" s="31">
        <f t="shared" si="10"/>
        <v>6.2841938919488136</v>
      </c>
      <c r="G67" s="32"/>
      <c r="H67" s="29"/>
      <c r="I67" s="30"/>
      <c r="J67" s="31"/>
    </row>
    <row r="68" spans="2:10">
      <c r="B68" s="11" t="s">
        <v>34</v>
      </c>
      <c r="C68" s="34">
        <f>SUM(C66:C67)</f>
        <v>0.84366104651005824</v>
      </c>
      <c r="D68" s="34">
        <f>SUM(D66:D67)</f>
        <v>100</v>
      </c>
      <c r="E68" s="51">
        <f>SUM(E66:E67)</f>
        <v>1.5871143744781602</v>
      </c>
      <c r="F68" s="57">
        <f>SUM(F66:F67)</f>
        <v>100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78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zoomScale="85" zoomScaleNormal="85" workbookViewId="0">
      <selection activeCell="D3" sqref="D3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63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0</v>
      </c>
      <c r="D7" s="29">
        <v>1.0196770913622766</v>
      </c>
      <c r="E7" s="30">
        <v>-8.5884084573408206E-5</v>
      </c>
      <c r="F7" s="31">
        <v>1.212181456255345</v>
      </c>
      <c r="G7" s="32">
        <v>0</v>
      </c>
      <c r="H7" s="29">
        <v>2.3993743276913242</v>
      </c>
      <c r="I7" s="30">
        <v>-3.5180383754681602E-5</v>
      </c>
      <c r="J7" s="31">
        <v>2.0008039812353449</v>
      </c>
      <c r="K7" s="32">
        <v>-3.6345025891157902E-5</v>
      </c>
      <c r="L7" s="29">
        <v>4.7000203287684093</v>
      </c>
      <c r="M7" s="30">
        <v>0</v>
      </c>
      <c r="N7" s="31">
        <v>3.1256446573959664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1.5774458773142441E-2</v>
      </c>
      <c r="D8" s="29">
        <v>93.29301774311125</v>
      </c>
      <c r="E8" s="30">
        <v>1.0972754726091679E-2</v>
      </c>
      <c r="F8" s="31">
        <v>92.012690696885301</v>
      </c>
      <c r="G8" s="32">
        <v>2.267561681563568E-2</v>
      </c>
      <c r="H8" s="29">
        <v>90.44965322358081</v>
      </c>
      <c r="I8" s="30">
        <v>2.1761021818034722E-2</v>
      </c>
      <c r="J8" s="31">
        <v>90.310090131531709</v>
      </c>
      <c r="K8" s="32">
        <v>6.3603795309526336E-3</v>
      </c>
      <c r="L8" s="29">
        <v>87.839358120448878</v>
      </c>
      <c r="M8" s="30">
        <v>4.9649928149482587E-3</v>
      </c>
      <c r="N8" s="31">
        <v>90.097014803969017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2.1280510983364554E-4</v>
      </c>
      <c r="D11" s="29">
        <v>1.1317094422353151</v>
      </c>
      <c r="E11" s="30">
        <v>5.0084877043304389E-4</v>
      </c>
      <c r="F11" s="31">
        <v>1.3484781222565274</v>
      </c>
      <c r="G11" s="32">
        <v>4.9578237429926579E-4</v>
      </c>
      <c r="H11" s="29">
        <v>1.5258726041370938</v>
      </c>
      <c r="I11" s="30">
        <v>1.6515235707058863E-4</v>
      </c>
      <c r="J11" s="31">
        <v>1.6406914599019586</v>
      </c>
      <c r="K11" s="32">
        <v>2.2210849155707607E-4</v>
      </c>
      <c r="L11" s="29">
        <v>1.2343968238123981</v>
      </c>
      <c r="M11" s="30">
        <v>4.7904264281593996E-4</v>
      </c>
      <c r="N11" s="31">
        <v>0.39101553910130588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0</v>
      </c>
      <c r="D13" s="29">
        <v>0</v>
      </c>
      <c r="E13" s="30">
        <v>0</v>
      </c>
      <c r="F13" s="31">
        <v>0</v>
      </c>
      <c r="G13" s="32">
        <v>0</v>
      </c>
      <c r="H13" s="29">
        <v>0</v>
      </c>
      <c r="I13" s="30">
        <v>0</v>
      </c>
      <c r="J13" s="31">
        <v>0</v>
      </c>
      <c r="K13" s="32">
        <v>0</v>
      </c>
      <c r="L13" s="29">
        <v>0</v>
      </c>
      <c r="M13" s="30">
        <v>0</v>
      </c>
      <c r="N13" s="31">
        <v>0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5.615068161224612E-4</v>
      </c>
      <c r="D14" s="29">
        <v>4.5555957232911695</v>
      </c>
      <c r="E14" s="30">
        <v>8.4523544619770059E-4</v>
      </c>
      <c r="F14" s="31">
        <v>5.4266497246028216</v>
      </c>
      <c r="G14" s="32">
        <v>1.083376299394692E-3</v>
      </c>
      <c r="H14" s="29">
        <v>5.6250998445907774</v>
      </c>
      <c r="I14" s="30">
        <v>9.7136948478204201E-4</v>
      </c>
      <c r="J14" s="31">
        <v>6.0484144273309886</v>
      </c>
      <c r="K14" s="32">
        <v>1.4346189386482049E-3</v>
      </c>
      <c r="L14" s="29">
        <v>6.2262247269703108</v>
      </c>
      <c r="M14" s="30">
        <v>7.6322048177454842E-4</v>
      </c>
      <c r="N14" s="31">
        <v>6.3863249995337084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</v>
      </c>
      <c r="F15" s="31">
        <v>0</v>
      </c>
      <c r="G15" s="32">
        <v>0</v>
      </c>
      <c r="H15" s="29">
        <v>0</v>
      </c>
      <c r="I15" s="30">
        <v>0</v>
      </c>
      <c r="J15" s="31">
        <v>0</v>
      </c>
      <c r="K15" s="32">
        <v>0</v>
      </c>
      <c r="L15" s="29">
        <v>0</v>
      </c>
      <c r="M15" s="30">
        <v>0</v>
      </c>
      <c r="N15" s="31">
        <v>0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1.6548770699098547E-2</v>
      </c>
      <c r="D26" s="41">
        <v>100.00000000000003</v>
      </c>
      <c r="E26" s="42">
        <v>1.2232954858149014E-2</v>
      </c>
      <c r="F26" s="37">
        <v>100</v>
      </c>
      <c r="G26" s="43">
        <v>2.4254775489329639E-2</v>
      </c>
      <c r="H26" s="41">
        <v>100</v>
      </c>
      <c r="I26" s="42">
        <v>2.2862363276132672E-2</v>
      </c>
      <c r="J26" s="37">
        <v>100</v>
      </c>
      <c r="K26" s="41">
        <v>7.9807619352667558E-3</v>
      </c>
      <c r="L26" s="41">
        <v>100</v>
      </c>
      <c r="M26" s="42">
        <v>6.2072559395387472E-3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46"/>
      <c r="D27" s="49">
        <v>22.163</v>
      </c>
      <c r="E27" s="47"/>
      <c r="F27" s="49">
        <v>14.385999999999999</v>
      </c>
      <c r="G27" s="48"/>
      <c r="H27" s="49">
        <v>26.417999999999999</v>
      </c>
      <c r="I27" s="47"/>
      <c r="J27" s="49">
        <v>23.395</v>
      </c>
      <c r="K27" s="48"/>
      <c r="L27" s="49">
        <v>7.9050000000000002</v>
      </c>
      <c r="M27" s="47"/>
      <c r="N27" s="49">
        <v>6.1159999999999997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1.6548770699098547E-2</v>
      </c>
      <c r="D29" s="29">
        <v>100</v>
      </c>
      <c r="E29" s="30">
        <v>1.2232954858149014E-2</v>
      </c>
      <c r="F29" s="31">
        <v>100</v>
      </c>
      <c r="G29" s="29">
        <v>2.4254775489329639E-2</v>
      </c>
      <c r="H29" s="29">
        <v>100</v>
      </c>
      <c r="I29" s="30">
        <v>2.2862363276132669E-2</v>
      </c>
      <c r="J29" s="31">
        <v>100</v>
      </c>
      <c r="K29" s="32">
        <v>7.9807619352667558E-3</v>
      </c>
      <c r="L29" s="29">
        <v>100</v>
      </c>
      <c r="M29" s="30">
        <v>6.2072559395387472E-3</v>
      </c>
      <c r="N29" s="31">
        <v>100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0</v>
      </c>
      <c r="D30" s="29">
        <v>0</v>
      </c>
      <c r="E30" s="30">
        <v>0</v>
      </c>
      <c r="F30" s="31">
        <v>0</v>
      </c>
      <c r="G30" s="29">
        <v>0</v>
      </c>
      <c r="H30" s="29">
        <v>0</v>
      </c>
      <c r="I30" s="31">
        <v>0</v>
      </c>
      <c r="J30" s="31">
        <v>0</v>
      </c>
      <c r="K30" s="32">
        <v>0</v>
      </c>
      <c r="L30" s="29">
        <v>0</v>
      </c>
      <c r="M30" s="30">
        <v>0</v>
      </c>
      <c r="N30" s="31">
        <v>0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1.6548770699098547E-2</v>
      </c>
      <c r="D31" s="41">
        <v>100</v>
      </c>
      <c r="E31" s="37">
        <v>1.2232954858149014E-2</v>
      </c>
      <c r="F31" s="37">
        <v>100</v>
      </c>
      <c r="G31" s="41">
        <v>2.4254775489329639E-2</v>
      </c>
      <c r="H31" s="41">
        <v>100</v>
      </c>
      <c r="I31" s="37">
        <v>2.2862363276132669E-2</v>
      </c>
      <c r="J31" s="37">
        <v>100</v>
      </c>
      <c r="K31" s="41">
        <v>7.9807619352667558E-3</v>
      </c>
      <c r="L31" s="41">
        <v>100</v>
      </c>
      <c r="M31" s="37">
        <v>6.2072559395387472E-3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1.6548770699098547E-2</v>
      </c>
      <c r="D33" s="29">
        <v>100</v>
      </c>
      <c r="E33" s="30">
        <v>1.2232954858149014E-2</v>
      </c>
      <c r="F33" s="31">
        <v>100</v>
      </c>
      <c r="G33" s="29">
        <v>2.4254775489329639E-2</v>
      </c>
      <c r="H33" s="29">
        <v>100</v>
      </c>
      <c r="I33" s="30">
        <v>2.2862363276132669E-2</v>
      </c>
      <c r="J33" s="31">
        <v>100</v>
      </c>
      <c r="K33" s="32">
        <v>7.9807619352667558E-3</v>
      </c>
      <c r="L33" s="29">
        <v>100</v>
      </c>
      <c r="M33" s="30">
        <v>6.2072559395387472E-3</v>
      </c>
      <c r="N33" s="31">
        <v>100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0</v>
      </c>
      <c r="E34" s="30">
        <v>0</v>
      </c>
      <c r="F34" s="31">
        <v>0</v>
      </c>
      <c r="G34" s="29">
        <v>0</v>
      </c>
      <c r="H34" s="29">
        <v>0</v>
      </c>
      <c r="I34" s="31">
        <v>0</v>
      </c>
      <c r="J34" s="31">
        <v>0</v>
      </c>
      <c r="K34" s="32">
        <v>0</v>
      </c>
      <c r="L34" s="29">
        <v>0</v>
      </c>
      <c r="M34" s="30">
        <v>0</v>
      </c>
      <c r="N34" s="31">
        <v>0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1.6548770699098547E-2</v>
      </c>
      <c r="D35" s="41">
        <v>100</v>
      </c>
      <c r="E35" s="37">
        <v>1.2232954858149014E-2</v>
      </c>
      <c r="F35" s="37">
        <v>100</v>
      </c>
      <c r="G35" s="41">
        <v>2.4254775489329639E-2</v>
      </c>
      <c r="H35" s="41">
        <v>100</v>
      </c>
      <c r="I35" s="37">
        <v>2.2862363276132669E-2</v>
      </c>
      <c r="J35" s="37">
        <v>100</v>
      </c>
      <c r="K35" s="41">
        <v>7.9807619352667558E-3</v>
      </c>
      <c r="L35" s="41">
        <v>100</v>
      </c>
      <c r="M35" s="37">
        <v>6.2072559395387472E-3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-8.5085778190136411E-5</v>
      </c>
      <c r="D40" s="29">
        <v>2.3993743276913242</v>
      </c>
      <c r="E40" s="69">
        <v>-1.5531151613173139E-4</v>
      </c>
      <c r="F40" s="69">
        <v>3.1256446573959664</v>
      </c>
      <c r="G40" s="32"/>
      <c r="H40" s="29"/>
      <c r="I40" s="69"/>
      <c r="J40" s="69"/>
    </row>
    <row r="41" spans="2:26">
      <c r="B41" s="10" t="s">
        <v>7</v>
      </c>
      <c r="C41" s="32">
        <v>4.9474431500498336E-2</v>
      </c>
      <c r="D41" s="29">
        <v>90.44965322358081</v>
      </c>
      <c r="E41" s="69">
        <v>8.2762185255214199E-2</v>
      </c>
      <c r="F41" s="69">
        <v>90.097014803969017</v>
      </c>
      <c r="G41" s="32"/>
      <c r="H41" s="29"/>
      <c r="I41" s="69"/>
      <c r="J41" s="69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69"/>
      <c r="J42" s="69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69"/>
      <c r="J43" s="69"/>
    </row>
    <row r="44" spans="2:26">
      <c r="B44" s="10" t="s">
        <v>13</v>
      </c>
      <c r="C44" s="32">
        <v>1.1912008946619096E-3</v>
      </c>
      <c r="D44" s="29">
        <v>1.5258726041370938</v>
      </c>
      <c r="E44" s="69">
        <v>2.0423913248536927E-3</v>
      </c>
      <c r="F44" s="69">
        <v>0.39101553910130588</v>
      </c>
      <c r="G44" s="32"/>
      <c r="H44" s="29"/>
      <c r="I44" s="69"/>
      <c r="J44" s="69"/>
    </row>
    <row r="45" spans="2:26">
      <c r="B45" s="10" t="s">
        <v>15</v>
      </c>
      <c r="C45" s="32">
        <v>0</v>
      </c>
      <c r="D45" s="29">
        <v>0</v>
      </c>
      <c r="E45" s="69">
        <v>0</v>
      </c>
      <c r="F45" s="69">
        <v>0</v>
      </c>
      <c r="G45" s="32"/>
      <c r="H45" s="29"/>
      <c r="I45" s="69"/>
      <c r="J45" s="69"/>
    </row>
    <row r="46" spans="2:26">
      <c r="B46" s="10" t="s">
        <v>17</v>
      </c>
      <c r="C46" s="32">
        <v>0</v>
      </c>
      <c r="D46" s="29">
        <v>0</v>
      </c>
      <c r="E46" s="69">
        <v>0</v>
      </c>
      <c r="F46" s="69">
        <v>0</v>
      </c>
      <c r="G46" s="32"/>
      <c r="H46" s="29"/>
      <c r="I46" s="69"/>
      <c r="J46" s="69"/>
    </row>
    <row r="47" spans="2:26">
      <c r="B47" s="10" t="s">
        <v>19</v>
      </c>
      <c r="C47" s="32">
        <v>2.464960267171675E-3</v>
      </c>
      <c r="D47" s="29">
        <v>5.6250998445907774</v>
      </c>
      <c r="E47" s="69">
        <v>5.4700177328938686E-3</v>
      </c>
      <c r="F47" s="69">
        <v>6.3863249995337084</v>
      </c>
      <c r="G47" s="32"/>
      <c r="H47" s="29"/>
      <c r="I47" s="69"/>
      <c r="J47" s="69"/>
    </row>
    <row r="48" spans="2:26">
      <c r="B48" s="10" t="s">
        <v>21</v>
      </c>
      <c r="C48" s="32">
        <v>0</v>
      </c>
      <c r="D48" s="29">
        <v>0</v>
      </c>
      <c r="E48" s="69">
        <v>0</v>
      </c>
      <c r="F48" s="69">
        <v>0</v>
      </c>
      <c r="G48" s="32"/>
      <c r="H48" s="29"/>
      <c r="I48" s="69"/>
      <c r="J48" s="69"/>
    </row>
    <row r="49" spans="2:14">
      <c r="B49" s="10" t="s">
        <v>23</v>
      </c>
      <c r="C49" s="32">
        <v>0</v>
      </c>
      <c r="D49" s="29">
        <v>0</v>
      </c>
      <c r="E49" s="69">
        <v>0</v>
      </c>
      <c r="F49" s="69">
        <v>0</v>
      </c>
      <c r="G49" s="32"/>
      <c r="H49" s="29"/>
      <c r="I49" s="69"/>
      <c r="J49" s="69"/>
    </row>
    <row r="50" spans="2:14">
      <c r="B50" s="10" t="s">
        <v>25</v>
      </c>
      <c r="C50" s="32">
        <v>0</v>
      </c>
      <c r="D50" s="29">
        <v>0</v>
      </c>
      <c r="E50" s="69">
        <v>0</v>
      </c>
      <c r="F50" s="69">
        <v>0</v>
      </c>
      <c r="G50" s="32"/>
      <c r="H50" s="29"/>
      <c r="I50" s="69"/>
      <c r="J50" s="69"/>
    </row>
    <row r="51" spans="2:14">
      <c r="B51" s="10" t="s">
        <v>26</v>
      </c>
      <c r="C51" s="32">
        <v>0</v>
      </c>
      <c r="D51" s="29">
        <v>0</v>
      </c>
      <c r="E51" s="69">
        <v>0</v>
      </c>
      <c r="F51" s="69">
        <v>0</v>
      </c>
      <c r="G51" s="32"/>
      <c r="H51" s="29"/>
      <c r="I51" s="69"/>
      <c r="J51" s="69"/>
    </row>
    <row r="52" spans="2:14">
      <c r="B52" s="10" t="s">
        <v>27</v>
      </c>
      <c r="C52" s="32">
        <v>0</v>
      </c>
      <c r="D52" s="29">
        <v>0</v>
      </c>
      <c r="E52" s="69">
        <v>0</v>
      </c>
      <c r="F52" s="69">
        <v>0</v>
      </c>
      <c r="G52" s="32"/>
      <c r="H52" s="29"/>
      <c r="I52" s="69"/>
      <c r="J52" s="69"/>
    </row>
    <row r="53" spans="2:14">
      <c r="B53" s="10" t="s">
        <v>28</v>
      </c>
      <c r="C53" s="32">
        <v>0</v>
      </c>
      <c r="D53" s="29">
        <v>0</v>
      </c>
      <c r="E53" s="69">
        <v>0</v>
      </c>
      <c r="F53" s="69">
        <v>0</v>
      </c>
      <c r="G53" s="32"/>
      <c r="H53" s="29"/>
      <c r="I53" s="69"/>
      <c r="J53" s="69"/>
    </row>
    <row r="54" spans="2:14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69"/>
      <c r="J54" s="69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69"/>
      <c r="J55" s="69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69"/>
      <c r="J56" s="69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69"/>
      <c r="J57" s="69"/>
    </row>
    <row r="58" spans="2:14">
      <c r="B58" s="10" t="s">
        <v>33</v>
      </c>
      <c r="C58" s="32">
        <v>0</v>
      </c>
      <c r="D58" s="29">
        <v>0</v>
      </c>
      <c r="E58" s="69">
        <v>0</v>
      </c>
      <c r="F58" s="69">
        <v>0</v>
      </c>
      <c r="G58" s="32"/>
      <c r="H58" s="29"/>
      <c r="I58" s="69"/>
      <c r="J58" s="69"/>
    </row>
    <row r="59" spans="2:14">
      <c r="B59" s="11" t="s">
        <v>34</v>
      </c>
      <c r="C59" s="34">
        <v>5.304550688414178E-2</v>
      </c>
      <c r="D59" s="29">
        <v>100</v>
      </c>
      <c r="E59" s="51">
        <v>9.0119282796830014E-2</v>
      </c>
      <c r="F59" s="31">
        <v>100</v>
      </c>
      <c r="G59" s="32"/>
      <c r="H59" s="39"/>
      <c r="I59" s="69"/>
      <c r="J59" s="69"/>
      <c r="M59" s="35"/>
    </row>
    <row r="60" spans="2:14">
      <c r="B60" s="28" t="s">
        <v>40</v>
      </c>
      <c r="C60" s="34"/>
      <c r="D60" s="33">
        <v>62.966999999999999</v>
      </c>
      <c r="E60" s="25"/>
      <c r="F60" s="33">
        <v>100.383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5.304550688414178E-2</v>
      </c>
      <c r="D62" s="53">
        <v>100</v>
      </c>
      <c r="E62" s="69">
        <v>9.0119282796830014E-2</v>
      </c>
      <c r="F62" s="69">
        <v>100</v>
      </c>
      <c r="G62" s="52"/>
      <c r="H62" s="53"/>
      <c r="I62" s="69"/>
      <c r="J62" s="69"/>
    </row>
    <row r="63" spans="2:14">
      <c r="B63" s="10" t="s">
        <v>36</v>
      </c>
      <c r="C63" s="32">
        <v>0</v>
      </c>
      <c r="D63" s="29">
        <v>0</v>
      </c>
      <c r="E63" s="69">
        <v>0</v>
      </c>
      <c r="F63" s="69">
        <v>0</v>
      </c>
      <c r="G63" s="32"/>
      <c r="H63" s="29"/>
      <c r="I63" s="69"/>
      <c r="J63" s="69"/>
    </row>
    <row r="64" spans="2:14">
      <c r="B64" s="11" t="s">
        <v>34</v>
      </c>
      <c r="C64" s="34">
        <v>5.304550688414178E-2</v>
      </c>
      <c r="D64" s="34">
        <v>100</v>
      </c>
      <c r="E64" s="51">
        <v>9.0119282796830014E-2</v>
      </c>
      <c r="F64" s="57">
        <v>100</v>
      </c>
      <c r="G64" s="32"/>
      <c r="H64" s="39"/>
      <c r="I64" s="30"/>
      <c r="J64" s="30"/>
    </row>
    <row r="65" spans="2:10">
      <c r="B65" s="12"/>
      <c r="C65" s="13"/>
      <c r="D65" s="56"/>
      <c r="E65" s="13"/>
      <c r="F65" s="56"/>
      <c r="G65" s="56"/>
      <c r="H65" s="56"/>
      <c r="I65" s="56"/>
      <c r="J65" s="56"/>
    </row>
    <row r="66" spans="2:10">
      <c r="B66" s="9" t="s">
        <v>37</v>
      </c>
      <c r="C66" s="32">
        <v>5.304550688414178E-2</v>
      </c>
      <c r="D66" s="53">
        <v>100</v>
      </c>
      <c r="E66" s="69">
        <v>9.0119282796830014E-2</v>
      </c>
      <c r="F66" s="69">
        <v>100</v>
      </c>
      <c r="G66" s="52"/>
      <c r="H66" s="53"/>
      <c r="I66" s="69"/>
      <c r="J66" s="69"/>
    </row>
    <row r="67" spans="2:10">
      <c r="B67" s="10" t="s">
        <v>38</v>
      </c>
      <c r="C67" s="32">
        <v>0</v>
      </c>
      <c r="D67" s="29">
        <v>0</v>
      </c>
      <c r="E67" s="69">
        <v>0</v>
      </c>
      <c r="F67" s="69">
        <v>0</v>
      </c>
      <c r="G67" s="32"/>
      <c r="H67" s="29"/>
      <c r="I67" s="69"/>
      <c r="J67" s="69"/>
    </row>
    <row r="68" spans="2:10">
      <c r="B68" s="11" t="s">
        <v>34</v>
      </c>
      <c r="C68" s="34">
        <v>5.304550688414178E-2</v>
      </c>
      <c r="D68" s="34">
        <v>100</v>
      </c>
      <c r="E68" s="51">
        <v>9.0119282796830014E-2</v>
      </c>
      <c r="F68" s="57">
        <v>100</v>
      </c>
      <c r="G68" s="38"/>
      <c r="H68" s="39"/>
      <c r="I68" s="40"/>
      <c r="J68" s="37"/>
    </row>
    <row r="69" spans="2:10">
      <c r="B69" s="12"/>
      <c r="C69" s="13"/>
      <c r="D69" s="56"/>
      <c r="E69" s="13"/>
      <c r="F69" s="56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78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0" zoomScaleNormal="80" workbookViewId="0">
      <pane ySplit="6" topLeftCell="A7" activePane="bottomLeft" state="frozen"/>
      <selection activeCell="E7" sqref="E7"/>
      <selection pane="bottomLeft" activeCell="B1" sqref="B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52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-1.4001469486124741E-3</v>
      </c>
      <c r="D7" s="29">
        <v>11.556349092585009</v>
      </c>
      <c r="E7" s="30">
        <v>-2.8399527631591949E-3</v>
      </c>
      <c r="F7" s="31">
        <v>1.6600575581171186</v>
      </c>
      <c r="G7" s="32">
        <v>-2.5348804602320332E-4</v>
      </c>
      <c r="H7" s="29">
        <v>2.922984871109644</v>
      </c>
      <c r="I7" s="30">
        <v>-2.8401905710582928E-4</v>
      </c>
      <c r="J7" s="31">
        <v>3.3044576911565793</v>
      </c>
      <c r="K7" s="32">
        <v>-1.6336731307960849E-3</v>
      </c>
      <c r="L7" s="29">
        <v>3.4317990649048329</v>
      </c>
      <c r="M7" s="30">
        <v>-2.7247869507172734E-3</v>
      </c>
      <c r="N7" s="31">
        <v>2.4748252880174118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8.2894395290326633E-2</v>
      </c>
      <c r="D8" s="29">
        <v>33.933189515733503</v>
      </c>
      <c r="E8" s="30">
        <v>-0.13920855311929159</v>
      </c>
      <c r="F8" s="31">
        <v>37.22350096117561</v>
      </c>
      <c r="G8" s="32">
        <v>6.1527487342417031E-2</v>
      </c>
      <c r="H8" s="29">
        <v>36.504591764692194</v>
      </c>
      <c r="I8" s="30">
        <v>0.50580026357650198</v>
      </c>
      <c r="J8" s="31">
        <v>36.055889123207777</v>
      </c>
      <c r="K8" s="32">
        <v>0.17566470738754569</v>
      </c>
      <c r="L8" s="29">
        <v>34.654064111905249</v>
      </c>
      <c r="M8" s="30">
        <v>-0.21566952856909494</v>
      </c>
      <c r="N8" s="31">
        <v>34.419389512796656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0.23120873325386768</v>
      </c>
      <c r="D11" s="29">
        <v>33.301460062731813</v>
      </c>
      <c r="E11" s="30">
        <v>6.9234223486309449E-2</v>
      </c>
      <c r="F11" s="31">
        <v>36.877724657151369</v>
      </c>
      <c r="G11" s="32">
        <v>-8.264813928707971E-3</v>
      </c>
      <c r="H11" s="29">
        <v>36.119763124285718</v>
      </c>
      <c r="I11" s="30">
        <v>0.5156602848469285</v>
      </c>
      <c r="J11" s="31">
        <v>36.268532315206961</v>
      </c>
      <c r="K11" s="32">
        <v>0.3319250746764309</v>
      </c>
      <c r="L11" s="29">
        <v>37.193498427139751</v>
      </c>
      <c r="M11" s="30">
        <v>-0.20725853349564516</v>
      </c>
      <c r="N11" s="31">
        <v>38.228309199118975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3.9999388546003482E-2</v>
      </c>
      <c r="D12" s="29">
        <v>3.888962472942604</v>
      </c>
      <c r="E12" s="30">
        <v>2.2812205099543401E-3</v>
      </c>
      <c r="F12" s="31">
        <v>4.3868586123456943</v>
      </c>
      <c r="G12" s="32">
        <v>1.7765121366337216E-2</v>
      </c>
      <c r="H12" s="29">
        <v>4.526014522159878</v>
      </c>
      <c r="I12" s="30">
        <v>6.7940735910658245E-2</v>
      </c>
      <c r="J12" s="31">
        <v>4.5830697323474157</v>
      </c>
      <c r="K12" s="32">
        <v>2.4560309390668087E-2</v>
      </c>
      <c r="L12" s="29">
        <v>4.5543599663396908</v>
      </c>
      <c r="M12" s="30">
        <v>2.3232799379586576E-2</v>
      </c>
      <c r="N12" s="31">
        <v>4.6604094204081301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-3.5995087247164283E-3</v>
      </c>
      <c r="D13" s="29">
        <v>0.4116439559113218</v>
      </c>
      <c r="E13" s="30">
        <v>1.2561707318517096E-2</v>
      </c>
      <c r="F13" s="31">
        <v>0.47330344095329491</v>
      </c>
      <c r="G13" s="32">
        <v>3.8758258547761298E-4</v>
      </c>
      <c r="H13" s="29">
        <v>0.48523754736525215</v>
      </c>
      <c r="I13" s="30">
        <v>7.0620902941762858E-3</v>
      </c>
      <c r="J13" s="31">
        <v>0.49665842401389776</v>
      </c>
      <c r="K13" s="32">
        <v>1.3016377395971165E-2</v>
      </c>
      <c r="L13" s="29">
        <v>0.51305517083949848</v>
      </c>
      <c r="M13" s="30">
        <v>-6.1689604898029814E-3</v>
      </c>
      <c r="N13" s="31">
        <v>0.51859055191942638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3.4416363237362343E-2</v>
      </c>
      <c r="D14" s="29">
        <v>5.2283696271873144</v>
      </c>
      <c r="E14" s="30">
        <v>1.5207333446877604E-2</v>
      </c>
      <c r="F14" s="31">
        <v>6.0369249133721654</v>
      </c>
      <c r="G14" s="32">
        <v>8.1661537661612844E-3</v>
      </c>
      <c r="H14" s="29">
        <v>6.0178445090585306</v>
      </c>
      <c r="I14" s="30">
        <v>8.9006381284796807E-2</v>
      </c>
      <c r="J14" s="31">
        <v>5.7636563926573521</v>
      </c>
      <c r="K14" s="32">
        <v>5.3783861662728139E-2</v>
      </c>
      <c r="L14" s="29">
        <v>6.3062345725917917</v>
      </c>
      <c r="M14" s="30">
        <v>-3.9124417246368053E-2</v>
      </c>
      <c r="N14" s="31">
        <v>6.0571376886095791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-2.0790046312608952E-2</v>
      </c>
      <c r="D15" s="29">
        <v>1.6287124750812769</v>
      </c>
      <c r="E15" s="30">
        <v>-4.236078448232368E-2</v>
      </c>
      <c r="F15" s="31">
        <v>1.8241801022489041</v>
      </c>
      <c r="G15" s="32">
        <v>-7.0963448782814494E-3</v>
      </c>
      <c r="H15" s="29">
        <v>1.8378147179270787</v>
      </c>
      <c r="I15" s="30">
        <v>1.9498120183278993E-3</v>
      </c>
      <c r="J15" s="31">
        <v>1.8978571100309389</v>
      </c>
      <c r="K15" s="32">
        <v>-1.21186788896078E-2</v>
      </c>
      <c r="L15" s="29">
        <v>1.8827457666304865</v>
      </c>
      <c r="M15" s="30">
        <v>-4.3531291782552099E-2</v>
      </c>
      <c r="N15" s="31">
        <v>1.8922591075683548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-1.2208975766406313E-5</v>
      </c>
      <c r="D16" s="29">
        <v>6.7995435220467124E-2</v>
      </c>
      <c r="E16" s="30">
        <v>0</v>
      </c>
      <c r="F16" s="31">
        <v>7.3744286315685428E-2</v>
      </c>
      <c r="G16" s="32">
        <v>8.1598312022916775E-3</v>
      </c>
      <c r="H16" s="29">
        <v>8.4520030269597757E-2</v>
      </c>
      <c r="I16" s="30">
        <v>0</v>
      </c>
      <c r="J16" s="31">
        <v>8.4567672698612012E-2</v>
      </c>
      <c r="K16" s="32">
        <v>3.118023953558118E-3</v>
      </c>
      <c r="L16" s="29">
        <v>8.8212657232503044E-2</v>
      </c>
      <c r="M16" s="30">
        <v>0</v>
      </c>
      <c r="N16" s="31">
        <v>7.6072888477309558E-2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-2.5646687567273734E-5</v>
      </c>
      <c r="D17" s="29">
        <v>2.4760478053679997E-4</v>
      </c>
      <c r="E17" s="30">
        <v>4.7488766439957212E-5</v>
      </c>
      <c r="F17" s="31">
        <v>3.2370432226328872E-4</v>
      </c>
      <c r="G17" s="32">
        <v>-3.6406414804480324E-4</v>
      </c>
      <c r="H17" s="29">
        <v>6.8398478729640814E-5</v>
      </c>
      <c r="I17" s="30">
        <v>-8.6434475195558605E-6</v>
      </c>
      <c r="J17" s="31">
        <v>5.9497860510405651E-5</v>
      </c>
      <c r="K17" s="32">
        <v>3.8149660375005876E-5</v>
      </c>
      <c r="L17" s="29">
        <v>9.9088269873528158E-5</v>
      </c>
      <c r="M17" s="30">
        <v>-3.4749099864116504E-5</v>
      </c>
      <c r="N17" s="31">
        <v>6.8392353372118112E-5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-7.9560154783410607E-5</v>
      </c>
      <c r="D19" s="29">
        <v>1.480965552774007E-2</v>
      </c>
      <c r="E19" s="30">
        <v>1.21959323798189E-4</v>
      </c>
      <c r="F19" s="31">
        <v>2.3570341019137839E-2</v>
      </c>
      <c r="G19" s="32">
        <v>6.3117846342292051E-4</v>
      </c>
      <c r="H19" s="29">
        <v>2.2117252064559813E-2</v>
      </c>
      <c r="I19" s="30">
        <v>1.0703743289243171E-4</v>
      </c>
      <c r="J19" s="31">
        <v>2.1957197241839834E-2</v>
      </c>
      <c r="K19" s="32">
        <v>9.4161820226516552E-4</v>
      </c>
      <c r="L19" s="29">
        <v>1.9523054051709603E-2</v>
      </c>
      <c r="M19" s="30">
        <v>-2.5543172913867178E-4</v>
      </c>
      <c r="N19" s="31">
        <v>1.9830122363899746E-2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2.6820304760851676E-3</v>
      </c>
      <c r="D20" s="29">
        <v>6.9136916605597065E-2</v>
      </c>
      <c r="E20" s="30">
        <v>4.9589760630481686E-3</v>
      </c>
      <c r="F20" s="31">
        <v>8.2254989816405583E-2</v>
      </c>
      <c r="G20" s="32">
        <v>1.7632238894045062E-3</v>
      </c>
      <c r="H20" s="29">
        <v>8.4023657475933919E-2</v>
      </c>
      <c r="I20" s="30">
        <v>-2.6893028046708323E-3</v>
      </c>
      <c r="J20" s="31">
        <v>5.1911712675664842E-2</v>
      </c>
      <c r="K20" s="32">
        <v>-4.7902129831696748E-4</v>
      </c>
      <c r="L20" s="29">
        <v>5.2829254488219936E-2</v>
      </c>
      <c r="M20" s="30">
        <v>-1.9413589737938136E-3</v>
      </c>
      <c r="N20" s="31">
        <v>5.1732427728717403E-2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4.8991370587682957E-2</v>
      </c>
      <c r="D21" s="29">
        <v>8.5270511280214762</v>
      </c>
      <c r="E21" s="30">
        <v>-5.4313634177191993E-3</v>
      </c>
      <c r="F21" s="31">
        <v>9.8159792100422436</v>
      </c>
      <c r="G21" s="32">
        <v>6.3909417287131412E-2</v>
      </c>
      <c r="H21" s="29">
        <v>9.824024052482967</v>
      </c>
      <c r="I21" s="30">
        <v>8.7314540803537011E-2</v>
      </c>
      <c r="J21" s="31">
        <v>9.9050954453437789</v>
      </c>
      <c r="K21" s="32">
        <v>3.3495600628291329E-2</v>
      </c>
      <c r="L21" s="29">
        <v>9.7255432373168222</v>
      </c>
      <c r="M21" s="30">
        <v>-4.7682413604150924E-2</v>
      </c>
      <c r="N21" s="31">
        <v>9.9812859876224618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8.3985938135036978E-3</v>
      </c>
      <c r="D22" s="29">
        <v>1.3224510570970631</v>
      </c>
      <c r="E22" s="30">
        <v>-8.401976904448829E-4</v>
      </c>
      <c r="F22" s="31">
        <v>1.4655517393076627</v>
      </c>
      <c r="G22" s="32">
        <v>3.1868241929512001E-3</v>
      </c>
      <c r="H22" s="29">
        <v>1.5140608129261841</v>
      </c>
      <c r="I22" s="30">
        <v>1.6419300961037133E-2</v>
      </c>
      <c r="J22" s="31">
        <v>1.5093215474172712</v>
      </c>
      <c r="K22" s="32">
        <v>7.7841881127880472E-3</v>
      </c>
      <c r="L22" s="29">
        <v>1.5206078528100548</v>
      </c>
      <c r="M22" s="30">
        <v>-9.3423594818093422E-3</v>
      </c>
      <c r="N22" s="31">
        <v>1.5605922061554109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4.9621000574284008E-2</v>
      </c>
      <c r="E25" s="30">
        <v>0</v>
      </c>
      <c r="F25" s="31">
        <v>5.6025483812439207E-2</v>
      </c>
      <c r="G25" s="32">
        <v>0</v>
      </c>
      <c r="H25" s="29">
        <v>5.6934739703726929E-2</v>
      </c>
      <c r="I25" s="30">
        <v>0</v>
      </c>
      <c r="J25" s="31">
        <v>5.696613814139663E-2</v>
      </c>
      <c r="K25" s="32">
        <v>0</v>
      </c>
      <c r="L25" s="29">
        <v>5.7427775479498844E-2</v>
      </c>
      <c r="M25" s="30">
        <v>1.3906760561250607E-3</v>
      </c>
      <c r="N25" s="31">
        <v>5.9497206860303256E-2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0.42268375740077707</v>
      </c>
      <c r="D26" s="41">
        <v>100.00000000000001</v>
      </c>
      <c r="E26" s="42">
        <v>-8.6267942557993735E-2</v>
      </c>
      <c r="F26" s="37">
        <v>99.999999999999986</v>
      </c>
      <c r="G26" s="43">
        <v>0.14951810909453739</v>
      </c>
      <c r="H26" s="41">
        <v>100.00000000000001</v>
      </c>
      <c r="I26" s="42">
        <v>1.2882784818195601</v>
      </c>
      <c r="J26" s="37">
        <v>99.999999999999986</v>
      </c>
      <c r="K26" s="41">
        <v>0.63009653775190066</v>
      </c>
      <c r="L26" s="41">
        <v>99.999999999999986</v>
      </c>
      <c r="M26" s="42">
        <v>-0.5491103559872258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46"/>
      <c r="D27" s="58">
        <v>4292.9715743979996</v>
      </c>
      <c r="E27" s="59"/>
      <c r="F27" s="58">
        <v>-792.86227516299982</v>
      </c>
      <c r="G27" s="60"/>
      <c r="H27" s="58">
        <v>1628.0403534830002</v>
      </c>
      <c r="I27" s="59"/>
      <c r="J27" s="58">
        <v>11549.492452440003</v>
      </c>
      <c r="K27" s="60"/>
      <c r="L27" s="58">
        <v>5795.7119547150014</v>
      </c>
      <c r="M27" s="47"/>
      <c r="N27" s="58">
        <v>-4995.9948929169996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0.4568848932602067</v>
      </c>
      <c r="D29" s="29">
        <v>96.870497645868397</v>
      </c>
      <c r="E29" s="30">
        <v>-2.1895033211577777E-2</v>
      </c>
      <c r="F29" s="31">
        <v>96.491735829274134</v>
      </c>
      <c r="G29" s="29">
        <v>0.1589873966147555</v>
      </c>
      <c r="H29" s="29">
        <v>96.464616178768111</v>
      </c>
      <c r="I29" s="30">
        <v>1.2604939741039856</v>
      </c>
      <c r="J29" s="31">
        <v>96.455513422832922</v>
      </c>
      <c r="K29" s="32">
        <v>0.64379654414612364</v>
      </c>
      <c r="L29" s="29">
        <v>96.455782072263474</v>
      </c>
      <c r="M29" s="30">
        <v>-0.48212044699723294</v>
      </c>
      <c r="N29" s="31">
        <v>96.383034199343143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-3.4201135859429882E-2</v>
      </c>
      <c r="D30" s="29">
        <v>3.1295023541315996</v>
      </c>
      <c r="E30" s="30">
        <v>-6.4372909346415971E-2</v>
      </c>
      <c r="F30" s="31">
        <v>3.5082641707258744</v>
      </c>
      <c r="G30" s="29">
        <v>-9.4692875202180352E-3</v>
      </c>
      <c r="H30" s="29">
        <v>3.5353838212318816</v>
      </c>
      <c r="I30" s="31">
        <v>2.7784507715574634E-2</v>
      </c>
      <c r="J30" s="31">
        <v>3.5444865771670755</v>
      </c>
      <c r="K30" s="32">
        <v>-1.3700006394222862E-2</v>
      </c>
      <c r="L30" s="29">
        <v>3.5442179277365322</v>
      </c>
      <c r="M30" s="30">
        <v>-6.6989908989992755E-2</v>
      </c>
      <c r="N30" s="31">
        <v>3.616965800656855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0.42268375740077679</v>
      </c>
      <c r="D31" s="41">
        <v>100</v>
      </c>
      <c r="E31" s="37">
        <v>-8.6267942557993749E-2</v>
      </c>
      <c r="F31" s="37">
        <v>100.00000000000001</v>
      </c>
      <c r="G31" s="41">
        <v>0.14951810909453747</v>
      </c>
      <c r="H31" s="41">
        <v>99.999999999999986</v>
      </c>
      <c r="I31" s="37">
        <v>1.2882784818195603</v>
      </c>
      <c r="J31" s="37">
        <v>100</v>
      </c>
      <c r="K31" s="41">
        <v>0.63009653775190078</v>
      </c>
      <c r="L31" s="41">
        <v>100</v>
      </c>
      <c r="M31" s="37">
        <v>-0.54911035598722568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0.32516638324683772</v>
      </c>
      <c r="D33" s="29">
        <v>86.141742627029117</v>
      </c>
      <c r="E33" s="30">
        <v>-8.2015391188630729E-2</v>
      </c>
      <c r="F33" s="31">
        <v>84.199639252149368</v>
      </c>
      <c r="G33" s="29">
        <v>5.6116790065655758E-2</v>
      </c>
      <c r="H33" s="29">
        <v>83.991759718715315</v>
      </c>
      <c r="I33" s="30">
        <v>1.117221335336664</v>
      </c>
      <c r="J33" s="31">
        <v>83.85888898326678</v>
      </c>
      <c r="K33" s="32">
        <v>0.56052222022815923</v>
      </c>
      <c r="L33" s="29">
        <v>84.051124896220983</v>
      </c>
      <c r="M33" s="30">
        <v>-0.51535240055068521</v>
      </c>
      <c r="N33" s="31">
        <v>83.717249814300558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9.751737415393924E-2</v>
      </c>
      <c r="D34" s="29">
        <v>13.858257372970883</v>
      </c>
      <c r="E34" s="30">
        <v>-4.2525513693630222E-3</v>
      </c>
      <c r="F34" s="31">
        <v>15.800360747850631</v>
      </c>
      <c r="G34" s="29">
        <v>9.3401319028881685E-2</v>
      </c>
      <c r="H34" s="29">
        <v>16.008240281284671</v>
      </c>
      <c r="I34" s="31">
        <v>0.17105714648289622</v>
      </c>
      <c r="J34" s="31">
        <v>16.14111101673322</v>
      </c>
      <c r="K34" s="32">
        <v>6.9574317523741547E-2</v>
      </c>
      <c r="L34" s="29">
        <v>15.948875103779022</v>
      </c>
      <c r="M34" s="30">
        <v>-3.375795543654047E-2</v>
      </c>
      <c r="N34" s="31">
        <v>16.282750185699445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0.42268375740077696</v>
      </c>
      <c r="D35" s="41">
        <v>100</v>
      </c>
      <c r="E35" s="37">
        <v>-8.6267942557993749E-2</v>
      </c>
      <c r="F35" s="37">
        <v>100</v>
      </c>
      <c r="G35" s="41">
        <v>0.14951810909453744</v>
      </c>
      <c r="H35" s="41">
        <v>99.999999999999986</v>
      </c>
      <c r="I35" s="37">
        <v>1.2882784818195603</v>
      </c>
      <c r="J35" s="37">
        <v>100</v>
      </c>
      <c r="K35" s="41">
        <v>0.63009653775190078</v>
      </c>
      <c r="L35" s="41">
        <v>100</v>
      </c>
      <c r="M35" s="37">
        <v>-0.54911035598722568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-4.0835092742035478E-3</v>
      </c>
      <c r="D40" s="29">
        <v>2.922984871109644</v>
      </c>
      <c r="E40" s="69">
        <v>-9.0910849251396603E-3</v>
      </c>
      <c r="F40" s="69">
        <v>2.4748252880174118</v>
      </c>
      <c r="G40" s="32"/>
      <c r="H40" s="29"/>
      <c r="I40" s="30"/>
      <c r="J40" s="31"/>
    </row>
    <row r="41" spans="2:26">
      <c r="B41" s="10" t="s">
        <v>7</v>
      </c>
      <c r="C41" s="32">
        <v>2.2031611714213549E-2</v>
      </c>
      <c r="D41" s="29">
        <v>36.504591764692194</v>
      </c>
      <c r="E41" s="69">
        <v>0.4703249443423867</v>
      </c>
      <c r="F41" s="69">
        <v>34.419389512796656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0.27436292214542818</v>
      </c>
      <c r="D44" s="29">
        <v>36.119763124285718</v>
      </c>
      <c r="E44" s="69">
        <v>0.92403620299355227</v>
      </c>
      <c r="F44" s="69">
        <v>38.228309199118975</v>
      </c>
      <c r="G44" s="32"/>
      <c r="H44" s="29"/>
      <c r="I44" s="30"/>
      <c r="J44" s="31"/>
    </row>
    <row r="45" spans="2:26">
      <c r="B45" s="10" t="s">
        <v>15</v>
      </c>
      <c r="C45" s="32">
        <v>5.8828819418785747E-2</v>
      </c>
      <c r="D45" s="29">
        <v>4.526014522159878</v>
      </c>
      <c r="E45" s="69">
        <v>0.17736585334923244</v>
      </c>
      <c r="F45" s="69">
        <v>4.6604094204081301</v>
      </c>
      <c r="G45" s="32"/>
      <c r="H45" s="29"/>
      <c r="I45" s="30"/>
      <c r="J45" s="31"/>
    </row>
    <row r="46" spans="2:26">
      <c r="B46" s="10" t="s">
        <v>17</v>
      </c>
      <c r="C46" s="32">
        <v>7.877844293583524E-3</v>
      </c>
      <c r="D46" s="29">
        <v>0.48523754736525215</v>
      </c>
      <c r="E46" s="69">
        <v>2.2345672544355193E-2</v>
      </c>
      <c r="F46" s="69">
        <v>0.51859055191942638</v>
      </c>
      <c r="G46" s="32"/>
      <c r="H46" s="29"/>
      <c r="I46" s="30"/>
      <c r="J46" s="31"/>
    </row>
    <row r="47" spans="2:26">
      <c r="B47" s="10" t="s">
        <v>19</v>
      </c>
      <c r="C47" s="32">
        <v>5.4807755610699671E-2</v>
      </c>
      <c r="D47" s="29">
        <v>6.0178445090585306</v>
      </c>
      <c r="E47" s="69">
        <v>0.16118160316143851</v>
      </c>
      <c r="F47" s="69">
        <v>6.0571376886095791</v>
      </c>
      <c r="G47" s="32"/>
      <c r="H47" s="29"/>
      <c r="I47" s="30"/>
      <c r="J47" s="31"/>
    </row>
    <row r="48" spans="2:26">
      <c r="B48" s="10" t="s">
        <v>21</v>
      </c>
      <c r="C48" s="32">
        <v>-6.4240304261000566E-2</v>
      </c>
      <c r="D48" s="29">
        <v>1.8378147179270787</v>
      </c>
      <c r="E48" s="69">
        <v>-0.12424901308090873</v>
      </c>
      <c r="F48" s="69">
        <v>1.8922591075683548</v>
      </c>
      <c r="G48" s="32"/>
      <c r="H48" s="29"/>
      <c r="I48" s="30"/>
      <c r="J48" s="31"/>
    </row>
    <row r="49" spans="2:14">
      <c r="B49" s="10" t="s">
        <v>23</v>
      </c>
      <c r="C49" s="32">
        <v>8.4098004379246187E-3</v>
      </c>
      <c r="D49" s="29">
        <v>8.4520030269597757E-2</v>
      </c>
      <c r="E49" s="69">
        <v>1.2491407417598636E-2</v>
      </c>
      <c r="F49" s="69">
        <v>7.6072888477309558E-2</v>
      </c>
      <c r="G49" s="32"/>
      <c r="H49" s="29"/>
      <c r="I49" s="30"/>
      <c r="J49" s="31"/>
    </row>
    <row r="50" spans="2:14">
      <c r="B50" s="10" t="s">
        <v>25</v>
      </c>
      <c r="C50" s="32">
        <v>-3.5906152268560669E-4</v>
      </c>
      <c r="D50" s="29">
        <v>6.8398478729640814E-5</v>
      </c>
      <c r="E50" s="69">
        <v>-4.0759303597144965E-4</v>
      </c>
      <c r="F50" s="69">
        <v>6.8392353372118112E-5</v>
      </c>
      <c r="G50" s="32"/>
      <c r="H50" s="29"/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9">
        <v>0</v>
      </c>
      <c r="F51" s="69">
        <v>0</v>
      </c>
      <c r="G51" s="32"/>
      <c r="H51" s="29"/>
      <c r="I51" s="30"/>
      <c r="J51" s="31"/>
    </row>
    <row r="52" spans="2:14">
      <c r="B52" s="10" t="s">
        <v>27</v>
      </c>
      <c r="C52" s="32">
        <v>6.8107585514220049E-4</v>
      </c>
      <c r="D52" s="29">
        <v>2.2117252064559813E-2</v>
      </c>
      <c r="E52" s="69">
        <v>1.5408464330126746E-3</v>
      </c>
      <c r="F52" s="69">
        <v>1.9830122363899746E-2</v>
      </c>
      <c r="G52" s="32"/>
      <c r="H52" s="29"/>
      <c r="I52" s="30"/>
      <c r="J52" s="31"/>
    </row>
    <row r="53" spans="2:14">
      <c r="B53" s="10" t="s">
        <v>28</v>
      </c>
      <c r="C53" s="32">
        <v>8.7216794464733283E-3</v>
      </c>
      <c r="D53" s="29">
        <v>8.4023657475933919E-2</v>
      </c>
      <c r="E53" s="69">
        <v>4.8768007516716743E-3</v>
      </c>
      <c r="F53" s="69">
        <v>5.1732427728717403E-2</v>
      </c>
      <c r="G53" s="32"/>
      <c r="H53" s="29"/>
      <c r="I53" s="30"/>
      <c r="J53" s="31"/>
    </row>
    <row r="54" spans="2:14">
      <c r="B54" s="10" t="s">
        <v>29</v>
      </c>
      <c r="C54" s="32">
        <v>0.10839083496180407</v>
      </c>
      <c r="D54" s="29">
        <v>9.824024052482967</v>
      </c>
      <c r="E54" s="69">
        <v>0.19157534416808419</v>
      </c>
      <c r="F54" s="69">
        <v>9.9812859876224618</v>
      </c>
      <c r="G54" s="32"/>
      <c r="H54" s="29"/>
      <c r="I54" s="30"/>
      <c r="J54" s="31"/>
    </row>
    <row r="55" spans="2:14">
      <c r="B55" s="10" t="s">
        <v>30</v>
      </c>
      <c r="C55" s="32">
        <v>1.0642271891454494E-2</v>
      </c>
      <c r="D55" s="29">
        <v>1.5140608129261841</v>
      </c>
      <c r="E55" s="69">
        <v>2.6181683527173774E-2</v>
      </c>
      <c r="F55" s="69">
        <v>1.5605922061554109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0</v>
      </c>
      <c r="D58" s="29">
        <v>5.6934739703726929E-2</v>
      </c>
      <c r="E58" s="69">
        <v>1.3462109204376946E-3</v>
      </c>
      <c r="F58" s="69">
        <v>5.9497206860303256E-2</v>
      </c>
      <c r="G58" s="32"/>
      <c r="H58" s="29"/>
      <c r="I58" s="30"/>
      <c r="J58" s="31"/>
    </row>
    <row r="59" spans="2:14">
      <c r="B59" s="11" t="s">
        <v>34</v>
      </c>
      <c r="C59" s="34">
        <v>0.4860717407176196</v>
      </c>
      <c r="D59" s="29">
        <v>100.00000000000001</v>
      </c>
      <c r="E59" s="51">
        <v>1.8595188785669237</v>
      </c>
      <c r="F59" s="31">
        <v>99.999999999999986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5128.1496527179997</v>
      </c>
      <c r="E60" s="25"/>
      <c r="F60" s="33">
        <v>17477.359166956005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0.58484733605704675</v>
      </c>
      <c r="D62" s="53">
        <v>96.464616178768111</v>
      </c>
      <c r="E62" s="69">
        <v>2.0221474549644927</v>
      </c>
      <c r="F62" s="69">
        <v>96.383034199343143</v>
      </c>
      <c r="G62" s="52"/>
      <c r="H62" s="53"/>
      <c r="I62" s="54"/>
      <c r="J62" s="55"/>
    </row>
    <row r="63" spans="2:14">
      <c r="B63" s="10" t="s">
        <v>36</v>
      </c>
      <c r="C63" s="32">
        <v>-9.8775595339427216E-2</v>
      </c>
      <c r="D63" s="29">
        <v>3.5353838212318816</v>
      </c>
      <c r="E63" s="69">
        <v>-0.1626285763975687</v>
      </c>
      <c r="F63" s="69">
        <v>3.616965800656855</v>
      </c>
      <c r="G63" s="32"/>
      <c r="H63" s="29"/>
      <c r="I63" s="30"/>
      <c r="J63" s="31"/>
    </row>
    <row r="64" spans="2:14">
      <c r="B64" s="11" t="s">
        <v>34</v>
      </c>
      <c r="C64" s="34">
        <v>0.48607174071761955</v>
      </c>
      <c r="D64" s="34">
        <v>99.999999999999986</v>
      </c>
      <c r="E64" s="51">
        <v>1.8595188785669239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56"/>
      <c r="E65" s="13"/>
      <c r="F65" s="56"/>
      <c r="G65" s="56"/>
      <c r="H65" s="56"/>
      <c r="I65" s="56"/>
      <c r="J65" s="56"/>
    </row>
    <row r="66" spans="2:10">
      <c r="B66" s="9" t="s">
        <v>37</v>
      </c>
      <c r="C66" s="32">
        <v>0.29950112216790081</v>
      </c>
      <c r="D66" s="53">
        <v>83.991759718715315</v>
      </c>
      <c r="E66" s="69">
        <v>1.4515220526101718</v>
      </c>
      <c r="F66" s="69">
        <v>83.717249814300558</v>
      </c>
      <c r="G66" s="52"/>
      <c r="H66" s="53"/>
      <c r="I66" s="54"/>
      <c r="J66" s="55"/>
    </row>
    <row r="67" spans="2:10">
      <c r="B67" s="10" t="s">
        <v>38</v>
      </c>
      <c r="C67" s="32">
        <v>0.18657061854971874</v>
      </c>
      <c r="D67" s="29">
        <v>16.008240281284671</v>
      </c>
      <c r="E67" s="69">
        <v>0.40799682595675224</v>
      </c>
      <c r="F67" s="69">
        <v>16.282750185699445</v>
      </c>
      <c r="G67" s="32"/>
      <c r="H67" s="29"/>
      <c r="I67" s="30"/>
      <c r="J67" s="31"/>
    </row>
    <row r="68" spans="2:10">
      <c r="B68" s="11" t="s">
        <v>34</v>
      </c>
      <c r="C68" s="34">
        <v>0.48607174071761955</v>
      </c>
      <c r="D68" s="34">
        <v>99.999999999999986</v>
      </c>
      <c r="E68" s="51">
        <v>1.8595188785669241</v>
      </c>
      <c r="F68" s="57">
        <v>100</v>
      </c>
      <c r="G68" s="38"/>
      <c r="H68" s="39"/>
      <c r="I68" s="40"/>
      <c r="J68" s="37"/>
    </row>
    <row r="69" spans="2:10">
      <c r="C69" s="13"/>
      <c r="E69" s="1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E2" sqref="E2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60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-1.5007898469937197E-2</v>
      </c>
      <c r="D7" s="29">
        <v>4.3872879734299621</v>
      </c>
      <c r="E7" s="30">
        <v>-3.6266365960049576E-2</v>
      </c>
      <c r="F7" s="31">
        <v>2.1712548252091786</v>
      </c>
      <c r="G7" s="32">
        <v>1.624806892690054E-2</v>
      </c>
      <c r="H7" s="29">
        <v>5.7426178031849275</v>
      </c>
      <c r="I7" s="30">
        <v>-3.9871283331741739E-2</v>
      </c>
      <c r="J7" s="31">
        <v>5.8304367067243481</v>
      </c>
      <c r="K7" s="32">
        <v>-2.9551272886768978E-2</v>
      </c>
      <c r="L7" s="29">
        <v>3.8946198327624484</v>
      </c>
      <c r="M7" s="30">
        <v>-6.2405420539049114E-2</v>
      </c>
      <c r="N7" s="31">
        <v>5.26442545268982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-0.56618146854398599</v>
      </c>
      <c r="D8" s="29">
        <v>32.506966598739204</v>
      </c>
      <c r="E8" s="30">
        <v>-0.94466037845283202</v>
      </c>
      <c r="F8" s="31">
        <v>32.33631491259181</v>
      </c>
      <c r="G8" s="32">
        <v>-0.39277850848598211</v>
      </c>
      <c r="H8" s="29">
        <v>30.371289126123642</v>
      </c>
      <c r="I8" s="30">
        <v>-0.11423972773826868</v>
      </c>
      <c r="J8" s="31">
        <v>29.119903062197839</v>
      </c>
      <c r="K8" s="32">
        <v>-0.34221707573645266</v>
      </c>
      <c r="L8" s="29">
        <v>28.35307130693235</v>
      </c>
      <c r="M8" s="30">
        <v>-0.59175637525066049</v>
      </c>
      <c r="N8" s="31">
        <v>21.944328882924655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-0.55940454787539096</v>
      </c>
      <c r="D11" s="29">
        <v>49.510829872882162</v>
      </c>
      <c r="E11" s="30">
        <v>-0.93995649634472911</v>
      </c>
      <c r="F11" s="31">
        <v>51.24671099689855</v>
      </c>
      <c r="G11" s="32">
        <v>-0.47102433958564494</v>
      </c>
      <c r="H11" s="29">
        <v>49.655986455961646</v>
      </c>
      <c r="I11" s="30">
        <v>0.95927403226180352</v>
      </c>
      <c r="J11" s="31">
        <v>49.311847915826803</v>
      </c>
      <c r="K11" s="32">
        <v>-0.23076272264650502</v>
      </c>
      <c r="L11" s="29">
        <v>51.383249406613643</v>
      </c>
      <c r="M11" s="30">
        <v>-0.91702294702329601</v>
      </c>
      <c r="N11" s="31">
        <v>55.566279387892102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-5.5797917467624511E-5</v>
      </c>
      <c r="D13" s="29">
        <v>3.043385874999415E-3</v>
      </c>
      <c r="E13" s="30">
        <v>3.6918671243425371E-4</v>
      </c>
      <c r="F13" s="31">
        <v>3.4949577423179995E-3</v>
      </c>
      <c r="G13" s="32">
        <v>1.1551920773259197E-3</v>
      </c>
      <c r="H13" s="29">
        <v>4.117549605154612E-3</v>
      </c>
      <c r="I13" s="30">
        <v>-7.7047441058762515E-4</v>
      </c>
      <c r="J13" s="31">
        <v>3.8265010909441957E-3</v>
      </c>
      <c r="K13" s="32">
        <v>3.1131225877447727E-4</v>
      </c>
      <c r="L13" s="29">
        <v>4.3979365392624228E-3</v>
      </c>
      <c r="M13" s="30">
        <v>-1.6343415197701222E-3</v>
      </c>
      <c r="N13" s="31">
        <v>3.0816610312185372E-3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-8.0374675170154079E-5</v>
      </c>
      <c r="D14" s="29">
        <v>5.9432016019354619E-3</v>
      </c>
      <c r="E14" s="30">
        <v>-4.2867349284555773E-4</v>
      </c>
      <c r="F14" s="31">
        <v>2.6103070590855561E-2</v>
      </c>
      <c r="G14" s="32">
        <v>-8.5793856687402541E-4</v>
      </c>
      <c r="H14" s="29">
        <v>2.3146040219371647E-7</v>
      </c>
      <c r="I14" s="30">
        <v>0</v>
      </c>
      <c r="J14" s="31">
        <v>0</v>
      </c>
      <c r="K14" s="32">
        <v>-7.7126976501641978E-4</v>
      </c>
      <c r="L14" s="29">
        <v>0.16219662775593832</v>
      </c>
      <c r="M14" s="30">
        <v>-9.0965253476752784E-4</v>
      </c>
      <c r="N14" s="31">
        <v>0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-8.9798125795652273E-2</v>
      </c>
      <c r="D15" s="29">
        <v>13.585928967471736</v>
      </c>
      <c r="E15" s="30">
        <v>-0.24989066900077411</v>
      </c>
      <c r="F15" s="31">
        <v>14.2161212369673</v>
      </c>
      <c r="G15" s="32">
        <v>-5.617199031962733E-2</v>
      </c>
      <c r="H15" s="29">
        <v>14.225988833664221</v>
      </c>
      <c r="I15" s="30">
        <v>8.3606126231274613E-2</v>
      </c>
      <c r="J15" s="31">
        <v>15.733985814160059</v>
      </c>
      <c r="K15" s="32">
        <v>-5.1375693494125775E-2</v>
      </c>
      <c r="L15" s="29">
        <v>16.202464889396374</v>
      </c>
      <c r="M15" s="30">
        <v>-0.37088266264876169</v>
      </c>
      <c r="N15" s="31">
        <v>17.221884615462194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-1.2305282132776041</v>
      </c>
      <c r="D26" s="41">
        <v>100</v>
      </c>
      <c r="E26" s="42">
        <v>-2.170833396538796</v>
      </c>
      <c r="F26" s="37">
        <v>100</v>
      </c>
      <c r="G26" s="43">
        <v>-0.90342951595390186</v>
      </c>
      <c r="H26" s="41">
        <v>100</v>
      </c>
      <c r="I26" s="42">
        <v>0.88799867301248003</v>
      </c>
      <c r="J26" s="37">
        <v>100</v>
      </c>
      <c r="K26" s="41">
        <v>-0.65436672227009429</v>
      </c>
      <c r="L26" s="41">
        <v>100</v>
      </c>
      <c r="M26" s="42">
        <v>-1.944611399516305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63"/>
      <c r="D27" s="58">
        <v>-882.13199999199992</v>
      </c>
      <c r="E27" s="59"/>
      <c r="F27" s="58">
        <v>-1399.450009914</v>
      </c>
      <c r="G27" s="60"/>
      <c r="H27" s="58">
        <v>-273.7209999879999</v>
      </c>
      <c r="I27" s="59"/>
      <c r="J27" s="58">
        <v>262.77796467299999</v>
      </c>
      <c r="K27" s="60"/>
      <c r="L27" s="58">
        <v>-393.06700464099993</v>
      </c>
      <c r="M27" s="47"/>
      <c r="N27" s="58">
        <v>-1075.6189473849997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-1.4349483043819222E-2</v>
      </c>
      <c r="D29" s="29">
        <v>4.4171265203423671</v>
      </c>
      <c r="E29" s="30">
        <v>-3.5405447365927677E-2</v>
      </c>
      <c r="F29" s="31">
        <v>2.202722168177937</v>
      </c>
      <c r="G29" s="29">
        <v>1.7772922468970706E-2</v>
      </c>
      <c r="H29" s="29">
        <v>5.7753744783519991</v>
      </c>
      <c r="I29" s="30">
        <v>-3.8914948865968378E-2</v>
      </c>
      <c r="J29" s="31">
        <v>5.8643153882130834</v>
      </c>
      <c r="K29" s="32">
        <v>-2.9241625399431769E-2</v>
      </c>
      <c r="L29" s="29">
        <v>3.9306100673722524</v>
      </c>
      <c r="M29" s="30">
        <v>-6.1953445561236622E-2</v>
      </c>
      <c r="N29" s="31">
        <v>5.3046175820455073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-1.2161787302337848</v>
      </c>
      <c r="D30" s="29">
        <v>95.582873479657621</v>
      </c>
      <c r="E30" s="30">
        <v>-2.1354279491728683</v>
      </c>
      <c r="F30" s="31">
        <v>97.797277831822058</v>
      </c>
      <c r="G30" s="29">
        <v>-0.92120243842287242</v>
      </c>
      <c r="H30" s="29">
        <v>94.224625521648008</v>
      </c>
      <c r="I30" s="31">
        <v>0.92691362187844839</v>
      </c>
      <c r="J30" s="31">
        <v>94.135684611786914</v>
      </c>
      <c r="K30" s="32">
        <v>-0.62512509687066264</v>
      </c>
      <c r="L30" s="29">
        <v>96.069389932627743</v>
      </c>
      <c r="M30" s="30">
        <v>-1.8826579539550685</v>
      </c>
      <c r="N30" s="31">
        <v>94.695382417954505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-1.2305282132776041</v>
      </c>
      <c r="D31" s="41">
        <v>99.999999999999986</v>
      </c>
      <c r="E31" s="37">
        <v>-2.170833396538796</v>
      </c>
      <c r="F31" s="37">
        <v>100</v>
      </c>
      <c r="G31" s="41">
        <v>-0.90342951595390175</v>
      </c>
      <c r="H31" s="41">
        <v>100</v>
      </c>
      <c r="I31" s="37">
        <v>0.88799867301248003</v>
      </c>
      <c r="J31" s="37">
        <v>100</v>
      </c>
      <c r="K31" s="41">
        <v>-0.6543667222700944</v>
      </c>
      <c r="L31" s="41">
        <v>100</v>
      </c>
      <c r="M31" s="37">
        <v>-1.9446113995163052</v>
      </c>
      <c r="N31" s="37">
        <v>100.00000000000001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-1.2305282132776041</v>
      </c>
      <c r="D33" s="29">
        <v>99.999999846021453</v>
      </c>
      <c r="E33" s="30">
        <v>-2.170833396538796</v>
      </c>
      <c r="F33" s="31">
        <v>99.999999842142827</v>
      </c>
      <c r="G33" s="29">
        <v>-0.90342951595390186</v>
      </c>
      <c r="H33" s="29">
        <v>99.999999855463713</v>
      </c>
      <c r="I33" s="30">
        <v>0.88799867301248003</v>
      </c>
      <c r="J33" s="31">
        <v>99.99999985256035</v>
      </c>
      <c r="K33" s="32">
        <v>-0.6543667222700944</v>
      </c>
      <c r="L33" s="29">
        <v>99.999999844761049</v>
      </c>
      <c r="M33" s="30">
        <v>-1.944611399516305</v>
      </c>
      <c r="N33" s="31">
        <v>99.999999828692978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1.5397854161393444E-7</v>
      </c>
      <c r="E34" s="30">
        <v>0</v>
      </c>
      <c r="F34" s="31">
        <v>1.5785716993306226E-7</v>
      </c>
      <c r="G34" s="29">
        <v>0</v>
      </c>
      <c r="H34" s="29">
        <v>1.4453628212421416E-7</v>
      </c>
      <c r="I34" s="31">
        <v>0</v>
      </c>
      <c r="J34" s="31">
        <v>1.4743964439348792E-7</v>
      </c>
      <c r="K34" s="32">
        <v>0</v>
      </c>
      <c r="L34" s="29">
        <v>1.5523894424605861E-7</v>
      </c>
      <c r="M34" s="30">
        <v>0</v>
      </c>
      <c r="N34" s="31">
        <v>1.7130702079632636E-7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-1.2305282132776041</v>
      </c>
      <c r="D35" s="41">
        <v>100</v>
      </c>
      <c r="E35" s="37">
        <v>-2.170833396538796</v>
      </c>
      <c r="F35" s="37">
        <v>100</v>
      </c>
      <c r="G35" s="41">
        <v>-0.90342951595390186</v>
      </c>
      <c r="H35" s="41">
        <v>100</v>
      </c>
      <c r="I35" s="37">
        <v>0.88799867301248003</v>
      </c>
      <c r="J35" s="37">
        <v>100</v>
      </c>
      <c r="K35" s="41">
        <v>-0.6543667222700944</v>
      </c>
      <c r="L35" s="41">
        <v>100</v>
      </c>
      <c r="M35" s="37">
        <v>-1.944611399516305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-4.8563734131532053E-2</v>
      </c>
      <c r="D40" s="29">
        <v>5.7426178031849275</v>
      </c>
      <c r="E40" s="69">
        <v>-0.14622164316209529</v>
      </c>
      <c r="F40" s="69">
        <v>5.26442545268982</v>
      </c>
      <c r="G40" s="32"/>
      <c r="H40" s="29"/>
      <c r="I40" s="30"/>
      <c r="J40" s="31"/>
    </row>
    <row r="41" spans="2:26">
      <c r="B41" s="10" t="s">
        <v>7</v>
      </c>
      <c r="C41" s="32">
        <v>-1.8847907872159901</v>
      </c>
      <c r="D41" s="29">
        <v>30.371289126123642</v>
      </c>
      <c r="E41" s="69">
        <v>-2.6656227268296031</v>
      </c>
      <c r="F41" s="69">
        <v>21.944328882924655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-1.9110817039063068</v>
      </c>
      <c r="D44" s="29">
        <v>49.655986455961646</v>
      </c>
      <c r="E44" s="69">
        <v>-2.3695308332530653</v>
      </c>
      <c r="F44" s="69">
        <v>55.566279387892102</v>
      </c>
      <c r="G44" s="32"/>
      <c r="H44" s="29"/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9">
        <v>0</v>
      </c>
      <c r="F45" s="69">
        <v>0</v>
      </c>
      <c r="G45" s="32"/>
      <c r="H45" s="29"/>
      <c r="I45" s="30"/>
      <c r="J45" s="31"/>
    </row>
    <row r="46" spans="2:26">
      <c r="B46" s="10" t="s">
        <v>17</v>
      </c>
      <c r="C46" s="32">
        <v>9.1092123639888102E-4</v>
      </c>
      <c r="D46" s="29">
        <v>4.117549605154612E-3</v>
      </c>
      <c r="E46" s="69">
        <v>-6.2229777940353169E-4</v>
      </c>
      <c r="F46" s="69">
        <v>3.0816610312185372E-3</v>
      </c>
      <c r="G46" s="32"/>
      <c r="H46" s="29"/>
      <c r="I46" s="30"/>
      <c r="J46" s="31"/>
    </row>
    <row r="47" spans="2:26">
      <c r="B47" s="10" t="s">
        <v>19</v>
      </c>
      <c r="C47" s="32">
        <v>-9.872280511714559E-4</v>
      </c>
      <c r="D47" s="29">
        <v>2.3146040219371647E-7</v>
      </c>
      <c r="E47" s="69">
        <v>-2.4458469988381864E-3</v>
      </c>
      <c r="F47" s="69">
        <v>0</v>
      </c>
      <c r="G47" s="32"/>
      <c r="H47" s="29"/>
      <c r="I47" s="30"/>
      <c r="J47" s="31"/>
    </row>
    <row r="48" spans="2:26">
      <c r="B48" s="10" t="s">
        <v>21</v>
      </c>
      <c r="C48" s="32">
        <v>-0.40307830214020163</v>
      </c>
      <c r="D48" s="29">
        <v>14.225988833664221</v>
      </c>
      <c r="E48" s="69">
        <v>-0.7112575372539498</v>
      </c>
      <c r="F48" s="69">
        <v>17.221884615462194</v>
      </c>
      <c r="G48" s="32"/>
      <c r="H48" s="29"/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9">
        <v>0</v>
      </c>
      <c r="F49" s="69">
        <v>0</v>
      </c>
      <c r="G49" s="32"/>
      <c r="H49" s="29"/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9">
        <v>0</v>
      </c>
      <c r="F50" s="69">
        <v>0</v>
      </c>
      <c r="G50" s="32"/>
      <c r="H50" s="29"/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9">
        <v>0</v>
      </c>
      <c r="F51" s="69">
        <v>0</v>
      </c>
      <c r="G51" s="32"/>
      <c r="H51" s="29"/>
      <c r="I51" s="30"/>
      <c r="J51" s="31"/>
    </row>
    <row r="52" spans="2:14">
      <c r="B52" s="10" t="s">
        <v>27</v>
      </c>
      <c r="C52" s="32">
        <v>0</v>
      </c>
      <c r="D52" s="29">
        <v>0</v>
      </c>
      <c r="E52" s="69">
        <v>0</v>
      </c>
      <c r="F52" s="69">
        <v>0</v>
      </c>
      <c r="G52" s="32"/>
      <c r="H52" s="29"/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9">
        <v>0</v>
      </c>
      <c r="F53" s="69">
        <v>0</v>
      </c>
      <c r="G53" s="32"/>
      <c r="H53" s="29"/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9">
        <v>0</v>
      </c>
      <c r="F58" s="69">
        <v>0</v>
      </c>
      <c r="G58" s="32"/>
      <c r="H58" s="29"/>
      <c r="I58" s="30"/>
      <c r="J58" s="31"/>
    </row>
    <row r="59" spans="2:14">
      <c r="B59" s="11" t="s">
        <v>34</v>
      </c>
      <c r="C59" s="34">
        <v>-4.2475908342088031</v>
      </c>
      <c r="D59" s="29">
        <v>100</v>
      </c>
      <c r="E59" s="51">
        <v>-5.8957008852769555</v>
      </c>
      <c r="F59" s="31">
        <v>100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-2555.3030098939998</v>
      </c>
      <c r="E60" s="25"/>
      <c r="F60" s="33">
        <v>-3761.2109972469998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-4.6088621501973778E-2</v>
      </c>
      <c r="D62" s="53">
        <v>5.7753744783519991</v>
      </c>
      <c r="E62" s="69">
        <v>-0.14276060160813303</v>
      </c>
      <c r="F62" s="69">
        <v>5.3046175820455073</v>
      </c>
      <c r="G62" s="52"/>
      <c r="H62" s="53"/>
      <c r="I62" s="54"/>
      <c r="J62" s="55"/>
    </row>
    <row r="63" spans="2:14">
      <c r="B63" s="10" t="s">
        <v>36</v>
      </c>
      <c r="C63" s="32">
        <v>-4.2015022127068287</v>
      </c>
      <c r="D63" s="29">
        <v>94.224625521648008</v>
      </c>
      <c r="E63" s="69">
        <v>-5.7529402836688215</v>
      </c>
      <c r="F63" s="69">
        <v>94.695382417954505</v>
      </c>
      <c r="G63" s="32"/>
      <c r="H63" s="29"/>
      <c r="I63" s="30"/>
      <c r="J63" s="31"/>
    </row>
    <row r="64" spans="2:14">
      <c r="B64" s="11" t="s">
        <v>34</v>
      </c>
      <c r="C64" s="34">
        <v>-4.2475908342088022</v>
      </c>
      <c r="D64" s="34">
        <v>100</v>
      </c>
      <c r="E64" s="51">
        <v>-5.8957008852769546</v>
      </c>
      <c r="F64" s="57">
        <v>100.00000000000001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-4.2475908342088031</v>
      </c>
      <c r="D66" s="53">
        <v>99.999999855463713</v>
      </c>
      <c r="E66" s="69">
        <v>-5.8957008852769555</v>
      </c>
      <c r="F66" s="69">
        <v>99.999999828692978</v>
      </c>
      <c r="G66" s="52"/>
      <c r="H66" s="53"/>
      <c r="I66" s="54"/>
      <c r="J66" s="55"/>
    </row>
    <row r="67" spans="2:10">
      <c r="B67" s="10" t="s">
        <v>38</v>
      </c>
      <c r="C67" s="32">
        <v>0</v>
      </c>
      <c r="D67" s="29">
        <v>1.4453628212421416E-7</v>
      </c>
      <c r="E67" s="69">
        <v>0</v>
      </c>
      <c r="F67" s="69">
        <v>1.7130702079632636E-7</v>
      </c>
      <c r="G67" s="32"/>
      <c r="H67" s="29"/>
      <c r="I67" s="30"/>
      <c r="J67" s="31"/>
    </row>
    <row r="68" spans="2:10">
      <c r="B68" s="11" t="s">
        <v>34</v>
      </c>
      <c r="C68" s="34">
        <v>-4.2475908342088031</v>
      </c>
      <c r="D68" s="34">
        <v>100</v>
      </c>
      <c r="E68" s="51">
        <v>-5.8957008852769555</v>
      </c>
      <c r="F68" s="57">
        <v>100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5"/>
  <sheetViews>
    <sheetView rightToLeft="1" zoomScale="85" zoomScaleNormal="85" workbookViewId="0">
      <selection activeCell="B1" sqref="B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59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-3.4926909885132128E-3</v>
      </c>
      <c r="D7" s="29">
        <v>2.4636124110877526</v>
      </c>
      <c r="E7" s="30">
        <v>0.15209033379789341</v>
      </c>
      <c r="F7" s="31">
        <v>11.575752662979877</v>
      </c>
      <c r="G7" s="32">
        <v>-1.1929619243063025E-2</v>
      </c>
      <c r="H7" s="29">
        <v>9.4994740017681618</v>
      </c>
      <c r="I7" s="30">
        <v>6.7943177015187756E-3</v>
      </c>
      <c r="J7" s="31">
        <v>10.054310704920882</v>
      </c>
      <c r="K7" s="32">
        <v>-1.1526253173511313E-2</v>
      </c>
      <c r="L7" s="29">
        <v>7.1294055836309047</v>
      </c>
      <c r="M7" s="30">
        <v>-3.4956950877348764E-2</v>
      </c>
      <c r="N7" s="31">
        <v>7.8064084996196881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0</v>
      </c>
      <c r="D8" s="29">
        <v>0</v>
      </c>
      <c r="E8" s="30">
        <v>0</v>
      </c>
      <c r="F8" s="31">
        <v>0</v>
      </c>
      <c r="G8" s="32">
        <v>0</v>
      </c>
      <c r="H8" s="29">
        <v>0</v>
      </c>
      <c r="I8" s="30">
        <v>0</v>
      </c>
      <c r="J8" s="31">
        <v>0</v>
      </c>
      <c r="K8" s="32">
        <v>0</v>
      </c>
      <c r="L8" s="29">
        <v>0</v>
      </c>
      <c r="M8" s="30">
        <v>0</v>
      </c>
      <c r="N8" s="31">
        <v>0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-0.45425220040128322</v>
      </c>
      <c r="D13" s="29">
        <v>51.152398283365528</v>
      </c>
      <c r="E13" s="30">
        <v>0.53323996007289076</v>
      </c>
      <c r="F13" s="31">
        <v>65.335551535226656</v>
      </c>
      <c r="G13" s="32">
        <v>4.6756440032061398E-2</v>
      </c>
      <c r="H13" s="29">
        <v>64.419293926232072</v>
      </c>
      <c r="I13" s="30">
        <v>0.97472333836761715</v>
      </c>
      <c r="J13" s="31">
        <v>63.633574522807145</v>
      </c>
      <c r="K13" s="32">
        <v>1.4122800797443478</v>
      </c>
      <c r="L13" s="29">
        <v>65.596961174908586</v>
      </c>
      <c r="M13" s="30">
        <v>-0.70092695740733746</v>
      </c>
      <c r="N13" s="31">
        <v>65.351717085562072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4.7463339245711E-2</v>
      </c>
      <c r="D14" s="29">
        <v>44.503967528559677</v>
      </c>
      <c r="E14" s="30">
        <v>1.2633839124014417</v>
      </c>
      <c r="F14" s="31">
        <v>13.336169180124344</v>
      </c>
      <c r="G14" s="32">
        <v>-1.9136161067154385E-2</v>
      </c>
      <c r="H14" s="29">
        <v>15.758863760190984</v>
      </c>
      <c r="I14" s="30">
        <v>8.181042181207604E-2</v>
      </c>
      <c r="J14" s="31">
        <v>16.116272999832407</v>
      </c>
      <c r="K14" s="32">
        <v>8.5563668527705389E-2</v>
      </c>
      <c r="L14" s="29">
        <v>16.83469282342983</v>
      </c>
      <c r="M14" s="30">
        <v>-0.24205087514862547</v>
      </c>
      <c r="N14" s="31">
        <v>16.114835854883207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0.56180245269123086</v>
      </c>
      <c r="F15" s="31">
        <v>7.0985379889154991</v>
      </c>
      <c r="G15" s="32">
        <v>0.11896802212335493</v>
      </c>
      <c r="H15" s="29">
        <v>7.6142435385447156</v>
      </c>
      <c r="I15" s="30">
        <v>0.25982200612799644</v>
      </c>
      <c r="J15" s="31">
        <v>7.5462828040114065</v>
      </c>
      <c r="K15" s="32">
        <v>0.18895926482948899</v>
      </c>
      <c r="L15" s="29">
        <v>8.1098377267620219</v>
      </c>
      <c r="M15" s="30">
        <v>-0.1100384863254576</v>
      </c>
      <c r="N15" s="31">
        <v>8.3757084998381313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-3.5487010090039274E-3</v>
      </c>
      <c r="D17" s="29">
        <v>2.8360888764382995E-2</v>
      </c>
      <c r="E17" s="30">
        <v>5.2046384116962267E-3</v>
      </c>
      <c r="F17" s="31">
        <v>3.2867002611509377E-2</v>
      </c>
      <c r="G17" s="32">
        <v>-5.8721224649815246E-2</v>
      </c>
      <c r="H17" s="29">
        <v>4.7228800518909408E-3</v>
      </c>
      <c r="I17" s="30">
        <v>1.6454685975693642E-3</v>
      </c>
      <c r="J17" s="31">
        <v>6.1910761671510866E-3</v>
      </c>
      <c r="K17" s="32">
        <v>3.9634382688334309E-3</v>
      </c>
      <c r="L17" s="29">
        <v>1.0300674713968892E-2</v>
      </c>
      <c r="M17" s="30">
        <v>-3.5236435432988724E-3</v>
      </c>
      <c r="N17" s="31">
        <v>6.9252501245878105E-3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-1.1861388587327797</v>
      </c>
      <c r="F18" s="31">
        <v>0.64616399954643511</v>
      </c>
      <c r="G18" s="32">
        <v>-2.2328716289498414E-3</v>
      </c>
      <c r="H18" s="29">
        <v>0.67715833662464964</v>
      </c>
      <c r="I18" s="30">
        <v>0.12567289688465061</v>
      </c>
      <c r="J18" s="31">
        <v>0.76820987958599773</v>
      </c>
      <c r="K18" s="32">
        <v>7.408513398911018E-2</v>
      </c>
      <c r="L18" s="29">
        <v>0.82707473795932318</v>
      </c>
      <c r="M18" s="30">
        <v>6.1561404890392107E-2</v>
      </c>
      <c r="N18" s="31">
        <v>0.90796401707479846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-1.1008641941647511E-2</v>
      </c>
      <c r="D19" s="29">
        <v>1.8516608882226602</v>
      </c>
      <c r="E19" s="30">
        <v>1.3366407020996174E-2</v>
      </c>
      <c r="F19" s="31">
        <v>2.5801387145185704</v>
      </c>
      <c r="G19" s="32">
        <v>0.10180505979866396</v>
      </c>
      <c r="H19" s="29">
        <v>2.3440155367420359</v>
      </c>
      <c r="I19" s="30">
        <v>1.1002548411129152E-2</v>
      </c>
      <c r="J19" s="31">
        <v>2.2847658622532654</v>
      </c>
      <c r="K19" s="32">
        <v>9.7826443840643068E-2</v>
      </c>
      <c r="L19" s="29">
        <v>2.0295099478084877</v>
      </c>
      <c r="M19" s="30">
        <v>-2.5901400764266121E-2</v>
      </c>
      <c r="N19" s="31">
        <v>2.0079519214412769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-7.0373125807618578E-2</v>
      </c>
      <c r="F25" s="31">
        <v>-0.60518108392291547</v>
      </c>
      <c r="G25" s="32">
        <v>1.8568678000802398E-3</v>
      </c>
      <c r="H25" s="29">
        <v>-0.31777198015450858</v>
      </c>
      <c r="I25" s="30">
        <v>2.3519924060682145E-4</v>
      </c>
      <c r="J25" s="31">
        <v>-0.4096078495782649</v>
      </c>
      <c r="K25" s="32">
        <v>5.4079859237650754E-3</v>
      </c>
      <c r="L25" s="29">
        <v>-0.53778266921310203</v>
      </c>
      <c r="M25" s="30">
        <v>2.910691459086847E-2</v>
      </c>
      <c r="N25" s="31">
        <v>-0.57151112854376906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-0.42483889509473693</v>
      </c>
      <c r="D26" s="41">
        <v>100</v>
      </c>
      <c r="E26" s="42">
        <v>1.272575719855751</v>
      </c>
      <c r="F26" s="37">
        <v>99.999999999999972</v>
      </c>
      <c r="G26" s="43">
        <v>0.17736651316517801</v>
      </c>
      <c r="H26" s="41">
        <v>99.999999999999986</v>
      </c>
      <c r="I26" s="42">
        <v>1.4617061971431644</v>
      </c>
      <c r="J26" s="37">
        <v>100</v>
      </c>
      <c r="K26" s="41">
        <v>1.8565597619503826</v>
      </c>
      <c r="L26" s="41">
        <v>100.00000000000003</v>
      </c>
      <c r="M26" s="42">
        <v>-1.0267299945850736</v>
      </c>
      <c r="N26" s="37">
        <v>99.999999999999986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63"/>
      <c r="D27" s="58">
        <v>-491.95242150100029</v>
      </c>
      <c r="E27" s="59"/>
      <c r="F27" s="58">
        <v>1682.4350037529991</v>
      </c>
      <c r="G27" s="60"/>
      <c r="H27" s="58">
        <v>250.8492052350002</v>
      </c>
      <c r="I27" s="59"/>
      <c r="J27" s="58">
        <v>1959.6993816210004</v>
      </c>
      <c r="K27" s="60"/>
      <c r="L27" s="58">
        <v>2532.2952630259997</v>
      </c>
      <c r="M27" s="47"/>
      <c r="N27" s="58">
        <v>-1447.7090035390004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-0.58021351512615538</v>
      </c>
      <c r="D29" s="29">
        <v>72.777226694023099</v>
      </c>
      <c r="E29" s="30">
        <v>0.10207022585274644</v>
      </c>
      <c r="F29" s="31">
        <v>63.529354027890783</v>
      </c>
      <c r="G29" s="29">
        <v>-0.39678340549679425</v>
      </c>
      <c r="H29" s="29">
        <v>60.663362800673411</v>
      </c>
      <c r="I29" s="30">
        <v>0.78764634560066471</v>
      </c>
      <c r="J29" s="31">
        <v>60.540959367852764</v>
      </c>
      <c r="K29" s="32">
        <v>1.5803683630078331</v>
      </c>
      <c r="L29" s="29">
        <v>58.754155243600536</v>
      </c>
      <c r="M29" s="30">
        <v>-0.64050097925883498</v>
      </c>
      <c r="N29" s="31">
        <v>58.436097617395724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0.15537462003141861</v>
      </c>
      <c r="D30" s="29">
        <v>27.222773305976894</v>
      </c>
      <c r="E30" s="30">
        <v>1.1705054940030042</v>
      </c>
      <c r="F30" s="31">
        <v>36.470645972109203</v>
      </c>
      <c r="G30" s="29">
        <v>0.57414991866197229</v>
      </c>
      <c r="H30" s="29">
        <v>39.336637199326589</v>
      </c>
      <c r="I30" s="31">
        <v>0.6740598515424997</v>
      </c>
      <c r="J30" s="31">
        <v>39.459040632147236</v>
      </c>
      <c r="K30" s="32">
        <v>0.27619139894254968</v>
      </c>
      <c r="L30" s="29">
        <v>41.245844756399471</v>
      </c>
      <c r="M30" s="30">
        <v>-0.38622901532623877</v>
      </c>
      <c r="N30" s="31">
        <v>41.563902382604283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-0.42483889509473677</v>
      </c>
      <c r="D31" s="41">
        <v>100</v>
      </c>
      <c r="E31" s="37">
        <v>1.2725757198557506</v>
      </c>
      <c r="F31" s="37">
        <v>99.999999999999986</v>
      </c>
      <c r="G31" s="41">
        <v>0.17736651316517804</v>
      </c>
      <c r="H31" s="41">
        <v>100</v>
      </c>
      <c r="I31" s="37">
        <v>1.4617061971431644</v>
      </c>
      <c r="J31" s="37">
        <v>100</v>
      </c>
      <c r="K31" s="41">
        <v>1.8565597619503829</v>
      </c>
      <c r="L31" s="41">
        <v>100</v>
      </c>
      <c r="M31" s="37">
        <v>-1.0267299945850739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-0.42410651854240272</v>
      </c>
      <c r="D33" s="29">
        <v>99.998285637943113</v>
      </c>
      <c r="E33" s="30">
        <v>2.529336920949782</v>
      </c>
      <c r="F33" s="31">
        <v>99.957578509925725</v>
      </c>
      <c r="G33" s="29">
        <v>0.17879391452544147</v>
      </c>
      <c r="H33" s="29">
        <v>99.639716000841233</v>
      </c>
      <c r="I33" s="30">
        <v>1.3357098945738834</v>
      </c>
      <c r="J33" s="31">
        <v>99.640439664047094</v>
      </c>
      <c r="K33" s="32">
        <v>1.7772942588807641</v>
      </c>
      <c r="L33" s="29">
        <v>99.70998453657036</v>
      </c>
      <c r="M33" s="30">
        <v>-1.1011783354112519</v>
      </c>
      <c r="N33" s="31">
        <v>99.678828448860784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-7.3237655233407287E-4</v>
      </c>
      <c r="D34" s="29">
        <v>1.7143620568884146E-3</v>
      </c>
      <c r="E34" s="30">
        <v>-1.256761201094031</v>
      </c>
      <c r="F34" s="31">
        <v>4.2421490074288984E-2</v>
      </c>
      <c r="G34" s="29">
        <v>-1.4274013602634391E-3</v>
      </c>
      <c r="H34" s="29">
        <v>0.3602839991587643</v>
      </c>
      <c r="I34" s="31">
        <v>0.12599630256928085</v>
      </c>
      <c r="J34" s="31">
        <v>0.35956033595291986</v>
      </c>
      <c r="K34" s="32">
        <v>7.9265503069618354E-2</v>
      </c>
      <c r="L34" s="29">
        <v>0.29001546342964057</v>
      </c>
      <c r="M34" s="30">
        <v>7.4448340826178031E-2</v>
      </c>
      <c r="N34" s="31">
        <v>0.32117155113920842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 ht="16.5" customHeight="1">
      <c r="B35" s="11" t="s">
        <v>34</v>
      </c>
      <c r="C35" s="41">
        <v>-0.42483889509473677</v>
      </c>
      <c r="D35" s="41">
        <v>100</v>
      </c>
      <c r="E35" s="37">
        <v>1.272575719855751</v>
      </c>
      <c r="F35" s="37">
        <v>100.00000000000001</v>
      </c>
      <c r="G35" s="41">
        <v>0.17736651316517801</v>
      </c>
      <c r="H35" s="41">
        <v>100</v>
      </c>
      <c r="I35" s="37">
        <v>1.4617061971431644</v>
      </c>
      <c r="J35" s="37">
        <v>100.00000000000001</v>
      </c>
      <c r="K35" s="41">
        <v>1.8565597619503824</v>
      </c>
      <c r="L35" s="41">
        <v>100</v>
      </c>
      <c r="M35" s="37">
        <v>-1.0267299945850739</v>
      </c>
      <c r="N35" s="37">
        <v>99.999999999999986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0.12764263675486728</v>
      </c>
      <c r="D40" s="29">
        <v>9.4994740017681618</v>
      </c>
      <c r="E40" s="69">
        <v>9.2211717728335099E-2</v>
      </c>
      <c r="F40" s="69">
        <v>7.8064084996196881</v>
      </c>
      <c r="G40" s="32"/>
      <c r="H40" s="29"/>
      <c r="I40" s="30"/>
      <c r="J40" s="31"/>
    </row>
    <row r="41" spans="2:26">
      <c r="B41" s="10" t="s">
        <v>7</v>
      </c>
      <c r="C41" s="32">
        <v>0</v>
      </c>
      <c r="D41" s="29">
        <v>0</v>
      </c>
      <c r="E41" s="69">
        <v>0</v>
      </c>
      <c r="F41" s="69">
        <v>0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9">
        <v>0</v>
      </c>
      <c r="F44" s="69">
        <v>0</v>
      </c>
      <c r="G44" s="32"/>
      <c r="H44" s="29"/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9">
        <v>0</v>
      </c>
      <c r="F45" s="69">
        <v>0</v>
      </c>
      <c r="G45" s="32"/>
      <c r="H45" s="29"/>
      <c r="I45" s="30"/>
      <c r="J45" s="31"/>
    </row>
    <row r="46" spans="2:26">
      <c r="B46" s="10" t="s">
        <v>17</v>
      </c>
      <c r="C46" s="32">
        <v>0.17365191179211387</v>
      </c>
      <c r="D46" s="29">
        <v>64.419293926232072</v>
      </c>
      <c r="E46" s="69">
        <v>1.8477850401784885</v>
      </c>
      <c r="F46" s="69">
        <v>65.351717085562072</v>
      </c>
      <c r="G46" s="32"/>
      <c r="H46" s="29"/>
      <c r="I46" s="30"/>
      <c r="J46" s="31"/>
    </row>
    <row r="47" spans="2:26">
      <c r="B47" s="10" t="s">
        <v>19</v>
      </c>
      <c r="C47" s="32">
        <v>1.2031691251284446</v>
      </c>
      <c r="D47" s="29">
        <v>15.758863760190984</v>
      </c>
      <c r="E47" s="69">
        <v>1.1749701343400156</v>
      </c>
      <c r="F47" s="69">
        <v>16.114835854883207</v>
      </c>
      <c r="G47" s="32"/>
      <c r="H47" s="29"/>
      <c r="I47" s="30"/>
      <c r="J47" s="31"/>
    </row>
    <row r="48" spans="2:26">
      <c r="B48" s="10" t="s">
        <v>21</v>
      </c>
      <c r="C48" s="32">
        <v>0.64544734006356563</v>
      </c>
      <c r="D48" s="29">
        <v>7.6142435385447156</v>
      </c>
      <c r="E48" s="69">
        <v>1.0107004562304902</v>
      </c>
      <c r="F48" s="69">
        <v>8.3757084998381313</v>
      </c>
      <c r="G48" s="32"/>
      <c r="H48" s="29"/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9">
        <v>0</v>
      </c>
      <c r="F49" s="69">
        <v>0</v>
      </c>
      <c r="G49" s="32"/>
      <c r="H49" s="29"/>
      <c r="I49" s="30"/>
      <c r="J49" s="31"/>
    </row>
    <row r="50" spans="2:14">
      <c r="B50" s="10" t="s">
        <v>25</v>
      </c>
      <c r="C50" s="32">
        <v>-5.6877195525514318E-2</v>
      </c>
      <c r="D50" s="29">
        <v>4.7228800518909408E-3</v>
      </c>
      <c r="E50" s="69">
        <v>-5.7613395612707514E-2</v>
      </c>
      <c r="F50" s="69">
        <v>6.9252501245878105E-3</v>
      </c>
      <c r="G50" s="32"/>
      <c r="H50" s="29"/>
      <c r="I50" s="30"/>
      <c r="J50" s="31"/>
    </row>
    <row r="51" spans="2:14">
      <c r="B51" s="10" t="s">
        <v>26</v>
      </c>
      <c r="C51" s="32">
        <v>-1.1132863647463593</v>
      </c>
      <c r="D51" s="29">
        <v>0.67715833662464964</v>
      </c>
      <c r="E51" s="69">
        <v>-0.90165156552961445</v>
      </c>
      <c r="F51" s="69">
        <v>0.90796401707479846</v>
      </c>
      <c r="G51" s="32"/>
      <c r="H51" s="29"/>
      <c r="I51" s="30"/>
      <c r="J51" s="31"/>
    </row>
    <row r="52" spans="2:14">
      <c r="B52" s="10" t="s">
        <v>27</v>
      </c>
      <c r="C52" s="32">
        <v>0.1055009205559083</v>
      </c>
      <c r="D52" s="29">
        <v>2.3440155367420359</v>
      </c>
      <c r="E52" s="69">
        <v>0.19337172104678088</v>
      </c>
      <c r="F52" s="69">
        <v>2.0079519214412769</v>
      </c>
      <c r="G52" s="32"/>
      <c r="H52" s="29"/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9">
        <v>0</v>
      </c>
      <c r="F53" s="69">
        <v>0</v>
      </c>
      <c r="G53" s="32"/>
      <c r="H53" s="29"/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-6.4057420614602123E-2</v>
      </c>
      <c r="D58" s="29">
        <v>-0.31777198015450858</v>
      </c>
      <c r="E58" s="69">
        <v>-3.0930679789867587E-2</v>
      </c>
      <c r="F58" s="69">
        <v>-0.57151112854376906</v>
      </c>
      <c r="G58" s="32"/>
      <c r="H58" s="29"/>
      <c r="I58" s="30"/>
      <c r="J58" s="31"/>
    </row>
    <row r="59" spans="2:14">
      <c r="B59" s="11" t="s">
        <v>34</v>
      </c>
      <c r="C59" s="34">
        <v>1.021190953408424</v>
      </c>
      <c r="D59" s="29">
        <v>99.999999999999986</v>
      </c>
      <c r="E59" s="51">
        <v>3.3288434285919211</v>
      </c>
      <c r="F59" s="31">
        <v>100.00000000000003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1441.331787486999</v>
      </c>
      <c r="E60" s="25"/>
      <c r="F60" s="33">
        <v>4485.6174285949992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-0.77800830756574879</v>
      </c>
      <c r="D62" s="53">
        <v>60.663362800673411</v>
      </c>
      <c r="E62" s="69">
        <v>0.89822092495176731</v>
      </c>
      <c r="F62" s="69">
        <v>58.436097617395724</v>
      </c>
      <c r="G62" s="52"/>
      <c r="H62" s="53"/>
      <c r="I62" s="54"/>
      <c r="J62" s="55"/>
    </row>
    <row r="63" spans="2:14">
      <c r="B63" s="10" t="s">
        <v>36</v>
      </c>
      <c r="C63" s="32">
        <v>1.7991992609741729</v>
      </c>
      <c r="D63" s="29">
        <v>39.336637199326589</v>
      </c>
      <c r="E63" s="69">
        <v>2.4306225036401536</v>
      </c>
      <c r="F63" s="69">
        <v>41.563902382604283</v>
      </c>
      <c r="G63" s="32"/>
      <c r="H63" s="29"/>
      <c r="I63" s="30"/>
      <c r="J63" s="31"/>
    </row>
    <row r="64" spans="2:14">
      <c r="B64" s="11" t="s">
        <v>34</v>
      </c>
      <c r="C64" s="34">
        <v>1.021190953408424</v>
      </c>
      <c r="D64" s="34">
        <v>100</v>
      </c>
      <c r="E64" s="51">
        <v>3.3288434285919211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2.2004225825224952</v>
      </c>
      <c r="D66" s="53">
        <v>99.639716000841233</v>
      </c>
      <c r="E66" s="69">
        <v>4.2805182351328614</v>
      </c>
      <c r="F66" s="69">
        <v>99.678828448860784</v>
      </c>
      <c r="G66" s="52"/>
      <c r="H66" s="53"/>
      <c r="I66" s="54"/>
      <c r="J66" s="55"/>
    </row>
    <row r="67" spans="2:10">
      <c r="B67" s="10" t="s">
        <v>38</v>
      </c>
      <c r="C67" s="32">
        <v>-1.1792316291140714</v>
      </c>
      <c r="D67" s="29">
        <v>0.3602839991587643</v>
      </c>
      <c r="E67" s="69">
        <v>-0.95167480654094216</v>
      </c>
      <c r="F67" s="69">
        <v>0.32117155113920842</v>
      </c>
      <c r="G67" s="32"/>
      <c r="H67" s="29"/>
      <c r="I67" s="30"/>
      <c r="J67" s="31"/>
    </row>
    <row r="68" spans="2:10">
      <c r="B68" s="11" t="s">
        <v>34</v>
      </c>
      <c r="C68" s="34">
        <v>1.0211909534084238</v>
      </c>
      <c r="D68" s="34">
        <v>100</v>
      </c>
      <c r="E68" s="51">
        <v>3.3288434285919193</v>
      </c>
      <c r="F68" s="57">
        <v>99.999999999999986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 s="12"/>
      <c r="C74" s="13" t="b">
        <v>0</v>
      </c>
      <c r="D74" s="13"/>
      <c r="E74" s="13"/>
      <c r="F74" s="13"/>
      <c r="G74" s="13"/>
      <c r="H74" s="13"/>
      <c r="I74" s="13"/>
      <c r="J74" s="13"/>
    </row>
    <row r="75" spans="2:10">
      <c r="B75" s="12"/>
      <c r="C75" s="13" t="b">
        <v>1</v>
      </c>
      <c r="D75" s="56"/>
      <c r="E75" s="56"/>
      <c r="F75" s="56"/>
      <c r="G75" s="56"/>
      <c r="H75" s="56"/>
      <c r="I75" s="56"/>
      <c r="J75" s="56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zoomScale="85" zoomScaleNormal="85" workbookViewId="0">
      <selection activeCell="B3" sqref="B3:C3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61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-1.6859928699106148E-3</v>
      </c>
      <c r="D7" s="29">
        <v>2.9186685642813308</v>
      </c>
      <c r="E7" s="30">
        <v>-8.5170778562633255E-3</v>
      </c>
      <c r="F7" s="31">
        <v>3.2870091714899718</v>
      </c>
      <c r="G7" s="32">
        <v>4.9429756298198764E-3</v>
      </c>
      <c r="H7" s="29">
        <v>2.5478155776885414</v>
      </c>
      <c r="I7" s="30">
        <v>4.5489260524175816E-3</v>
      </c>
      <c r="J7" s="31">
        <v>1.4271106882634836</v>
      </c>
      <c r="K7" s="32">
        <v>-2.548954406787715E-3</v>
      </c>
      <c r="L7" s="29">
        <v>4.0645398288165016</v>
      </c>
      <c r="M7" s="30">
        <v>-1.0956261534017943E-2</v>
      </c>
      <c r="N7" s="31">
        <v>2.3519704275694595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0</v>
      </c>
      <c r="D8" s="29">
        <v>0</v>
      </c>
      <c r="E8" s="30">
        <v>0</v>
      </c>
      <c r="F8" s="31">
        <v>0</v>
      </c>
      <c r="G8" s="32">
        <v>0</v>
      </c>
      <c r="H8" s="29">
        <v>0</v>
      </c>
      <c r="I8" s="30">
        <v>0</v>
      </c>
      <c r="J8" s="31">
        <v>0</v>
      </c>
      <c r="K8" s="32">
        <v>0</v>
      </c>
      <c r="L8" s="29">
        <v>0</v>
      </c>
      <c r="M8" s="30">
        <v>0</v>
      </c>
      <c r="N8" s="31">
        <v>0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-7.6505598289973151E-2</v>
      </c>
      <c r="D13" s="29">
        <v>38.769606135758693</v>
      </c>
      <c r="E13" s="30">
        <v>0.55325053191541607</v>
      </c>
      <c r="F13" s="31">
        <v>40.86045154691201</v>
      </c>
      <c r="G13" s="32">
        <v>-9.4387918266291213E-2</v>
      </c>
      <c r="H13" s="29">
        <v>37.854634878298157</v>
      </c>
      <c r="I13" s="30">
        <v>6.7000430327859573E-2</v>
      </c>
      <c r="J13" s="31">
        <v>37.029162420415219</v>
      </c>
      <c r="K13" s="32">
        <v>0.27788175585784536</v>
      </c>
      <c r="L13" s="29">
        <v>34.60308611837776</v>
      </c>
      <c r="M13" s="30">
        <v>-0.32388007835598964</v>
      </c>
      <c r="N13" s="31">
        <v>36.100842193286127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8.8623137326813359E-2</v>
      </c>
      <c r="D14" s="29">
        <v>54.854270492295186</v>
      </c>
      <c r="E14" s="30">
        <v>-0.25204742684928644</v>
      </c>
      <c r="F14" s="31">
        <v>52.457620532936325</v>
      </c>
      <c r="G14" s="32">
        <v>7.2495871662119196E-2</v>
      </c>
      <c r="H14" s="29">
        <v>56.251252968626794</v>
      </c>
      <c r="I14" s="30">
        <v>0.74432332347717478</v>
      </c>
      <c r="J14" s="31">
        <v>58.139807179324301</v>
      </c>
      <c r="K14" s="32">
        <v>0.89356320797517963</v>
      </c>
      <c r="L14" s="29">
        <v>57.918124975397944</v>
      </c>
      <c r="M14" s="30">
        <v>-0.95142577864715461</v>
      </c>
      <c r="N14" s="31">
        <v>58.093802597605183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1.6550305145849924E-2</v>
      </c>
      <c r="D15" s="29">
        <v>3.4574548076647922</v>
      </c>
      <c r="E15" s="30">
        <v>-5.4594044340628874E-2</v>
      </c>
      <c r="F15" s="31">
        <v>3.3949187486616932</v>
      </c>
      <c r="G15" s="32">
        <v>-6.4978129139928948E-3</v>
      </c>
      <c r="H15" s="29">
        <v>3.3462965753864848</v>
      </c>
      <c r="I15" s="30">
        <v>4.4709914189658181E-2</v>
      </c>
      <c r="J15" s="31">
        <v>3.4039197119969944</v>
      </c>
      <c r="K15" s="32">
        <v>5.6623757398419322E-2</v>
      </c>
      <c r="L15" s="29">
        <v>3.4142490774077938</v>
      </c>
      <c r="M15" s="30">
        <v>-1.2835330828875485E-2</v>
      </c>
      <c r="N15" s="31">
        <v>3.453384781539222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2.6981851312779519E-2</v>
      </c>
      <c r="D26" s="41">
        <v>100</v>
      </c>
      <c r="E26" s="42">
        <v>0.23809198286923744</v>
      </c>
      <c r="F26" s="37">
        <v>100</v>
      </c>
      <c r="G26" s="43">
        <v>-2.3446883888345031E-2</v>
      </c>
      <c r="H26" s="41">
        <v>99.999999999999986</v>
      </c>
      <c r="I26" s="42">
        <v>0.86058259404711013</v>
      </c>
      <c r="J26" s="37">
        <v>100</v>
      </c>
      <c r="K26" s="41">
        <v>1.2255197668246567</v>
      </c>
      <c r="L26" s="41">
        <v>100</v>
      </c>
      <c r="M26" s="42">
        <v>-1.2990974493660377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63"/>
      <c r="D27" s="58">
        <v>101.95854192599992</v>
      </c>
      <c r="E27" s="59"/>
      <c r="F27" s="58">
        <v>241.05299997600005</v>
      </c>
      <c r="G27" s="60"/>
      <c r="H27" s="58">
        <v>-120.32300000100007</v>
      </c>
      <c r="I27" s="59"/>
      <c r="J27" s="58">
        <v>994.91700017599965</v>
      </c>
      <c r="K27" s="60"/>
      <c r="L27" s="58">
        <v>1259.6779999400005</v>
      </c>
      <c r="M27" s="47"/>
      <c r="N27" s="58">
        <v>-1392.3820000589992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2.3308855052550072E-2</v>
      </c>
      <c r="D29" s="29">
        <v>35.250562213678009</v>
      </c>
      <c r="E29" s="30">
        <v>-0.23889697175376159</v>
      </c>
      <c r="F29" s="31">
        <v>35.290272334819363</v>
      </c>
      <c r="G29" s="29">
        <v>8.4286639881818268E-2</v>
      </c>
      <c r="H29" s="29">
        <v>34.773985109129875</v>
      </c>
      <c r="I29" s="30">
        <v>0.56300377102079213</v>
      </c>
      <c r="J29" s="31">
        <v>34.337762705519417</v>
      </c>
      <c r="K29" s="32">
        <v>0.37779006688111133</v>
      </c>
      <c r="L29" s="29">
        <v>36.931573453378682</v>
      </c>
      <c r="M29" s="30">
        <v>-0.42713372325595117</v>
      </c>
      <c r="N29" s="31">
        <v>35.258943141789267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3.6729962602294534E-3</v>
      </c>
      <c r="D30" s="29">
        <v>64.749437786321977</v>
      </c>
      <c r="E30" s="30">
        <v>0.47698895462299901</v>
      </c>
      <c r="F30" s="31">
        <v>64.709727665180637</v>
      </c>
      <c r="G30" s="29">
        <v>-0.10773352377016332</v>
      </c>
      <c r="H30" s="29">
        <v>65.226014890870132</v>
      </c>
      <c r="I30" s="31">
        <v>0.297578823026318</v>
      </c>
      <c r="J30" s="31">
        <v>65.662237294480576</v>
      </c>
      <c r="K30" s="32">
        <v>0.84772969994354519</v>
      </c>
      <c r="L30" s="29">
        <v>63.068426546621325</v>
      </c>
      <c r="M30" s="30">
        <v>-0.87196372611008655</v>
      </c>
      <c r="N30" s="31">
        <v>64.741056858210726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2.6981851312779526E-2</v>
      </c>
      <c r="D31" s="41">
        <v>99.999999999999986</v>
      </c>
      <c r="E31" s="37">
        <v>0.23809198286923741</v>
      </c>
      <c r="F31" s="37">
        <v>100</v>
      </c>
      <c r="G31" s="41">
        <v>-2.3446883888345052E-2</v>
      </c>
      <c r="H31" s="41">
        <v>100</v>
      </c>
      <c r="I31" s="37">
        <v>0.86058259404711013</v>
      </c>
      <c r="J31" s="37">
        <v>100</v>
      </c>
      <c r="K31" s="41">
        <v>1.2255197668246565</v>
      </c>
      <c r="L31" s="41">
        <v>100</v>
      </c>
      <c r="M31" s="37">
        <v>-1.2990974493660377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64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2.6981851312779526E-2</v>
      </c>
      <c r="D33" s="29">
        <v>100</v>
      </c>
      <c r="E33" s="30">
        <v>0.23809198286923738</v>
      </c>
      <c r="F33" s="31">
        <v>100</v>
      </c>
      <c r="G33" s="29">
        <v>-2.3446883888345038E-2</v>
      </c>
      <c r="H33" s="29">
        <v>100</v>
      </c>
      <c r="I33" s="30">
        <v>0.86058259404711013</v>
      </c>
      <c r="J33" s="31">
        <v>100</v>
      </c>
      <c r="K33" s="32">
        <v>1.2255197668246565</v>
      </c>
      <c r="L33" s="29">
        <v>100</v>
      </c>
      <c r="M33" s="30">
        <v>-1.2990974493660379</v>
      </c>
      <c r="N33" s="31">
        <v>100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0</v>
      </c>
      <c r="E34" s="30">
        <v>0</v>
      </c>
      <c r="F34" s="31">
        <v>0</v>
      </c>
      <c r="G34" s="29">
        <v>0</v>
      </c>
      <c r="H34" s="29">
        <v>0</v>
      </c>
      <c r="I34" s="31">
        <v>0</v>
      </c>
      <c r="J34" s="31">
        <v>0</v>
      </c>
      <c r="K34" s="32">
        <v>0</v>
      </c>
      <c r="L34" s="29">
        <v>0</v>
      </c>
      <c r="M34" s="30">
        <v>0</v>
      </c>
      <c r="N34" s="31">
        <v>0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2.6981851312779526E-2</v>
      </c>
      <c r="D35" s="41">
        <v>100</v>
      </c>
      <c r="E35" s="37">
        <v>0.23809198286923738</v>
      </c>
      <c r="F35" s="37">
        <v>100</v>
      </c>
      <c r="G35" s="41">
        <v>-2.3446883888345038E-2</v>
      </c>
      <c r="H35" s="41">
        <v>100</v>
      </c>
      <c r="I35" s="37">
        <v>0.86058259404711013</v>
      </c>
      <c r="J35" s="37">
        <v>100</v>
      </c>
      <c r="K35" s="41">
        <v>1.2255197668246565</v>
      </c>
      <c r="L35" s="41">
        <v>100</v>
      </c>
      <c r="M35" s="37">
        <v>-1.2990974493660379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1.1254176928166E-2</v>
      </c>
      <c r="D40" s="29">
        <v>2.5478155776885414</v>
      </c>
      <c r="E40" s="69">
        <v>1.1849037426384594E-3</v>
      </c>
      <c r="F40" s="69">
        <v>2.3519704275694595</v>
      </c>
      <c r="G40" s="32"/>
      <c r="H40" s="29"/>
      <c r="I40" s="30"/>
      <c r="J40" s="31"/>
    </row>
    <row r="41" spans="2:26">
      <c r="B41" s="10" t="s">
        <v>7</v>
      </c>
      <c r="C41" s="32">
        <v>0</v>
      </c>
      <c r="D41" s="29">
        <v>0</v>
      </c>
      <c r="E41" s="69">
        <v>0</v>
      </c>
      <c r="F41" s="69">
        <v>0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9">
        <v>0</v>
      </c>
      <c r="F44" s="69">
        <v>0</v>
      </c>
      <c r="G44" s="32"/>
      <c r="H44" s="29"/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9">
        <v>0</v>
      </c>
      <c r="F45" s="69">
        <v>0</v>
      </c>
      <c r="G45" s="32"/>
      <c r="H45" s="29"/>
      <c r="I45" s="30"/>
      <c r="J45" s="31"/>
    </row>
    <row r="46" spans="2:26">
      <c r="B46" s="10" t="s">
        <v>17</v>
      </c>
      <c r="C46" s="32">
        <v>-0.23148535536588277</v>
      </c>
      <c r="D46" s="29">
        <v>37.854634878298157</v>
      </c>
      <c r="E46" s="69">
        <v>-0.18445531124853859</v>
      </c>
      <c r="F46" s="69">
        <v>36.100842193286127</v>
      </c>
      <c r="G46" s="32"/>
      <c r="H46" s="29"/>
      <c r="I46" s="30"/>
      <c r="J46" s="31"/>
    </row>
    <row r="47" spans="2:26">
      <c r="B47" s="10" t="s">
        <v>19</v>
      </c>
      <c r="C47" s="32">
        <v>0.49015623400673619</v>
      </c>
      <c r="D47" s="29">
        <v>56.251252968626794</v>
      </c>
      <c r="E47" s="69">
        <v>1.131609745728283</v>
      </c>
      <c r="F47" s="69">
        <v>58.093802597605183</v>
      </c>
      <c r="G47" s="32"/>
      <c r="H47" s="29"/>
      <c r="I47" s="30"/>
      <c r="J47" s="31"/>
    </row>
    <row r="48" spans="2:26">
      <c r="B48" s="10" t="s">
        <v>21</v>
      </c>
      <c r="C48" s="32">
        <v>-2.8296030267326678E-2</v>
      </c>
      <c r="D48" s="29">
        <v>3.3462965753864848</v>
      </c>
      <c r="E48" s="69">
        <v>6.5464997314100423E-2</v>
      </c>
      <c r="F48" s="69">
        <v>3.453384781539222</v>
      </c>
      <c r="G48" s="32"/>
      <c r="H48" s="29"/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9">
        <v>0</v>
      </c>
      <c r="F49" s="69">
        <v>0</v>
      </c>
      <c r="G49" s="32"/>
      <c r="H49" s="29"/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9">
        <v>0</v>
      </c>
      <c r="F50" s="69">
        <v>0</v>
      </c>
      <c r="G50" s="32"/>
      <c r="H50" s="29"/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9">
        <v>0</v>
      </c>
      <c r="F51" s="69">
        <v>0</v>
      </c>
      <c r="G51" s="32"/>
      <c r="H51" s="29"/>
      <c r="I51" s="30"/>
      <c r="J51" s="31"/>
    </row>
    <row r="52" spans="2:14">
      <c r="B52" s="10" t="s">
        <v>27</v>
      </c>
      <c r="C52" s="32">
        <v>0</v>
      </c>
      <c r="D52" s="29">
        <v>0</v>
      </c>
      <c r="E52" s="69">
        <v>0</v>
      </c>
      <c r="F52" s="69">
        <v>0</v>
      </c>
      <c r="G52" s="32"/>
      <c r="H52" s="29"/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9">
        <v>0</v>
      </c>
      <c r="F53" s="69">
        <v>0</v>
      </c>
      <c r="G53" s="32"/>
      <c r="H53" s="29"/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9">
        <v>0</v>
      </c>
      <c r="F58" s="69">
        <v>0</v>
      </c>
      <c r="G58" s="32"/>
      <c r="H58" s="29"/>
      <c r="I58" s="30"/>
      <c r="J58" s="31"/>
    </row>
    <row r="59" spans="2:14">
      <c r="B59" s="11" t="s">
        <v>34</v>
      </c>
      <c r="C59" s="34">
        <v>0.24162902530169283</v>
      </c>
      <c r="D59" s="29">
        <v>99.999999999999986</v>
      </c>
      <c r="E59" s="51">
        <v>1.0138043355364834</v>
      </c>
      <c r="F59" s="31">
        <v>100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222.68854190099989</v>
      </c>
      <c r="E60" s="25"/>
      <c r="F60" s="33">
        <v>1084.9015419580007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0.30245555864994061</v>
      </c>
      <c r="D62" s="53">
        <v>34.773985109129875</v>
      </c>
      <c r="E62" s="69">
        <v>0.80378065806319177</v>
      </c>
      <c r="F62" s="69">
        <v>35.258943141789267</v>
      </c>
      <c r="G62" s="52"/>
      <c r="H62" s="53"/>
      <c r="I62" s="54"/>
      <c r="J62" s="55"/>
    </row>
    <row r="63" spans="2:14">
      <c r="B63" s="10" t="s">
        <v>36</v>
      </c>
      <c r="C63" s="32">
        <v>-6.0826533348247884E-2</v>
      </c>
      <c r="D63" s="29">
        <v>65.226014890870132</v>
      </c>
      <c r="E63" s="69">
        <v>0.21002367747329134</v>
      </c>
      <c r="F63" s="69">
        <v>64.741056858210726</v>
      </c>
      <c r="G63" s="32"/>
      <c r="H63" s="29"/>
      <c r="I63" s="30"/>
      <c r="J63" s="31"/>
    </row>
    <row r="64" spans="2:14">
      <c r="B64" s="11" t="s">
        <v>34</v>
      </c>
      <c r="C64" s="34">
        <v>0.24162902530169272</v>
      </c>
      <c r="D64" s="34">
        <v>100</v>
      </c>
      <c r="E64" s="51">
        <v>1.0138043355364832</v>
      </c>
      <c r="F64" s="57">
        <v>100</v>
      </c>
      <c r="G64" s="32"/>
      <c r="H64" s="39"/>
      <c r="I64" s="40"/>
      <c r="J64" s="37"/>
    </row>
    <row r="65" spans="2:10">
      <c r="B65" s="12"/>
      <c r="C65" s="13" t="b">
        <v>1</v>
      </c>
      <c r="D65" s="13" t="b">
        <v>1</v>
      </c>
      <c r="E65" s="13" t="b">
        <v>1</v>
      </c>
      <c r="F65" s="13" t="b">
        <v>1</v>
      </c>
      <c r="G65" s="56"/>
      <c r="H65" s="56"/>
      <c r="I65" s="56"/>
      <c r="J65" s="56"/>
    </row>
    <row r="66" spans="2:10">
      <c r="B66" s="9"/>
      <c r="C66" s="32"/>
      <c r="D66" s="53"/>
      <c r="E66" s="69"/>
      <c r="F66" s="69"/>
      <c r="G66" s="52"/>
      <c r="H66" s="53"/>
      <c r="I66" s="54"/>
      <c r="J66" s="55"/>
    </row>
    <row r="67" spans="2:10">
      <c r="B67" s="10" t="s">
        <v>38</v>
      </c>
      <c r="C67" s="32">
        <v>0</v>
      </c>
      <c r="D67" s="29">
        <v>0</v>
      </c>
      <c r="E67" s="69">
        <v>0</v>
      </c>
      <c r="F67" s="69">
        <v>0</v>
      </c>
      <c r="G67" s="32"/>
      <c r="H67" s="29"/>
      <c r="I67" s="30"/>
      <c r="J67" s="31"/>
    </row>
    <row r="68" spans="2:10">
      <c r="B68" s="11" t="s">
        <v>34</v>
      </c>
      <c r="C68" s="34">
        <v>0.24162902530169283</v>
      </c>
      <c r="D68" s="34">
        <v>100</v>
      </c>
      <c r="E68" s="51">
        <v>1.0138043355364827</v>
      </c>
      <c r="F68" s="57">
        <v>100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B1" sqref="B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51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-4.4624982815571826E-6</v>
      </c>
      <c r="D7" s="29">
        <v>1.8487643047140043</v>
      </c>
      <c r="E7" s="30">
        <v>-4.9258139831492348E-5</v>
      </c>
      <c r="F7" s="31">
        <v>1.9414471471818291</v>
      </c>
      <c r="G7" s="32">
        <v>-3.3025945420937687E-5</v>
      </c>
      <c r="H7" s="29">
        <v>2.7954025419761854</v>
      </c>
      <c r="I7" s="30">
        <v>-3.8943627148860936E-5</v>
      </c>
      <c r="J7" s="31">
        <v>1.852233731954269</v>
      </c>
      <c r="K7" s="32">
        <v>-2.4969731086323446E-5</v>
      </c>
      <c r="L7" s="29">
        <v>1.6249016233012517</v>
      </c>
      <c r="M7" s="30">
        <v>1.3503374593992019E-4</v>
      </c>
      <c r="N7" s="31">
        <v>1.5962634744016169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-0.11203690689007395</v>
      </c>
      <c r="D8" s="29">
        <v>95.970809654939018</v>
      </c>
      <c r="E8" s="30">
        <v>0.15046751431639632</v>
      </c>
      <c r="F8" s="31">
        <v>95.713861906188697</v>
      </c>
      <c r="G8" s="32">
        <v>0.48780529782093102</v>
      </c>
      <c r="H8" s="29">
        <v>94.94211623923465</v>
      </c>
      <c r="I8" s="30">
        <v>1.1569979135509995E-2</v>
      </c>
      <c r="J8" s="31">
        <v>95.915995259355114</v>
      </c>
      <c r="K8" s="32">
        <v>0.62178876842817576</v>
      </c>
      <c r="L8" s="29">
        <v>96.173591462671951</v>
      </c>
      <c r="M8" s="30">
        <v>-5.522094157373432E-2</v>
      </c>
      <c r="N8" s="31">
        <v>96.034270224870738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0</v>
      </c>
      <c r="D13" s="29">
        <v>0</v>
      </c>
      <c r="E13" s="30">
        <v>0</v>
      </c>
      <c r="F13" s="31">
        <v>0</v>
      </c>
      <c r="G13" s="32">
        <v>0</v>
      </c>
      <c r="H13" s="29">
        <v>0</v>
      </c>
      <c r="I13" s="30">
        <v>0</v>
      </c>
      <c r="J13" s="31">
        <v>0</v>
      </c>
      <c r="K13" s="32">
        <v>0</v>
      </c>
      <c r="L13" s="29">
        <v>0</v>
      </c>
      <c r="M13" s="30">
        <v>0</v>
      </c>
      <c r="N13" s="31">
        <v>0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2.5370675472214359E-4</v>
      </c>
      <c r="D14" s="29">
        <v>2.1804260403469731</v>
      </c>
      <c r="E14" s="30">
        <v>3.5170686754131268E-4</v>
      </c>
      <c r="F14" s="31">
        <v>2.3446909466294739</v>
      </c>
      <c r="G14" s="32">
        <v>4.3480528124474345E-4</v>
      </c>
      <c r="H14" s="29">
        <v>2.2624812187891528</v>
      </c>
      <c r="I14" s="30">
        <v>4.12884833689028E-4</v>
      </c>
      <c r="J14" s="31">
        <v>2.2317710086906044</v>
      </c>
      <c r="K14" s="32">
        <v>5.2589601678396125E-4</v>
      </c>
      <c r="L14" s="29">
        <v>2.2015069140268095</v>
      </c>
      <c r="M14" s="30">
        <v>4.1480145784209373E-4</v>
      </c>
      <c r="N14" s="31">
        <v>2.3694663007276549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</v>
      </c>
      <c r="F15" s="31">
        <v>0</v>
      </c>
      <c r="G15" s="32">
        <v>0</v>
      </c>
      <c r="H15" s="29">
        <v>0</v>
      </c>
      <c r="I15" s="30">
        <v>0</v>
      </c>
      <c r="J15" s="31">
        <v>0</v>
      </c>
      <c r="K15" s="32">
        <v>0</v>
      </c>
      <c r="L15" s="29">
        <v>0</v>
      </c>
      <c r="M15" s="30">
        <v>0</v>
      </c>
      <c r="N15" s="31">
        <v>0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-0.11178766263363336</v>
      </c>
      <c r="D26" s="41">
        <v>100</v>
      </c>
      <c r="E26" s="42">
        <v>0.15076996304410614</v>
      </c>
      <c r="F26" s="37">
        <v>100</v>
      </c>
      <c r="G26" s="43">
        <v>0.48820707715675482</v>
      </c>
      <c r="H26" s="41">
        <v>99.999999999999986</v>
      </c>
      <c r="I26" s="42">
        <v>1.1943920342050163E-2</v>
      </c>
      <c r="J26" s="37">
        <v>99.999999999999986</v>
      </c>
      <c r="K26" s="41">
        <v>0.62228969471387341</v>
      </c>
      <c r="L26" s="41">
        <v>100.00000000000001</v>
      </c>
      <c r="M26" s="42">
        <v>-5.4671106369952302E-2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46"/>
      <c r="D27" s="49">
        <v>-175.81654713699999</v>
      </c>
      <c r="E27" s="47"/>
      <c r="F27" s="49">
        <v>226.79609693500001</v>
      </c>
      <c r="G27" s="48"/>
      <c r="H27" s="49">
        <v>716.75259073300003</v>
      </c>
      <c r="I27" s="47"/>
      <c r="J27" s="49">
        <v>13.946911667</v>
      </c>
      <c r="K27" s="48"/>
      <c r="L27" s="49">
        <v>890.84874287699995</v>
      </c>
      <c r="M27" s="47"/>
      <c r="N27" s="49">
        <v>-64.714039590000027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-0.11178766263363338</v>
      </c>
      <c r="D29" s="29">
        <v>100</v>
      </c>
      <c r="E29" s="30">
        <v>0.15076996304410617</v>
      </c>
      <c r="F29" s="31">
        <v>100</v>
      </c>
      <c r="G29" s="29">
        <v>0.48820707715675482</v>
      </c>
      <c r="H29" s="29">
        <v>100</v>
      </c>
      <c r="I29" s="30">
        <v>1.1943920342050163E-2</v>
      </c>
      <c r="J29" s="31">
        <v>100</v>
      </c>
      <c r="K29" s="32">
        <v>0.62228969471387341</v>
      </c>
      <c r="L29" s="29">
        <v>100</v>
      </c>
      <c r="M29" s="30">
        <v>-5.4671106369952316E-2</v>
      </c>
      <c r="N29" s="31">
        <v>100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0</v>
      </c>
      <c r="D30" s="29">
        <v>0</v>
      </c>
      <c r="E30" s="30">
        <v>0</v>
      </c>
      <c r="F30" s="31">
        <v>0</v>
      </c>
      <c r="G30" s="29">
        <v>0</v>
      </c>
      <c r="H30" s="29">
        <v>0</v>
      </c>
      <c r="I30" s="31">
        <v>0</v>
      </c>
      <c r="J30" s="31">
        <v>0</v>
      </c>
      <c r="K30" s="32">
        <v>0</v>
      </c>
      <c r="L30" s="29">
        <v>0</v>
      </c>
      <c r="M30" s="30">
        <v>0</v>
      </c>
      <c r="N30" s="31">
        <v>0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-0.11178766263363338</v>
      </c>
      <c r="D31" s="41">
        <v>100</v>
      </c>
      <c r="E31" s="37">
        <v>0.15076996304410617</v>
      </c>
      <c r="F31" s="37">
        <v>100</v>
      </c>
      <c r="G31" s="41">
        <v>0.48820707715675482</v>
      </c>
      <c r="H31" s="41">
        <v>100</v>
      </c>
      <c r="I31" s="37">
        <v>1.1943920342050163E-2</v>
      </c>
      <c r="J31" s="37">
        <v>100</v>
      </c>
      <c r="K31" s="41">
        <v>0.62228969471387341</v>
      </c>
      <c r="L31" s="41">
        <v>100</v>
      </c>
      <c r="M31" s="37">
        <v>-5.4671106369952316E-2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-0.11178766263363338</v>
      </c>
      <c r="D33" s="29">
        <v>100</v>
      </c>
      <c r="E33" s="30">
        <v>0.15076996304410617</v>
      </c>
      <c r="F33" s="31">
        <v>100</v>
      </c>
      <c r="G33" s="29">
        <v>0.48820707715675482</v>
      </c>
      <c r="H33" s="29">
        <v>100</v>
      </c>
      <c r="I33" s="30">
        <v>1.1943920342050163E-2</v>
      </c>
      <c r="J33" s="31">
        <v>100</v>
      </c>
      <c r="K33" s="32">
        <v>0.62228969471387341</v>
      </c>
      <c r="L33" s="29">
        <v>100</v>
      </c>
      <c r="M33" s="30">
        <v>-5.4671106369952316E-2</v>
      </c>
      <c r="N33" s="31">
        <v>100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0</v>
      </c>
      <c r="E34" s="30">
        <v>0</v>
      </c>
      <c r="F34" s="31">
        <v>0</v>
      </c>
      <c r="G34" s="29">
        <v>0</v>
      </c>
      <c r="H34" s="29">
        <v>0</v>
      </c>
      <c r="I34" s="31">
        <v>0</v>
      </c>
      <c r="J34" s="31">
        <v>0</v>
      </c>
      <c r="K34" s="32">
        <v>0</v>
      </c>
      <c r="L34" s="29">
        <v>0</v>
      </c>
      <c r="M34" s="30">
        <v>0</v>
      </c>
      <c r="N34" s="31">
        <v>0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-0.11178766263363338</v>
      </c>
      <c r="D35" s="41">
        <v>100</v>
      </c>
      <c r="E35" s="37">
        <v>0.15076996304410617</v>
      </c>
      <c r="F35" s="37">
        <v>100</v>
      </c>
      <c r="G35" s="41">
        <v>0.48820707715675482</v>
      </c>
      <c r="H35" s="41">
        <v>100</v>
      </c>
      <c r="I35" s="37">
        <v>1.1943920342050163E-2</v>
      </c>
      <c r="J35" s="37">
        <v>100</v>
      </c>
      <c r="K35" s="41">
        <v>0.62228969471387341</v>
      </c>
      <c r="L35" s="41">
        <v>100</v>
      </c>
      <c r="M35" s="37">
        <v>-5.4671106369952316E-2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-8.8998904290733607E-5</v>
      </c>
      <c r="D40" s="29">
        <v>2.7954025419761854</v>
      </c>
      <c r="E40" s="69">
        <v>-3.5183322258434508E-5</v>
      </c>
      <c r="F40" s="69">
        <v>1.5962634744016169</v>
      </c>
      <c r="G40" s="32"/>
      <c r="H40" s="29"/>
      <c r="I40" s="30"/>
      <c r="J40" s="31"/>
    </row>
    <row r="41" spans="2:26">
      <c r="B41" s="10" t="s">
        <v>7</v>
      </c>
      <c r="C41" s="32">
        <v>0.52622364019106416</v>
      </c>
      <c r="D41" s="29">
        <v>94.94211623923465</v>
      </c>
      <c r="E41" s="69">
        <v>1.1073175416636609</v>
      </c>
      <c r="F41" s="69">
        <v>96.034270224870738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9">
        <v>0</v>
      </c>
      <c r="F44" s="69">
        <v>0</v>
      </c>
      <c r="G44" s="32"/>
      <c r="H44" s="29"/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9">
        <v>0</v>
      </c>
      <c r="F45" s="69">
        <v>0</v>
      </c>
      <c r="G45" s="32"/>
      <c r="H45" s="29"/>
      <c r="I45" s="30"/>
      <c r="J45" s="31"/>
    </row>
    <row r="46" spans="2:26">
      <c r="B46" s="10" t="s">
        <v>17</v>
      </c>
      <c r="C46" s="32">
        <v>0</v>
      </c>
      <c r="D46" s="29">
        <v>0</v>
      </c>
      <c r="E46" s="69">
        <v>0</v>
      </c>
      <c r="F46" s="69">
        <v>0</v>
      </c>
      <c r="G46" s="32"/>
      <c r="H46" s="29"/>
      <c r="I46" s="30"/>
      <c r="J46" s="31"/>
    </row>
    <row r="47" spans="2:26">
      <c r="B47" s="10" t="s">
        <v>19</v>
      </c>
      <c r="C47" s="32">
        <v>1.0756855772293551E-3</v>
      </c>
      <c r="D47" s="29">
        <v>2.2624812187891528</v>
      </c>
      <c r="E47" s="69">
        <v>2.2720967978918736E-3</v>
      </c>
      <c r="F47" s="69">
        <v>2.3694663007276549</v>
      </c>
      <c r="G47" s="32"/>
      <c r="H47" s="29"/>
      <c r="I47" s="30"/>
      <c r="J47" s="31"/>
    </row>
    <row r="48" spans="2:26">
      <c r="B48" s="10" t="s">
        <v>21</v>
      </c>
      <c r="C48" s="32">
        <v>0</v>
      </c>
      <c r="D48" s="29">
        <v>0</v>
      </c>
      <c r="E48" s="69">
        <v>0</v>
      </c>
      <c r="F48" s="69">
        <v>0</v>
      </c>
      <c r="G48" s="32"/>
      <c r="H48" s="29"/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9">
        <v>0</v>
      </c>
      <c r="F49" s="69">
        <v>0</v>
      </c>
      <c r="G49" s="32"/>
      <c r="H49" s="29"/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9">
        <v>0</v>
      </c>
      <c r="F50" s="69">
        <v>0</v>
      </c>
      <c r="G50" s="32"/>
      <c r="H50" s="29"/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9">
        <v>0</v>
      </c>
      <c r="F51" s="69">
        <v>0</v>
      </c>
      <c r="G51" s="32"/>
      <c r="H51" s="29"/>
      <c r="I51" s="30"/>
      <c r="J51" s="31"/>
    </row>
    <row r="52" spans="2:14">
      <c r="B52" s="10" t="s">
        <v>27</v>
      </c>
      <c r="C52" s="32">
        <v>0</v>
      </c>
      <c r="D52" s="29">
        <v>0</v>
      </c>
      <c r="E52" s="69">
        <v>0</v>
      </c>
      <c r="F52" s="69">
        <v>0</v>
      </c>
      <c r="G52" s="32"/>
      <c r="H52" s="29"/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9">
        <v>0</v>
      </c>
      <c r="F53" s="69">
        <v>0</v>
      </c>
      <c r="G53" s="32"/>
      <c r="H53" s="29"/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9">
        <v>0</v>
      </c>
      <c r="F58" s="69">
        <v>0</v>
      </c>
      <c r="G58" s="32"/>
      <c r="H58" s="29"/>
      <c r="I58" s="30"/>
      <c r="J58" s="31"/>
    </row>
    <row r="59" spans="2:14">
      <c r="B59" s="11" t="s">
        <v>34</v>
      </c>
      <c r="C59" s="34">
        <v>0.52721032686400271</v>
      </c>
      <c r="D59" s="29">
        <v>99.999999999999986</v>
      </c>
      <c r="E59" s="51">
        <v>1.1095544551392944</v>
      </c>
      <c r="F59" s="31">
        <v>100.00000000000001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19">
        <v>767.73214053100003</v>
      </c>
      <c r="E60" s="25"/>
      <c r="F60" s="33">
        <v>1607.813755485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0.52721032686400282</v>
      </c>
      <c r="D62" s="53">
        <v>100</v>
      </c>
      <c r="E62" s="69">
        <v>1.1095544551392944</v>
      </c>
      <c r="F62" s="69">
        <v>100</v>
      </c>
      <c r="G62" s="52"/>
      <c r="H62" s="53"/>
      <c r="I62" s="54"/>
      <c r="J62" s="55"/>
    </row>
    <row r="63" spans="2:14">
      <c r="B63" s="10" t="s">
        <v>36</v>
      </c>
      <c r="C63" s="32">
        <v>0</v>
      </c>
      <c r="D63" s="29">
        <v>0</v>
      </c>
      <c r="E63" s="69">
        <v>0</v>
      </c>
      <c r="F63" s="69">
        <v>0</v>
      </c>
      <c r="G63" s="32"/>
      <c r="H63" s="29"/>
      <c r="I63" s="30"/>
      <c r="J63" s="31"/>
    </row>
    <row r="64" spans="2:14" ht="15.75" customHeight="1">
      <c r="B64" s="11" t="s">
        <v>34</v>
      </c>
      <c r="C64" s="34">
        <v>0.52721032686400282</v>
      </c>
      <c r="D64" s="34">
        <v>100</v>
      </c>
      <c r="E64" s="51">
        <v>1.1095544551392944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0.52721032686400282</v>
      </c>
      <c r="D66" s="53">
        <v>100</v>
      </c>
      <c r="E66" s="69">
        <v>1.1095544551392944</v>
      </c>
      <c r="F66" s="69">
        <v>100</v>
      </c>
      <c r="G66" s="52"/>
      <c r="H66" s="53"/>
      <c r="I66" s="54"/>
      <c r="J66" s="55"/>
    </row>
    <row r="67" spans="2:10">
      <c r="B67" s="10" t="s">
        <v>38</v>
      </c>
      <c r="C67" s="32">
        <v>0</v>
      </c>
      <c r="D67" s="29">
        <v>0</v>
      </c>
      <c r="E67" s="69">
        <v>0</v>
      </c>
      <c r="F67" s="69">
        <v>0</v>
      </c>
      <c r="G67" s="32"/>
      <c r="H67" s="29"/>
      <c r="I67" s="30"/>
      <c r="J67" s="31"/>
    </row>
    <row r="68" spans="2:10">
      <c r="B68" s="11" t="s">
        <v>34</v>
      </c>
      <c r="C68" s="34">
        <v>0.52721032686400282</v>
      </c>
      <c r="D68" s="34">
        <v>100</v>
      </c>
      <c r="E68" s="51">
        <v>1.1095544551392944</v>
      </c>
      <c r="F68" s="57">
        <v>100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4"/>
  <sheetViews>
    <sheetView rightToLeft="1" topLeftCell="B1" zoomScale="85" zoomScaleNormal="85" workbookViewId="0">
      <pane ySplit="6" topLeftCell="A7" activePane="bottomLeft" state="frozen"/>
      <selection activeCell="E7" sqref="E7"/>
      <selection pane="bottomLeft" activeCell="B1" sqref="B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45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1.0954907300761027E-4</v>
      </c>
      <c r="D7" s="29">
        <v>1.5065499235284001</v>
      </c>
      <c r="E7" s="30">
        <v>-4.1009919205195473E-5</v>
      </c>
      <c r="F7" s="31">
        <v>1.0938983716247954</v>
      </c>
      <c r="G7" s="32">
        <v>-4.8664613107236892E-6</v>
      </c>
      <c r="H7" s="29">
        <v>1.5031861817935837</v>
      </c>
      <c r="I7" s="30">
        <v>-5.6484183674966136E-5</v>
      </c>
      <c r="J7" s="31">
        <v>1.8545118866332102</v>
      </c>
      <c r="K7" s="32">
        <v>-4.9814548557159901E-6</v>
      </c>
      <c r="L7" s="29">
        <v>1.7940921537894696</v>
      </c>
      <c r="M7" s="30">
        <v>-3.5326533248087277E-6</v>
      </c>
      <c r="N7" s="31">
        <v>1.9228065985269605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0.23033982310132745</v>
      </c>
      <c r="D8" s="29">
        <v>98.493450076471603</v>
      </c>
      <c r="E8" s="30">
        <v>-0.35292569736372609</v>
      </c>
      <c r="F8" s="31">
        <v>98.906101628375211</v>
      </c>
      <c r="G8" s="32">
        <v>0.20177574898053618</v>
      </c>
      <c r="H8" s="29">
        <v>98.496813818206419</v>
      </c>
      <c r="I8" s="30">
        <v>1.33</v>
      </c>
      <c r="J8" s="31">
        <v>98.145488113366781</v>
      </c>
      <c r="K8" s="32">
        <v>0.48902453965991732</v>
      </c>
      <c r="L8" s="29">
        <v>98.205907846210536</v>
      </c>
      <c r="M8" s="30">
        <v>-0.60915096203662034</v>
      </c>
      <c r="N8" s="31">
        <v>98.077193401473039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0</v>
      </c>
      <c r="D13" s="29">
        <v>0</v>
      </c>
      <c r="E13" s="30">
        <v>0</v>
      </c>
      <c r="F13" s="31">
        <v>0</v>
      </c>
      <c r="G13" s="32">
        <v>0</v>
      </c>
      <c r="H13" s="29">
        <v>0</v>
      </c>
      <c r="I13" s="30">
        <v>0</v>
      </c>
      <c r="J13" s="31">
        <v>0</v>
      </c>
      <c r="K13" s="32">
        <v>0</v>
      </c>
      <c r="L13" s="29">
        <v>0</v>
      </c>
      <c r="M13" s="30">
        <v>0</v>
      </c>
      <c r="N13" s="31">
        <v>0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0</v>
      </c>
      <c r="D14" s="29">
        <v>0</v>
      </c>
      <c r="E14" s="30">
        <v>0</v>
      </c>
      <c r="F14" s="31">
        <v>0</v>
      </c>
      <c r="G14" s="32">
        <v>0</v>
      </c>
      <c r="H14" s="29">
        <v>0</v>
      </c>
      <c r="I14" s="30">
        <v>0</v>
      </c>
      <c r="J14" s="31">
        <v>0</v>
      </c>
      <c r="K14" s="32">
        <v>0</v>
      </c>
      <c r="L14" s="29">
        <v>0</v>
      </c>
      <c r="M14" s="30">
        <v>0</v>
      </c>
      <c r="N14" s="31">
        <v>0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</v>
      </c>
      <c r="F15" s="31">
        <v>0</v>
      </c>
      <c r="G15" s="32">
        <v>0</v>
      </c>
      <c r="H15" s="29">
        <v>0</v>
      </c>
      <c r="I15" s="30">
        <v>0</v>
      </c>
      <c r="J15" s="31">
        <v>0</v>
      </c>
      <c r="K15" s="32">
        <v>0</v>
      </c>
      <c r="L15" s="29">
        <v>0</v>
      </c>
      <c r="M15" s="30">
        <v>0</v>
      </c>
      <c r="N15" s="31">
        <v>0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0.23044937217433506</v>
      </c>
      <c r="D26" s="41">
        <v>100</v>
      </c>
      <c r="E26" s="42">
        <v>-0.35296670728293128</v>
      </c>
      <c r="F26" s="37">
        <v>100</v>
      </c>
      <c r="G26" s="43">
        <v>0.20177088251922545</v>
      </c>
      <c r="H26" s="41">
        <v>100</v>
      </c>
      <c r="I26" s="42">
        <v>1.3299435158163251</v>
      </c>
      <c r="J26" s="37">
        <v>99.999999999999986</v>
      </c>
      <c r="K26" s="41">
        <v>0.4890195582050616</v>
      </c>
      <c r="L26" s="41">
        <v>100</v>
      </c>
      <c r="M26" s="42">
        <v>-0.60915449468994509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63"/>
      <c r="D27" s="58">
        <v>229.968333685</v>
      </c>
      <c r="E27" s="59"/>
      <c r="F27" s="58">
        <v>-351.031185827</v>
      </c>
      <c r="G27" s="60"/>
      <c r="H27" s="58">
        <v>194.59500000100002</v>
      </c>
      <c r="I27" s="59"/>
      <c r="J27" s="58">
        <v>1273.7971343800002</v>
      </c>
      <c r="K27" s="60"/>
      <c r="L27" s="58">
        <v>466.97211500199995</v>
      </c>
      <c r="M27" s="47"/>
      <c r="N27" s="49">
        <v>-571.65198049900016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0.23033982310132745</v>
      </c>
      <c r="D29" s="29">
        <v>100</v>
      </c>
      <c r="E29" s="30">
        <v>-0.35292569736372609</v>
      </c>
      <c r="F29" s="31">
        <v>100</v>
      </c>
      <c r="G29" s="29">
        <v>0.20177088251922548</v>
      </c>
      <c r="H29" s="29">
        <v>100</v>
      </c>
      <c r="I29" s="30">
        <v>1.3294161013360561</v>
      </c>
      <c r="J29" s="31">
        <v>100</v>
      </c>
      <c r="K29" s="32">
        <v>0.48902453965991732</v>
      </c>
      <c r="L29" s="29">
        <v>100</v>
      </c>
      <c r="M29" s="30">
        <v>-0.6091544946899452</v>
      </c>
      <c r="N29" s="31">
        <v>100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0</v>
      </c>
      <c r="D30" s="29">
        <v>0</v>
      </c>
      <c r="E30" s="30">
        <v>0</v>
      </c>
      <c r="F30" s="31">
        <v>0</v>
      </c>
      <c r="G30" s="29">
        <v>0</v>
      </c>
      <c r="H30" s="29">
        <v>0</v>
      </c>
      <c r="I30" s="31">
        <v>0</v>
      </c>
      <c r="J30" s="31">
        <v>0</v>
      </c>
      <c r="K30" s="32">
        <v>0</v>
      </c>
      <c r="L30" s="29">
        <v>0</v>
      </c>
      <c r="M30" s="30">
        <v>0</v>
      </c>
      <c r="N30" s="31">
        <v>0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0.23033982310132745</v>
      </c>
      <c r="D31" s="41">
        <v>100</v>
      </c>
      <c r="E31" s="37">
        <v>-0.35292569736372609</v>
      </c>
      <c r="F31" s="37">
        <v>100</v>
      </c>
      <c r="G31" s="41">
        <v>0.20177088251922548</v>
      </c>
      <c r="H31" s="41">
        <v>100</v>
      </c>
      <c r="I31" s="37">
        <v>1.3294161013360561</v>
      </c>
      <c r="J31" s="37">
        <v>100</v>
      </c>
      <c r="K31" s="41">
        <v>0.48902453965991732</v>
      </c>
      <c r="L31" s="41">
        <v>100</v>
      </c>
      <c r="M31" s="37">
        <v>-0.6091544946899452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64"/>
      <c r="J32" s="13"/>
      <c r="K32" s="64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0.23033982310132745</v>
      </c>
      <c r="D33" s="29">
        <v>100</v>
      </c>
      <c r="E33" s="30">
        <v>-0.35292569736372609</v>
      </c>
      <c r="F33" s="31">
        <v>100</v>
      </c>
      <c r="G33" s="29">
        <v>0.20177088251922548</v>
      </c>
      <c r="H33" s="29">
        <v>100</v>
      </c>
      <c r="I33" s="30">
        <v>1.3294161013360561</v>
      </c>
      <c r="J33" s="31">
        <v>100</v>
      </c>
      <c r="K33" s="32">
        <v>0.48902453965991732</v>
      </c>
      <c r="L33" s="29">
        <v>100</v>
      </c>
      <c r="M33" s="30">
        <v>-0.6091544946899452</v>
      </c>
      <c r="N33" s="31">
        <v>100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0</v>
      </c>
      <c r="E34" s="30">
        <v>0</v>
      </c>
      <c r="F34" s="31">
        <v>0</v>
      </c>
      <c r="G34" s="29">
        <v>0</v>
      </c>
      <c r="H34" s="29">
        <v>0</v>
      </c>
      <c r="I34" s="31">
        <v>0</v>
      </c>
      <c r="J34" s="31">
        <v>0</v>
      </c>
      <c r="K34" s="32">
        <v>0</v>
      </c>
      <c r="L34" s="29">
        <v>0</v>
      </c>
      <c r="M34" s="30">
        <v>0</v>
      </c>
      <c r="N34" s="31">
        <v>0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0.23033982310132745</v>
      </c>
      <c r="D35" s="41">
        <v>100</v>
      </c>
      <c r="E35" s="37">
        <v>-0.35292569736372609</v>
      </c>
      <c r="F35" s="37">
        <v>100</v>
      </c>
      <c r="G35" s="41">
        <v>0.20177088251922548</v>
      </c>
      <c r="H35" s="41">
        <v>100</v>
      </c>
      <c r="I35" s="37">
        <v>1.3294161013360561</v>
      </c>
      <c r="J35" s="37">
        <v>100</v>
      </c>
      <c r="K35" s="41">
        <v>0.48902453965991732</v>
      </c>
      <c r="L35" s="41">
        <v>100</v>
      </c>
      <c r="M35" s="37">
        <v>-0.6091544946899452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64"/>
      <c r="F36" s="13"/>
      <c r="G36" s="13"/>
      <c r="H36" s="13"/>
      <c r="I36" s="64"/>
      <c r="J36" s="13"/>
      <c r="K36" s="64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6.7887130659374605E-5</v>
      </c>
      <c r="D40" s="29">
        <v>1.5031861817935837</v>
      </c>
      <c r="E40" s="69">
        <v>1.7263800388863377E-6</v>
      </c>
      <c r="F40" s="69">
        <v>1.9228065985269605</v>
      </c>
      <c r="G40" s="32"/>
      <c r="H40" s="29"/>
      <c r="I40" s="30"/>
      <c r="J40" s="31"/>
    </row>
    <row r="41" spans="2:26">
      <c r="B41" s="10" t="s">
        <v>7</v>
      </c>
      <c r="C41" s="32">
        <v>7.8123405187104714E-2</v>
      </c>
      <c r="D41" s="29">
        <v>98.496813818206419</v>
      </c>
      <c r="E41" s="69">
        <v>1.284324271843329</v>
      </c>
      <c r="F41" s="69">
        <v>98.077193401473039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9">
        <v>0</v>
      </c>
      <c r="F44" s="69">
        <v>0</v>
      </c>
      <c r="G44" s="32"/>
      <c r="H44" s="29"/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9">
        <v>0</v>
      </c>
      <c r="F45" s="69">
        <v>0</v>
      </c>
      <c r="G45" s="32"/>
      <c r="H45" s="29"/>
      <c r="I45" s="30"/>
      <c r="J45" s="31"/>
    </row>
    <row r="46" spans="2:26">
      <c r="B46" s="10" t="s">
        <v>17</v>
      </c>
      <c r="C46" s="32">
        <v>0</v>
      </c>
      <c r="D46" s="29">
        <v>0</v>
      </c>
      <c r="E46" s="69">
        <v>0</v>
      </c>
      <c r="F46" s="69">
        <v>0</v>
      </c>
      <c r="G46" s="32"/>
      <c r="H46" s="29"/>
      <c r="I46" s="30"/>
      <c r="J46" s="31"/>
    </row>
    <row r="47" spans="2:26">
      <c r="B47" s="10" t="s">
        <v>19</v>
      </c>
      <c r="C47" s="32">
        <v>0</v>
      </c>
      <c r="D47" s="29">
        <v>0</v>
      </c>
      <c r="E47" s="69">
        <v>0</v>
      </c>
      <c r="F47" s="69">
        <v>0</v>
      </c>
      <c r="G47" s="32"/>
      <c r="H47" s="29"/>
      <c r="I47" s="30"/>
      <c r="J47" s="31"/>
    </row>
    <row r="48" spans="2:26">
      <c r="B48" s="10" t="s">
        <v>21</v>
      </c>
      <c r="C48" s="32">
        <v>0</v>
      </c>
      <c r="D48" s="29">
        <v>0</v>
      </c>
      <c r="E48" s="69">
        <v>0</v>
      </c>
      <c r="F48" s="69">
        <v>0</v>
      </c>
      <c r="G48" s="32"/>
      <c r="H48" s="29"/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9">
        <v>0</v>
      </c>
      <c r="F49" s="69">
        <v>0</v>
      </c>
      <c r="G49" s="32"/>
      <c r="H49" s="29"/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9">
        <v>0</v>
      </c>
      <c r="F50" s="69">
        <v>0</v>
      </c>
      <c r="G50" s="32"/>
      <c r="H50" s="29"/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9">
        <v>0</v>
      </c>
      <c r="F51" s="69">
        <v>0</v>
      </c>
      <c r="G51" s="32"/>
      <c r="H51" s="29"/>
      <c r="I51" s="30"/>
      <c r="J51" s="31"/>
    </row>
    <row r="52" spans="2:14">
      <c r="B52" s="10" t="s">
        <v>27</v>
      </c>
      <c r="C52" s="32">
        <v>0</v>
      </c>
      <c r="D52" s="29">
        <v>0</v>
      </c>
      <c r="E52" s="69">
        <v>0</v>
      </c>
      <c r="F52" s="69">
        <v>0</v>
      </c>
      <c r="G52" s="32"/>
      <c r="H52" s="29"/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9">
        <v>0</v>
      </c>
      <c r="F53" s="69">
        <v>0</v>
      </c>
      <c r="G53" s="32"/>
      <c r="H53" s="29"/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9">
        <v>0</v>
      </c>
      <c r="F58" s="69">
        <v>0</v>
      </c>
      <c r="G58" s="32"/>
      <c r="H58" s="29"/>
      <c r="I58" s="30"/>
      <c r="J58" s="31"/>
    </row>
    <row r="59" spans="2:14">
      <c r="B59" s="11" t="s">
        <v>34</v>
      </c>
      <c r="C59" s="34">
        <v>7.8191292317764116E-2</v>
      </c>
      <c r="D59" s="29">
        <v>100</v>
      </c>
      <c r="E59" s="51">
        <v>1.2843259982233679</v>
      </c>
      <c r="F59" s="31">
        <v>100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73.53214785900002</v>
      </c>
      <c r="E60" s="25"/>
      <c r="F60" s="33">
        <v>1242.6494167420001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7.8118414416621984E-2</v>
      </c>
      <c r="D62" s="53">
        <v>100</v>
      </c>
      <c r="E62" s="69">
        <v>1.2837379902122616</v>
      </c>
      <c r="F62" s="69">
        <v>100</v>
      </c>
      <c r="G62" s="52"/>
      <c r="H62" s="53"/>
      <c r="I62" s="54"/>
      <c r="J62" s="55"/>
    </row>
    <row r="63" spans="2:14">
      <c r="B63" s="10" t="s">
        <v>36</v>
      </c>
      <c r="C63" s="32">
        <v>0</v>
      </c>
      <c r="D63" s="29">
        <v>0</v>
      </c>
      <c r="E63" s="69">
        <v>0</v>
      </c>
      <c r="F63" s="69">
        <v>0</v>
      </c>
      <c r="G63" s="32"/>
      <c r="H63" s="29"/>
      <c r="I63" s="30"/>
      <c r="J63" s="31"/>
    </row>
    <row r="64" spans="2:14">
      <c r="B64" s="11" t="s">
        <v>34</v>
      </c>
      <c r="C64" s="34">
        <v>7.8118414416621984E-2</v>
      </c>
      <c r="D64" s="34">
        <v>100</v>
      </c>
      <c r="E64" s="51">
        <v>1.2837379902122616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7.8118414416621984E-2</v>
      </c>
      <c r="D66" s="53">
        <v>100</v>
      </c>
      <c r="E66" s="69">
        <v>1.2837379902122616</v>
      </c>
      <c r="F66" s="69">
        <v>100</v>
      </c>
      <c r="G66" s="52"/>
      <c r="H66" s="53"/>
      <c r="I66" s="54"/>
      <c r="J66" s="55"/>
    </row>
    <row r="67" spans="2:10">
      <c r="B67" s="10" t="s">
        <v>38</v>
      </c>
      <c r="C67" s="32">
        <v>0</v>
      </c>
      <c r="D67" s="29">
        <v>0</v>
      </c>
      <c r="E67" s="69">
        <v>0</v>
      </c>
      <c r="F67" s="69">
        <v>0</v>
      </c>
      <c r="G67" s="32"/>
      <c r="H67" s="29"/>
      <c r="I67" s="30"/>
      <c r="J67" s="31"/>
    </row>
    <row r="68" spans="2:10">
      <c r="B68" s="11" t="s">
        <v>34</v>
      </c>
      <c r="C68" s="34">
        <v>7.8118414416621984E-2</v>
      </c>
      <c r="D68" s="34">
        <v>100</v>
      </c>
      <c r="E68" s="51">
        <v>1.2837379902122616</v>
      </c>
      <c r="F68" s="57">
        <v>100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I38:J38"/>
    <mergeCell ref="E38:F38"/>
    <mergeCell ref="G38:H38"/>
    <mergeCell ref="E37:F37"/>
    <mergeCell ref="C38:D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D27" sqref="D27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54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-1.1955369493230406E-3</v>
      </c>
      <c r="D7" s="29">
        <v>2.7783101968378565</v>
      </c>
      <c r="E7" s="30">
        <v>-4.4519455427585487E-3</v>
      </c>
      <c r="F7" s="31">
        <v>5.8221860484277483</v>
      </c>
      <c r="G7" s="32">
        <v>-1.0815133488912852E-2</v>
      </c>
      <c r="H7" s="29">
        <v>4.8137499446082828</v>
      </c>
      <c r="I7" s="30">
        <v>-7.7387419608484047E-3</v>
      </c>
      <c r="J7" s="31">
        <v>5.5950296992879611</v>
      </c>
      <c r="K7" s="32">
        <v>-1.3238719993752967E-2</v>
      </c>
      <c r="L7" s="29">
        <v>5.4260468851330383</v>
      </c>
      <c r="M7" s="30">
        <v>-2.5087723853433632E-2</v>
      </c>
      <c r="N7" s="31">
        <v>6.3695535465520088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4.0803078317786425E-3</v>
      </c>
      <c r="D8" s="29">
        <v>21.576151047920249</v>
      </c>
      <c r="E8" s="30">
        <v>-2.3347778598373659E-2</v>
      </c>
      <c r="F8" s="31">
        <v>20.987387621838344</v>
      </c>
      <c r="G8" s="32">
        <v>6.0332996586160481E-2</v>
      </c>
      <c r="H8" s="29">
        <v>21.555221913368477</v>
      </c>
      <c r="I8" s="30">
        <v>0.16019195441184456</v>
      </c>
      <c r="J8" s="31">
        <v>21.483753938965631</v>
      </c>
      <c r="K8" s="32">
        <v>0.12196892974546281</v>
      </c>
      <c r="L8" s="29">
        <v>21.599519291750404</v>
      </c>
      <c r="M8" s="30">
        <v>-7.485167116042743E-2</v>
      </c>
      <c r="N8" s="31">
        <v>21.486566759569584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0</v>
      </c>
      <c r="D13" s="29">
        <v>0</v>
      </c>
      <c r="E13" s="30">
        <v>0</v>
      </c>
      <c r="F13" s="31">
        <v>0</v>
      </c>
      <c r="G13" s="32">
        <v>0</v>
      </c>
      <c r="H13" s="29">
        <v>0</v>
      </c>
      <c r="I13" s="30">
        <v>0</v>
      </c>
      <c r="J13" s="31">
        <v>0</v>
      </c>
      <c r="K13" s="32">
        <v>0</v>
      </c>
      <c r="L13" s="29">
        <v>0</v>
      </c>
      <c r="M13" s="30">
        <v>0</v>
      </c>
      <c r="N13" s="31">
        <v>0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6.1188024616385048E-2</v>
      </c>
      <c r="D14" s="29">
        <v>67.935272641433926</v>
      </c>
      <c r="E14" s="30">
        <v>0.37147821195210845</v>
      </c>
      <c r="F14" s="31">
        <v>65.579960543834247</v>
      </c>
      <c r="G14" s="32">
        <v>0.10648493228334482</v>
      </c>
      <c r="H14" s="29">
        <v>66.12712929991396</v>
      </c>
      <c r="I14" s="30">
        <v>0.92227831908775781</v>
      </c>
      <c r="J14" s="31">
        <v>65.688183488155786</v>
      </c>
      <c r="K14" s="32">
        <v>0.73648974124638888</v>
      </c>
      <c r="L14" s="29">
        <v>65.890970176929002</v>
      </c>
      <c r="M14" s="30">
        <v>-0.79189241066433336</v>
      </c>
      <c r="N14" s="31">
        <v>64.945303218509991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</v>
      </c>
      <c r="F15" s="31">
        <v>0</v>
      </c>
      <c r="G15" s="32">
        <v>0</v>
      </c>
      <c r="H15" s="29">
        <v>0</v>
      </c>
      <c r="I15" s="30">
        <v>0</v>
      </c>
      <c r="J15" s="31">
        <v>0</v>
      </c>
      <c r="K15" s="32">
        <v>0</v>
      </c>
      <c r="L15" s="29">
        <v>0</v>
      </c>
      <c r="M15" s="30">
        <v>0</v>
      </c>
      <c r="N15" s="31">
        <v>0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3.0543255523551266E-3</v>
      </c>
      <c r="D18" s="29">
        <v>9.7292281866329933E-3</v>
      </c>
      <c r="E18" s="30">
        <v>0.105168131225669</v>
      </c>
      <c r="F18" s="31">
        <v>0.11041362800819976</v>
      </c>
      <c r="G18" s="32">
        <v>6.2737041497402821E-2</v>
      </c>
      <c r="H18" s="29">
        <v>0.12939808494498742</v>
      </c>
      <c r="I18" s="30">
        <v>-1.1110563311048866E-2</v>
      </c>
      <c r="J18" s="31">
        <v>5.394374195631433E-2</v>
      </c>
      <c r="K18" s="32">
        <v>5.2081407830503482E-2</v>
      </c>
      <c r="L18" s="29">
        <v>6.0419551366987026E-2</v>
      </c>
      <c r="M18" s="30">
        <v>0.12124833433961028</v>
      </c>
      <c r="N18" s="31">
        <v>9.8939030842330244E-2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-7.7079761587444007E-2</v>
      </c>
      <c r="D19" s="29">
        <v>7.7005368856213314</v>
      </c>
      <c r="E19" s="30">
        <v>-5.4920290268084555E-3</v>
      </c>
      <c r="F19" s="31">
        <v>7.5000521578914761</v>
      </c>
      <c r="G19" s="32">
        <v>-4.1960242473920183E-2</v>
      </c>
      <c r="H19" s="29">
        <v>7.3745007571643111</v>
      </c>
      <c r="I19" s="30">
        <v>-6.3550192307890468E-2</v>
      </c>
      <c r="J19" s="31">
        <v>7.1790891316343082</v>
      </c>
      <c r="K19" s="32">
        <v>0.1023190871421702</v>
      </c>
      <c r="L19" s="29">
        <v>7.0230440948205759</v>
      </c>
      <c r="M19" s="30">
        <v>8.562228054599641E-2</v>
      </c>
      <c r="N19" s="31">
        <v>7.0996374445260777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-9.9526405362482251E-3</v>
      </c>
      <c r="D26" s="41">
        <v>100</v>
      </c>
      <c r="E26" s="42">
        <v>0.44335459000983679</v>
      </c>
      <c r="F26" s="37">
        <v>100.00000000000001</v>
      </c>
      <c r="G26" s="43">
        <v>0.17677959440407506</v>
      </c>
      <c r="H26" s="41">
        <v>100.00000000000001</v>
      </c>
      <c r="I26" s="42">
        <v>1.0000707759198146</v>
      </c>
      <c r="J26" s="37">
        <v>100.00000000000001</v>
      </c>
      <c r="K26" s="41">
        <v>0.99962044597077249</v>
      </c>
      <c r="L26" s="41">
        <v>100.00000000000001</v>
      </c>
      <c r="M26" s="42">
        <v>-0.68496119079258777</v>
      </c>
      <c r="N26" s="37">
        <v>100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46"/>
      <c r="D27" s="49">
        <v>-15.240189360999969</v>
      </c>
      <c r="E27" s="47"/>
      <c r="F27" s="49">
        <v>209.889993006</v>
      </c>
      <c r="G27" s="48"/>
      <c r="H27" s="49">
        <v>116.50702225299997</v>
      </c>
      <c r="I27" s="47"/>
      <c r="J27" s="49">
        <v>466.43600470400008</v>
      </c>
      <c r="K27" s="48"/>
      <c r="L27" s="49">
        <v>509.64293799899997</v>
      </c>
      <c r="M27" s="47"/>
      <c r="N27" s="49">
        <v>-361.49499980799965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8.6028684017652787E-3</v>
      </c>
      <c r="D29" s="29">
        <v>77.303014165761169</v>
      </c>
      <c r="E29" s="30">
        <v>0.61025312801857556</v>
      </c>
      <c r="F29" s="31">
        <v>79.035857249054686</v>
      </c>
      <c r="G29" s="29">
        <v>0.21965023483513385</v>
      </c>
      <c r="H29" s="29">
        <v>78.262949087861969</v>
      </c>
      <c r="I29" s="30">
        <v>0.82022201581828402</v>
      </c>
      <c r="J29" s="31">
        <v>78.547754573526817</v>
      </c>
      <c r="K29" s="32">
        <v>0.91661343433518305</v>
      </c>
      <c r="L29" s="29">
        <v>78.396650449476468</v>
      </c>
      <c r="M29" s="30">
        <v>-0.16970977136380114</v>
      </c>
      <c r="N29" s="31">
        <v>78.876489570475812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-1.8555508938013505E-2</v>
      </c>
      <c r="D30" s="29">
        <v>22.69698583423882</v>
      </c>
      <c r="E30" s="30">
        <v>-0.16689853800873874</v>
      </c>
      <c r="F30" s="31">
        <v>20.964142750945307</v>
      </c>
      <c r="G30" s="29">
        <v>-4.2870640431058767E-2</v>
      </c>
      <c r="H30" s="29">
        <v>21.737050912138034</v>
      </c>
      <c r="I30" s="31">
        <v>0.17984876010153086</v>
      </c>
      <c r="J30" s="31">
        <v>21.452245426473183</v>
      </c>
      <c r="K30" s="32">
        <v>8.3007011635589364E-2</v>
      </c>
      <c r="L30" s="29">
        <v>21.603349550523532</v>
      </c>
      <c r="M30" s="30">
        <v>-0.51525141942878672</v>
      </c>
      <c r="N30" s="31">
        <v>21.123510429524188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-9.9526405362482268E-3</v>
      </c>
      <c r="D31" s="41">
        <v>99.999999999999986</v>
      </c>
      <c r="E31" s="37">
        <v>0.44335459000983679</v>
      </c>
      <c r="F31" s="37">
        <v>100</v>
      </c>
      <c r="G31" s="41">
        <v>0.17677959440407509</v>
      </c>
      <c r="H31" s="41">
        <v>100</v>
      </c>
      <c r="I31" s="37">
        <v>1.0000707759198149</v>
      </c>
      <c r="J31" s="37">
        <v>100</v>
      </c>
      <c r="K31" s="41">
        <v>0.99962044597077238</v>
      </c>
      <c r="L31" s="41">
        <v>100</v>
      </c>
      <c r="M31" s="37">
        <v>-0.68496119079258788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-1.3006966088603352E-2</v>
      </c>
      <c r="D33" s="29">
        <v>99.990270771813371</v>
      </c>
      <c r="E33" s="30">
        <v>0.33818645878416775</v>
      </c>
      <c r="F33" s="31">
        <v>99.889586371991797</v>
      </c>
      <c r="G33" s="29">
        <v>0.11404255290667227</v>
      </c>
      <c r="H33" s="29">
        <v>99.870601915055019</v>
      </c>
      <c r="I33" s="30">
        <v>1.0111813392308635</v>
      </c>
      <c r="J33" s="31">
        <v>99.946056258043683</v>
      </c>
      <c r="K33" s="32">
        <v>0.94753903814026896</v>
      </c>
      <c r="L33" s="29">
        <v>99.939580448633009</v>
      </c>
      <c r="M33" s="30">
        <v>-0.80620952513219823</v>
      </c>
      <c r="N33" s="31">
        <v>99.901060969157669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3.0543255523551274E-3</v>
      </c>
      <c r="D34" s="29">
        <v>9.7292281866329985E-3</v>
      </c>
      <c r="E34" s="30">
        <v>0.10516813122566902</v>
      </c>
      <c r="F34" s="31">
        <v>0.11041362800819972</v>
      </c>
      <c r="G34" s="29">
        <v>6.2737041497402821E-2</v>
      </c>
      <c r="H34" s="29">
        <v>0.12939808494498742</v>
      </c>
      <c r="I34" s="31">
        <v>-1.1110563311048866E-2</v>
      </c>
      <c r="J34" s="31">
        <v>5.3943741956314316E-2</v>
      </c>
      <c r="K34" s="32">
        <v>5.2081407830503496E-2</v>
      </c>
      <c r="L34" s="29">
        <v>6.0419551366987026E-2</v>
      </c>
      <c r="M34" s="30">
        <v>0.12124833433961027</v>
      </c>
      <c r="N34" s="31">
        <v>9.8939030842330244E-2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-9.9526405362482251E-3</v>
      </c>
      <c r="D35" s="41">
        <v>100</v>
      </c>
      <c r="E35" s="37">
        <v>0.44335459000983679</v>
      </c>
      <c r="F35" s="37">
        <v>100</v>
      </c>
      <c r="G35" s="41">
        <v>0.17677959440407509</v>
      </c>
      <c r="H35" s="41">
        <v>100</v>
      </c>
      <c r="I35" s="37">
        <v>1.0000707759198146</v>
      </c>
      <c r="J35" s="37">
        <v>100</v>
      </c>
      <c r="K35" s="41">
        <v>0.99962044597077249</v>
      </c>
      <c r="L35" s="41">
        <v>100</v>
      </c>
      <c r="M35" s="37">
        <v>-0.68496119079258799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-2.1726290661448797E-2</v>
      </c>
      <c r="D40" s="29">
        <v>4.8137499446082828</v>
      </c>
      <c r="E40" s="69">
        <v>-7.2266045941276738E-2</v>
      </c>
      <c r="F40" s="69">
        <v>6.3695535465520088</v>
      </c>
      <c r="G40" s="32"/>
      <c r="H40" s="29"/>
      <c r="I40" s="30"/>
      <c r="J40" s="31"/>
    </row>
    <row r="41" spans="2:26">
      <c r="B41" s="10" t="s">
        <v>7</v>
      </c>
      <c r="C41" s="32">
        <v>6.8633134265101009E-2</v>
      </c>
      <c r="D41" s="29">
        <v>21.555221913368477</v>
      </c>
      <c r="E41" s="69">
        <v>0.27591165883825952</v>
      </c>
      <c r="F41" s="69">
        <v>21.486566759569584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9">
        <v>0</v>
      </c>
      <c r="F44" s="69">
        <v>0</v>
      </c>
      <c r="G44" s="32"/>
      <c r="H44" s="29"/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9">
        <v>0</v>
      </c>
      <c r="F45" s="69">
        <v>0</v>
      </c>
      <c r="G45" s="32"/>
      <c r="H45" s="29"/>
      <c r="I45" s="30"/>
      <c r="J45" s="31"/>
    </row>
    <row r="46" spans="2:26">
      <c r="B46" s="10" t="s">
        <v>17</v>
      </c>
      <c r="C46" s="32">
        <v>0</v>
      </c>
      <c r="D46" s="29">
        <v>0</v>
      </c>
      <c r="E46" s="69">
        <v>0</v>
      </c>
      <c r="F46" s="69">
        <v>0</v>
      </c>
      <c r="G46" s="32"/>
      <c r="H46" s="29"/>
      <c r="I46" s="30"/>
      <c r="J46" s="31"/>
    </row>
    <row r="47" spans="2:26">
      <c r="B47" s="10" t="s">
        <v>19</v>
      </c>
      <c r="C47" s="32">
        <v>0.66701651063461675</v>
      </c>
      <c r="D47" s="29">
        <v>66.12712929991396</v>
      </c>
      <c r="E47" s="69">
        <v>1.5165028662764863</v>
      </c>
      <c r="F47" s="69">
        <v>64.945303218509991</v>
      </c>
      <c r="G47" s="32"/>
      <c r="H47" s="29"/>
      <c r="I47" s="30"/>
      <c r="J47" s="31"/>
    </row>
    <row r="48" spans="2:26">
      <c r="B48" s="10" t="s">
        <v>21</v>
      </c>
      <c r="C48" s="32">
        <v>0</v>
      </c>
      <c r="D48" s="29">
        <v>0</v>
      </c>
      <c r="E48" s="69">
        <v>0</v>
      </c>
      <c r="F48" s="69">
        <v>0</v>
      </c>
      <c r="G48" s="32"/>
      <c r="H48" s="29"/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9">
        <v>0</v>
      </c>
      <c r="F49" s="69">
        <v>0</v>
      </c>
      <c r="G49" s="32"/>
      <c r="H49" s="29"/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9">
        <v>0</v>
      </c>
      <c r="F50" s="69">
        <v>0</v>
      </c>
      <c r="G50" s="32"/>
      <c r="H50" s="29"/>
      <c r="I50" s="30"/>
      <c r="J50" s="31"/>
    </row>
    <row r="51" spans="2:14">
      <c r="B51" s="10" t="s">
        <v>26</v>
      </c>
      <c r="C51" s="32">
        <v>0.18811056644740343</v>
      </c>
      <c r="D51" s="29">
        <v>0.12939808494498742</v>
      </c>
      <c r="E51" s="69">
        <v>0.37768779009251258</v>
      </c>
      <c r="F51" s="69">
        <v>9.8939030842330244E-2</v>
      </c>
      <c r="G51" s="32"/>
      <c r="H51" s="29"/>
      <c r="I51" s="30"/>
      <c r="J51" s="31"/>
    </row>
    <row r="52" spans="2:14">
      <c r="B52" s="10" t="s">
        <v>27</v>
      </c>
      <c r="C52" s="32">
        <v>-0.29113041409308615</v>
      </c>
      <c r="D52" s="29">
        <v>7.3745007571643111</v>
      </c>
      <c r="E52" s="69">
        <v>-0.16796269448402218</v>
      </c>
      <c r="F52" s="69">
        <v>7.0996374445260777</v>
      </c>
      <c r="G52" s="32"/>
      <c r="H52" s="29"/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9">
        <v>0</v>
      </c>
      <c r="F53" s="69">
        <v>0</v>
      </c>
      <c r="G53" s="32"/>
      <c r="H53" s="29"/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9">
        <v>0</v>
      </c>
      <c r="F58" s="69">
        <v>0</v>
      </c>
      <c r="G58" s="32"/>
      <c r="H58" s="29"/>
      <c r="I58" s="30"/>
      <c r="J58" s="31"/>
    </row>
    <row r="59" spans="2:14">
      <c r="B59" s="11" t="s">
        <v>34</v>
      </c>
      <c r="C59" s="34">
        <v>0.61090350659258608</v>
      </c>
      <c r="D59" s="29">
        <v>100.00000000000001</v>
      </c>
      <c r="E59" s="51">
        <v>1.9298735747819595</v>
      </c>
      <c r="F59" s="31">
        <v>100.00000000000001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311.15682589799997</v>
      </c>
      <c r="E60" s="25"/>
      <c r="F60" s="33">
        <v>925.74076879300037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0.87728715243939037</v>
      </c>
      <c r="D62" s="53">
        <v>78.262949087861969</v>
      </c>
      <c r="E62" s="69">
        <v>2.5165161960512092</v>
      </c>
      <c r="F62" s="69">
        <v>78.876489570475812</v>
      </c>
      <c r="G62" s="52"/>
      <c r="H62" s="53"/>
      <c r="I62" s="54"/>
      <c r="J62" s="55"/>
    </row>
    <row r="63" spans="2:14">
      <c r="B63" s="10" t="s">
        <v>36</v>
      </c>
      <c r="C63" s="32">
        <v>-0.26638364584680418</v>
      </c>
      <c r="D63" s="29">
        <v>21.737050912138034</v>
      </c>
      <c r="E63" s="69">
        <v>-0.58664262126924926</v>
      </c>
      <c r="F63" s="69">
        <v>21.123510429524188</v>
      </c>
      <c r="G63" s="32"/>
      <c r="H63" s="29"/>
      <c r="I63" s="30"/>
      <c r="J63" s="31"/>
    </row>
    <row r="64" spans="2:14">
      <c r="B64" s="11" t="s">
        <v>34</v>
      </c>
      <c r="C64" s="34">
        <v>0.61090350659258619</v>
      </c>
      <c r="D64" s="34">
        <v>100</v>
      </c>
      <c r="E64" s="51">
        <v>1.92987357478196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0.42279294014518265</v>
      </c>
      <c r="D66" s="53">
        <v>99.870601915055019</v>
      </c>
      <c r="E66" s="69">
        <v>1.5521857846894467</v>
      </c>
      <c r="F66" s="69">
        <v>99.901060969157669</v>
      </c>
      <c r="G66" s="52"/>
      <c r="H66" s="53"/>
      <c r="I66" s="54"/>
      <c r="J66" s="55"/>
    </row>
    <row r="67" spans="2:10">
      <c r="B67" s="10" t="s">
        <v>38</v>
      </c>
      <c r="C67" s="32">
        <v>0.18811056644740343</v>
      </c>
      <c r="D67" s="29">
        <v>0.12939808494498742</v>
      </c>
      <c r="E67" s="69">
        <v>0.37768779009251263</v>
      </c>
      <c r="F67" s="69">
        <v>9.8939030842330244E-2</v>
      </c>
      <c r="G67" s="32"/>
      <c r="H67" s="29"/>
      <c r="I67" s="30"/>
      <c r="J67" s="31"/>
    </row>
    <row r="68" spans="2:10">
      <c r="B68" s="11" t="s">
        <v>34</v>
      </c>
      <c r="C68" s="34">
        <v>0.61090350659258608</v>
      </c>
      <c r="D68" s="34">
        <v>100</v>
      </c>
      <c r="E68" s="51">
        <v>1.9298735747819593</v>
      </c>
      <c r="F68" s="57">
        <v>100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75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B3" sqref="B3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10" width="8.375" style="1" customWidth="1"/>
    <col min="11" max="11" width="9.125" style="1"/>
    <col min="12" max="12" width="8.25" style="1" customWidth="1"/>
    <col min="13" max="13" width="9.125" style="1"/>
    <col min="14" max="14" width="8.125" style="1" customWidth="1"/>
    <col min="15" max="15" width="9.125" style="1"/>
    <col min="16" max="16" width="8" style="1" customWidth="1"/>
    <col min="17" max="17" width="9.125" style="1"/>
    <col min="18" max="18" width="8.125" style="1" customWidth="1"/>
    <col min="19" max="23" width="9.125" style="1"/>
    <col min="24" max="24" width="8.625" style="1" customWidth="1"/>
    <col min="25" max="25" width="9.125" style="1"/>
    <col min="26" max="26" width="8" style="1" customWidth="1"/>
    <col min="27" max="16384" width="9.125" style="1"/>
  </cols>
  <sheetData>
    <row r="1" spans="2:32" ht="18.75">
      <c r="B1" s="14" t="s">
        <v>0</v>
      </c>
    </row>
    <row r="2" spans="2:32" ht="18.75">
      <c r="B2" s="15" t="s">
        <v>46</v>
      </c>
    </row>
    <row r="3" spans="2:32" ht="18.75">
      <c r="B3" s="16" t="s">
        <v>53</v>
      </c>
      <c r="C3" s="18" t="s">
        <v>41</v>
      </c>
    </row>
    <row r="4" spans="2:32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/>
      <c r="L4" s="18">
        <v>9</v>
      </c>
      <c r="M4" s="18"/>
      <c r="N4" s="18">
        <v>10</v>
      </c>
      <c r="O4" s="18"/>
      <c r="P4" s="18">
        <v>11</v>
      </c>
      <c r="Q4" s="18"/>
      <c r="R4" s="18">
        <v>12</v>
      </c>
      <c r="S4" s="18"/>
      <c r="T4" s="18">
        <v>13</v>
      </c>
      <c r="U4" s="18"/>
      <c r="V4" s="18">
        <v>14</v>
      </c>
      <c r="W4" s="18"/>
      <c r="X4" s="18">
        <v>15</v>
      </c>
      <c r="Y4" s="18"/>
      <c r="Z4" s="18">
        <v>16</v>
      </c>
      <c r="AA4" s="18"/>
      <c r="AF4" s="1">
        <v>2016</v>
      </c>
    </row>
    <row r="5" spans="2:32" ht="15.75">
      <c r="B5" s="17" t="s">
        <v>42</v>
      </c>
      <c r="C5" s="3" t="s">
        <v>79</v>
      </c>
      <c r="D5" s="4"/>
      <c r="E5" s="21" t="s">
        <v>79</v>
      </c>
      <c r="F5" s="22"/>
      <c r="G5" s="3" t="s">
        <v>79</v>
      </c>
      <c r="H5" s="4"/>
      <c r="I5" s="21" t="s">
        <v>79</v>
      </c>
      <c r="J5" s="67"/>
      <c r="K5" s="22"/>
      <c r="L5" s="3" t="s">
        <v>79</v>
      </c>
      <c r="M5" s="4"/>
      <c r="N5" s="21" t="s">
        <v>79</v>
      </c>
      <c r="O5" s="22"/>
      <c r="P5" s="3" t="s">
        <v>79</v>
      </c>
      <c r="Q5" s="4"/>
      <c r="R5" s="21" t="s">
        <v>79</v>
      </c>
      <c r="S5" s="22"/>
      <c r="T5" s="3" t="s">
        <v>79</v>
      </c>
      <c r="U5" s="4"/>
      <c r="V5" s="21" t="s">
        <v>79</v>
      </c>
      <c r="W5" s="22"/>
      <c r="X5" s="3" t="s">
        <v>79</v>
      </c>
      <c r="Y5" s="4"/>
      <c r="Z5" s="21" t="s">
        <v>79</v>
      </c>
      <c r="AA5" s="22"/>
      <c r="AF5" s="5" t="s">
        <v>1</v>
      </c>
    </row>
    <row r="6" spans="2:32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68"/>
      <c r="K6" s="24" t="s">
        <v>3</v>
      </c>
      <c r="L6" s="7" t="s">
        <v>2</v>
      </c>
      <c r="M6" s="8" t="s">
        <v>3</v>
      </c>
      <c r="N6" s="23" t="s">
        <v>2</v>
      </c>
      <c r="O6" s="24" t="s">
        <v>3</v>
      </c>
      <c r="P6" s="7" t="s">
        <v>2</v>
      </c>
      <c r="Q6" s="8" t="s">
        <v>3</v>
      </c>
      <c r="R6" s="23" t="s">
        <v>2</v>
      </c>
      <c r="S6" s="24" t="s">
        <v>3</v>
      </c>
      <c r="T6" s="7" t="s">
        <v>2</v>
      </c>
      <c r="U6" s="8" t="s">
        <v>3</v>
      </c>
      <c r="V6" s="23" t="s">
        <v>2</v>
      </c>
      <c r="W6" s="24" t="s">
        <v>3</v>
      </c>
      <c r="X6" s="7" t="s">
        <v>2</v>
      </c>
      <c r="Y6" s="8" t="s">
        <v>3</v>
      </c>
      <c r="Z6" s="23" t="s">
        <v>2</v>
      </c>
      <c r="AA6" s="24" t="s">
        <v>3</v>
      </c>
      <c r="AF6" s="5" t="s">
        <v>4</v>
      </c>
    </row>
    <row r="7" spans="2:32">
      <c r="B7" s="9" t="s">
        <v>5</v>
      </c>
      <c r="C7" s="29">
        <v>-3.1599869297489454E-3</v>
      </c>
      <c r="D7" s="29">
        <v>2.1605103061590096</v>
      </c>
      <c r="E7" s="30">
        <v>-1.8286721999489917E-2</v>
      </c>
      <c r="F7" s="31">
        <v>2.0129261647090906</v>
      </c>
      <c r="G7" s="32">
        <v>-1.344748720439887E-2</v>
      </c>
      <c r="H7" s="29">
        <v>3.2566396396683253</v>
      </c>
      <c r="I7" s="30">
        <v>-3.3005777813807083E-3</v>
      </c>
      <c r="J7" s="69"/>
      <c r="K7" s="31">
        <v>4.4305768546615543</v>
      </c>
      <c r="L7" s="32">
        <v>-5.2792888373104831E-3</v>
      </c>
      <c r="M7" s="29">
        <v>3.435238306739167</v>
      </c>
      <c r="N7" s="30">
        <v>-6.7928586626213334E-3</v>
      </c>
      <c r="O7" s="31">
        <v>3.0323668959488179</v>
      </c>
      <c r="P7" s="32"/>
      <c r="Q7" s="29"/>
      <c r="R7" s="30"/>
      <c r="S7" s="31"/>
      <c r="T7" s="32"/>
      <c r="U7" s="29"/>
      <c r="V7" s="30"/>
      <c r="W7" s="31"/>
      <c r="X7" s="32"/>
      <c r="Y7" s="29"/>
      <c r="Z7" s="30"/>
      <c r="AA7" s="31"/>
      <c r="AF7" s="5" t="s">
        <v>6</v>
      </c>
    </row>
    <row r="8" spans="2:32">
      <c r="B8" s="10" t="s">
        <v>7</v>
      </c>
      <c r="C8" s="29">
        <v>2.4535544487957941E-2</v>
      </c>
      <c r="D8" s="29">
        <v>58.453333266382288</v>
      </c>
      <c r="E8" s="30">
        <v>-4.7360438466363737E-2</v>
      </c>
      <c r="F8" s="31">
        <v>58.279451316749778</v>
      </c>
      <c r="G8" s="32">
        <v>0.18594328172278426</v>
      </c>
      <c r="H8" s="29">
        <v>57.809152897659914</v>
      </c>
      <c r="I8" s="30">
        <v>0.4060334133353557</v>
      </c>
      <c r="J8" s="69"/>
      <c r="K8" s="31">
        <v>57.524190071004725</v>
      </c>
      <c r="L8" s="32">
        <v>0.33615954651389446</v>
      </c>
      <c r="M8" s="29">
        <v>58.482010600825184</v>
      </c>
      <c r="N8" s="30">
        <v>-0.15229820612449779</v>
      </c>
      <c r="O8" s="31">
        <v>58.874706910153996</v>
      </c>
      <c r="P8" s="32"/>
      <c r="Q8" s="29"/>
      <c r="R8" s="30"/>
      <c r="S8" s="31"/>
      <c r="T8" s="32"/>
      <c r="U8" s="29"/>
      <c r="V8" s="30"/>
      <c r="W8" s="31"/>
      <c r="X8" s="32"/>
      <c r="Y8" s="29"/>
      <c r="Z8" s="30"/>
      <c r="AA8" s="31"/>
      <c r="AF8" s="5" t="s">
        <v>8</v>
      </c>
    </row>
    <row r="9" spans="2:32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69"/>
      <c r="K9" s="31">
        <v>0</v>
      </c>
      <c r="L9" s="32">
        <v>0</v>
      </c>
      <c r="M9" s="29">
        <v>0</v>
      </c>
      <c r="N9" s="30">
        <v>0</v>
      </c>
      <c r="O9" s="31">
        <v>0</v>
      </c>
      <c r="P9" s="32"/>
      <c r="Q9" s="29"/>
      <c r="R9" s="30"/>
      <c r="S9" s="31"/>
      <c r="T9" s="32"/>
      <c r="U9" s="29"/>
      <c r="V9" s="30"/>
      <c r="W9" s="31"/>
      <c r="X9" s="32"/>
      <c r="Y9" s="29"/>
      <c r="Z9" s="30"/>
      <c r="AA9" s="31"/>
      <c r="AF9" s="5" t="s">
        <v>10</v>
      </c>
    </row>
    <row r="10" spans="2:32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69"/>
      <c r="K10" s="31">
        <v>0</v>
      </c>
      <c r="L10" s="32">
        <v>0</v>
      </c>
      <c r="M10" s="29">
        <v>0</v>
      </c>
      <c r="N10" s="30">
        <v>0</v>
      </c>
      <c r="O10" s="31">
        <v>0</v>
      </c>
      <c r="P10" s="32"/>
      <c r="Q10" s="29"/>
      <c r="R10" s="30"/>
      <c r="S10" s="31"/>
      <c r="T10" s="32"/>
      <c r="U10" s="29"/>
      <c r="V10" s="30"/>
      <c r="W10" s="31"/>
      <c r="X10" s="32"/>
      <c r="Y10" s="29"/>
      <c r="Z10" s="30"/>
      <c r="AA10" s="31"/>
      <c r="AF10" s="5" t="s">
        <v>12</v>
      </c>
    </row>
    <row r="11" spans="2:32">
      <c r="B11" s="10" t="s">
        <v>13</v>
      </c>
      <c r="C11" s="29">
        <v>6.565684530612835E-2</v>
      </c>
      <c r="D11" s="29">
        <v>23.820448070562826</v>
      </c>
      <c r="E11" s="30">
        <v>-4.0519636252538883E-2</v>
      </c>
      <c r="F11" s="31">
        <v>23.820144569098463</v>
      </c>
      <c r="G11" s="32">
        <v>-4.1699539341670594E-3</v>
      </c>
      <c r="H11" s="29">
        <v>23.09419932087031</v>
      </c>
      <c r="I11" s="30">
        <v>0.30305290033125681</v>
      </c>
      <c r="J11" s="69"/>
      <c r="K11" s="31">
        <v>22.671692580667287</v>
      </c>
      <c r="L11" s="32">
        <v>0.1502474120266562</v>
      </c>
      <c r="M11" s="29">
        <v>22.232759483872719</v>
      </c>
      <c r="N11" s="30">
        <v>-0.18055018811790255</v>
      </c>
      <c r="O11" s="31">
        <v>22.894626248469542</v>
      </c>
      <c r="P11" s="32"/>
      <c r="Q11" s="29"/>
      <c r="R11" s="30"/>
      <c r="S11" s="31"/>
      <c r="T11" s="32"/>
      <c r="U11" s="29"/>
      <c r="V11" s="30"/>
      <c r="W11" s="31"/>
      <c r="X11" s="32"/>
      <c r="Y11" s="29"/>
      <c r="Z11" s="30"/>
      <c r="AA11" s="31"/>
      <c r="AF11" s="5" t="s">
        <v>14</v>
      </c>
    </row>
    <row r="12" spans="2:32">
      <c r="B12" s="10" t="s">
        <v>15</v>
      </c>
      <c r="C12" s="29">
        <v>1.7289691537003063E-3</v>
      </c>
      <c r="D12" s="29">
        <v>1.1394325791019173</v>
      </c>
      <c r="E12" s="30">
        <v>-1.8065209056217911E-3</v>
      </c>
      <c r="F12" s="31">
        <v>1.1385172240316381</v>
      </c>
      <c r="G12" s="32">
        <v>1.1547209634658885E-2</v>
      </c>
      <c r="H12" s="29">
        <v>1.1471537561893879</v>
      </c>
      <c r="I12" s="30">
        <v>2.0026008866090357E-2</v>
      </c>
      <c r="J12" s="69"/>
      <c r="K12" s="31">
        <v>0.91789573067114827</v>
      </c>
      <c r="L12" s="32">
        <v>-7.2247594874983506E-3</v>
      </c>
      <c r="M12" s="29">
        <v>0.90312411829511674</v>
      </c>
      <c r="N12" s="30">
        <v>-2.834042085038093E-3</v>
      </c>
      <c r="O12" s="31">
        <v>0.59295540634999955</v>
      </c>
      <c r="P12" s="32"/>
      <c r="Q12" s="29"/>
      <c r="R12" s="30"/>
      <c r="S12" s="31"/>
      <c r="T12" s="32"/>
      <c r="U12" s="29"/>
      <c r="V12" s="30"/>
      <c r="W12" s="31"/>
      <c r="X12" s="32"/>
      <c r="Y12" s="29"/>
      <c r="Z12" s="30"/>
      <c r="AA12" s="31"/>
      <c r="AF12" s="5" t="s">
        <v>16</v>
      </c>
    </row>
    <row r="13" spans="2:32">
      <c r="B13" s="10" t="s">
        <v>17</v>
      </c>
      <c r="C13" s="29">
        <v>-4.5205076638023103E-2</v>
      </c>
      <c r="D13" s="29">
        <v>6.6205424879627257</v>
      </c>
      <c r="E13" s="30">
        <v>0.15253296316241646</v>
      </c>
      <c r="F13" s="31">
        <v>6.6430804284499896</v>
      </c>
      <c r="G13" s="32">
        <v>2.3532425061105347E-3</v>
      </c>
      <c r="H13" s="29">
        <v>6.5343905217041334</v>
      </c>
      <c r="I13" s="30">
        <v>9.1567108795044372E-2</v>
      </c>
      <c r="J13" s="69"/>
      <c r="K13" s="31">
        <v>6.2587947716421164</v>
      </c>
      <c r="L13" s="32">
        <v>0.13850703182679583</v>
      </c>
      <c r="M13" s="29">
        <v>6.4649336390931307</v>
      </c>
      <c r="N13" s="30">
        <v>-8.1814088716130995E-2</v>
      </c>
      <c r="O13" s="31">
        <v>6.0961820629518577</v>
      </c>
      <c r="P13" s="32"/>
      <c r="Q13" s="29"/>
      <c r="R13" s="30"/>
      <c r="S13" s="31"/>
      <c r="T13" s="32"/>
      <c r="U13" s="29"/>
      <c r="V13" s="30"/>
      <c r="W13" s="31"/>
      <c r="X13" s="32"/>
      <c r="Y13" s="29"/>
      <c r="Z13" s="30"/>
      <c r="AA13" s="31"/>
      <c r="AF13" s="5" t="s">
        <v>18</v>
      </c>
    </row>
    <row r="14" spans="2:32">
      <c r="B14" s="10" t="s">
        <v>19</v>
      </c>
      <c r="C14" s="29">
        <v>3.6517079596616207E-3</v>
      </c>
      <c r="D14" s="29">
        <v>4.9929902885443642</v>
      </c>
      <c r="E14" s="30">
        <v>-4.359324914235338E-3</v>
      </c>
      <c r="F14" s="31">
        <v>5.2636097487333586</v>
      </c>
      <c r="G14" s="32">
        <v>7.7626820380024778E-3</v>
      </c>
      <c r="H14" s="29">
        <v>5.3382635466336534</v>
      </c>
      <c r="I14" s="30">
        <v>4.72372251652287E-2</v>
      </c>
      <c r="J14" s="69"/>
      <c r="K14" s="31">
        <v>5.2640125037759571</v>
      </c>
      <c r="L14" s="32">
        <v>3.9103342062137794E-2</v>
      </c>
      <c r="M14" s="29">
        <v>5.5303500022024634</v>
      </c>
      <c r="N14" s="30">
        <v>-5.3220367733844039E-2</v>
      </c>
      <c r="O14" s="31">
        <v>5.4759383419811032</v>
      </c>
      <c r="P14" s="32"/>
      <c r="Q14" s="29"/>
      <c r="R14" s="30"/>
      <c r="S14" s="31"/>
      <c r="T14" s="32"/>
      <c r="U14" s="29"/>
      <c r="V14" s="30"/>
      <c r="W14" s="31"/>
      <c r="X14" s="32"/>
      <c r="Y14" s="29"/>
      <c r="Z14" s="30"/>
      <c r="AA14" s="31"/>
      <c r="AF14" s="5" t="s">
        <v>20</v>
      </c>
    </row>
    <row r="15" spans="2:32">
      <c r="B15" s="10" t="s">
        <v>21</v>
      </c>
      <c r="C15" s="29">
        <v>1.5991457579338897E-2</v>
      </c>
      <c r="D15" s="29">
        <v>2.4309225501681651</v>
      </c>
      <c r="E15" s="30">
        <v>-3.9780973559085664E-2</v>
      </c>
      <c r="F15" s="31">
        <v>2.4759353197341181</v>
      </c>
      <c r="G15" s="32">
        <v>1.1905750462113715E-2</v>
      </c>
      <c r="H15" s="29">
        <v>2.4443105273436716</v>
      </c>
      <c r="I15" s="30">
        <v>2.676227292264138E-2</v>
      </c>
      <c r="J15" s="69"/>
      <c r="K15" s="31">
        <v>2.6334501814233104</v>
      </c>
      <c r="L15" s="32">
        <v>1.7571263066901113E-2</v>
      </c>
      <c r="M15" s="29">
        <v>2.6804821164168593</v>
      </c>
      <c r="N15" s="30">
        <v>-6.3708383235005661E-2</v>
      </c>
      <c r="O15" s="31">
        <v>2.7794986711018534</v>
      </c>
      <c r="P15" s="32"/>
      <c r="Q15" s="29"/>
      <c r="R15" s="30"/>
      <c r="S15" s="31"/>
      <c r="T15" s="32"/>
      <c r="U15" s="29"/>
      <c r="V15" s="30"/>
      <c r="W15" s="31"/>
      <c r="X15" s="32"/>
      <c r="Y15" s="29"/>
      <c r="Z15" s="30"/>
      <c r="AA15" s="31"/>
      <c r="AF15" s="5" t="s">
        <v>22</v>
      </c>
    </row>
    <row r="16" spans="2:32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69"/>
      <c r="K16" s="31">
        <v>0</v>
      </c>
      <c r="L16" s="32">
        <v>0</v>
      </c>
      <c r="M16" s="29">
        <v>0</v>
      </c>
      <c r="N16" s="30">
        <v>0</v>
      </c>
      <c r="O16" s="31">
        <v>0</v>
      </c>
      <c r="P16" s="32"/>
      <c r="Q16" s="29"/>
      <c r="R16" s="30"/>
      <c r="S16" s="31"/>
      <c r="T16" s="32"/>
      <c r="U16" s="29"/>
      <c r="V16" s="30"/>
      <c r="W16" s="31"/>
      <c r="X16" s="32"/>
      <c r="Y16" s="29"/>
      <c r="Z16" s="30"/>
      <c r="AA16" s="31"/>
      <c r="AF16" s="5" t="s">
        <v>24</v>
      </c>
    </row>
    <row r="17" spans="2:32">
      <c r="B17" s="10" t="s">
        <v>25</v>
      </c>
      <c r="C17" s="29">
        <v>-3.1110826113671744E-4</v>
      </c>
      <c r="D17" s="29">
        <v>2.9009993843299542E-3</v>
      </c>
      <c r="E17" s="30">
        <v>5.244940738065219E-4</v>
      </c>
      <c r="F17" s="31">
        <v>3.396779733864424E-3</v>
      </c>
      <c r="G17" s="32">
        <v>-4.118732279576892E-3</v>
      </c>
      <c r="H17" s="29">
        <v>4.9460247300911692E-4</v>
      </c>
      <c r="I17" s="30">
        <v>1.6322314367980868E-4</v>
      </c>
      <c r="J17" s="69"/>
      <c r="K17" s="31">
        <v>6.090276511000434E-4</v>
      </c>
      <c r="L17" s="32">
        <v>3.874589683736415E-4</v>
      </c>
      <c r="M17" s="29">
        <v>9.9962607554016352E-4</v>
      </c>
      <c r="N17" s="30">
        <v>-3.8189731197795147E-4</v>
      </c>
      <c r="O17" s="31">
        <v>6.0365939293809134E-4</v>
      </c>
      <c r="P17" s="32"/>
      <c r="Q17" s="29"/>
      <c r="R17" s="30"/>
      <c r="S17" s="31"/>
      <c r="T17" s="32"/>
      <c r="U17" s="29"/>
      <c r="V17" s="30"/>
      <c r="W17" s="31"/>
      <c r="X17" s="32"/>
      <c r="Y17" s="29"/>
      <c r="Z17" s="30"/>
      <c r="AA17" s="31"/>
      <c r="AF17" s="5"/>
    </row>
    <row r="18" spans="2:32">
      <c r="B18" s="10" t="s">
        <v>26</v>
      </c>
      <c r="C18" s="29">
        <v>0.12067364986160881</v>
      </c>
      <c r="D18" s="29">
        <v>0.19867214764617008</v>
      </c>
      <c r="E18" s="30">
        <v>0.11850348593771447</v>
      </c>
      <c r="F18" s="31">
        <v>0.12108938072700616</v>
      </c>
      <c r="G18" s="32">
        <v>5.6156088851513332E-2</v>
      </c>
      <c r="H18" s="29">
        <v>0.12515907344612001</v>
      </c>
      <c r="I18" s="30">
        <v>6.9911734897191904E-3</v>
      </c>
      <c r="J18" s="69"/>
      <c r="K18" s="31">
        <v>9.5162359713136413E-2</v>
      </c>
      <c r="L18" s="32">
        <v>4.3002561427872364E-2</v>
      </c>
      <c r="M18" s="29">
        <v>0.11129531044537365</v>
      </c>
      <c r="N18" s="30">
        <v>7.3204261572558049E-2</v>
      </c>
      <c r="O18" s="31">
        <v>0.12842866383939963</v>
      </c>
      <c r="P18" s="32"/>
      <c r="Q18" s="29"/>
      <c r="R18" s="30"/>
      <c r="S18" s="31"/>
      <c r="T18" s="32"/>
      <c r="U18" s="29"/>
      <c r="V18" s="30"/>
      <c r="W18" s="31"/>
      <c r="X18" s="32"/>
      <c r="Y18" s="29"/>
      <c r="Z18" s="30"/>
      <c r="AA18" s="31"/>
      <c r="AF18" s="5"/>
    </row>
    <row r="19" spans="2:32">
      <c r="B19" s="10" t="s">
        <v>27</v>
      </c>
      <c r="C19" s="29">
        <v>-9.6510795858576284E-4</v>
      </c>
      <c r="D19" s="29">
        <v>0.18940404667045904</v>
      </c>
      <c r="E19" s="30">
        <v>1.3469910292306089E-3</v>
      </c>
      <c r="F19" s="31">
        <v>0.26665537467253664</v>
      </c>
      <c r="G19" s="32">
        <v>7.1406512431631854E-3</v>
      </c>
      <c r="H19" s="29">
        <v>0.24547645804857773</v>
      </c>
      <c r="I19" s="30">
        <v>1.0914037011881112E-3</v>
      </c>
      <c r="J19" s="69"/>
      <c r="K19" s="31">
        <v>0.22475665820467328</v>
      </c>
      <c r="L19" s="32">
        <v>9.5633461995084136E-3</v>
      </c>
      <c r="M19" s="29">
        <v>0.19695322083409633</v>
      </c>
      <c r="N19" s="30">
        <v>-2.8072292957036756E-3</v>
      </c>
      <c r="O19" s="31">
        <v>0.17502891926860514</v>
      </c>
      <c r="P19" s="32"/>
      <c r="Q19" s="29"/>
      <c r="R19" s="30"/>
      <c r="S19" s="31"/>
      <c r="T19" s="32"/>
      <c r="U19" s="29"/>
      <c r="V19" s="30"/>
      <c r="W19" s="31"/>
      <c r="X19" s="32"/>
      <c r="Y19" s="29"/>
      <c r="Z19" s="30"/>
      <c r="AA19" s="31"/>
      <c r="AF19" s="5"/>
    </row>
    <row r="20" spans="2:32">
      <c r="B20" s="10" t="s">
        <v>28</v>
      </c>
      <c r="C20" s="29">
        <v>9.5769882163744199E-4</v>
      </c>
      <c r="D20" s="29">
        <v>3.0584834131382285E-2</v>
      </c>
      <c r="E20" s="30">
        <v>2.0626138502419927E-3</v>
      </c>
      <c r="F20" s="31">
        <v>3.297318320870269E-2</v>
      </c>
      <c r="G20" s="32">
        <v>5.8431236952763367E-4</v>
      </c>
      <c r="H20" s="29">
        <v>3.2986483763163509E-2</v>
      </c>
      <c r="I20" s="30">
        <v>-8.4406128852693597E-4</v>
      </c>
      <c r="J20" s="69"/>
      <c r="K20" s="31">
        <v>1.9116674972868921E-2</v>
      </c>
      <c r="L20" s="32">
        <v>-4.1218132659697946E-4</v>
      </c>
      <c r="M20" s="29">
        <v>1.8263147809561293E-2</v>
      </c>
      <c r="N20" s="30">
        <v>-2.4314532128837986E-4</v>
      </c>
      <c r="O20" s="31">
        <v>1.7337522821536215E-2</v>
      </c>
      <c r="P20" s="32"/>
      <c r="Q20" s="29"/>
      <c r="R20" s="30"/>
      <c r="S20" s="31"/>
      <c r="T20" s="32"/>
      <c r="U20" s="29"/>
      <c r="V20" s="30"/>
      <c r="W20" s="31"/>
      <c r="X20" s="32"/>
      <c r="Y20" s="29"/>
      <c r="Z20" s="30"/>
      <c r="AA20" s="31"/>
    </row>
    <row r="21" spans="2:32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69"/>
      <c r="K21" s="31">
        <v>0</v>
      </c>
      <c r="L21" s="32">
        <v>0</v>
      </c>
      <c r="M21" s="29">
        <v>0</v>
      </c>
      <c r="N21" s="30">
        <v>0</v>
      </c>
      <c r="O21" s="31">
        <v>0</v>
      </c>
      <c r="P21" s="32"/>
      <c r="Q21" s="29"/>
      <c r="R21" s="30"/>
      <c r="S21" s="31"/>
      <c r="T21" s="32"/>
      <c r="U21" s="29"/>
      <c r="V21" s="30"/>
      <c r="W21" s="31"/>
      <c r="X21" s="32"/>
      <c r="Y21" s="29"/>
      <c r="Z21" s="30"/>
      <c r="AA21" s="31"/>
    </row>
    <row r="22" spans="2:32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69"/>
      <c r="K22" s="31">
        <v>0</v>
      </c>
      <c r="L22" s="32">
        <v>0</v>
      </c>
      <c r="M22" s="29">
        <v>0</v>
      </c>
      <c r="N22" s="30">
        <v>0</v>
      </c>
      <c r="O22" s="31">
        <v>0</v>
      </c>
      <c r="P22" s="32"/>
      <c r="Q22" s="29"/>
      <c r="R22" s="30"/>
      <c r="S22" s="31"/>
      <c r="T22" s="32"/>
      <c r="U22" s="29"/>
      <c r="V22" s="30"/>
      <c r="W22" s="31"/>
      <c r="X22" s="32"/>
      <c r="Y22" s="29"/>
      <c r="Z22" s="30"/>
      <c r="AA22" s="31"/>
    </row>
    <row r="23" spans="2:32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69"/>
      <c r="K23" s="31">
        <v>0</v>
      </c>
      <c r="L23" s="32">
        <v>0</v>
      </c>
      <c r="M23" s="29">
        <v>0</v>
      </c>
      <c r="N23" s="30">
        <v>0</v>
      </c>
      <c r="O23" s="31">
        <v>0</v>
      </c>
      <c r="P23" s="32"/>
      <c r="Q23" s="29"/>
      <c r="R23" s="30"/>
      <c r="S23" s="31"/>
      <c r="T23" s="32"/>
      <c r="U23" s="29"/>
      <c r="V23" s="30"/>
      <c r="W23" s="31"/>
      <c r="X23" s="32"/>
      <c r="Y23" s="29"/>
      <c r="Z23" s="30"/>
      <c r="AA23" s="31"/>
    </row>
    <row r="24" spans="2:32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69"/>
      <c r="K24" s="31">
        <v>0</v>
      </c>
      <c r="L24" s="32">
        <v>0</v>
      </c>
      <c r="M24" s="29">
        <v>0</v>
      </c>
      <c r="N24" s="30">
        <v>0</v>
      </c>
      <c r="O24" s="31">
        <v>0</v>
      </c>
      <c r="P24" s="32"/>
      <c r="Q24" s="29"/>
      <c r="R24" s="30"/>
      <c r="S24" s="31"/>
      <c r="T24" s="32"/>
      <c r="U24" s="29"/>
      <c r="V24" s="30"/>
      <c r="W24" s="31"/>
      <c r="X24" s="32"/>
      <c r="Y24" s="29"/>
      <c r="Z24" s="30"/>
      <c r="AA24" s="31"/>
    </row>
    <row r="25" spans="2:32">
      <c r="B25" s="10" t="s">
        <v>33</v>
      </c>
      <c r="C25" s="29">
        <v>9.313073656825316E-4</v>
      </c>
      <c r="D25" s="29">
        <v>-3.9741576713645262E-2</v>
      </c>
      <c r="E25" s="30">
        <v>1.7745834958925585E-3</v>
      </c>
      <c r="F25" s="31">
        <v>-5.7779489848542295E-2</v>
      </c>
      <c r="G25" s="32">
        <v>1.8029386740661156E-4</v>
      </c>
      <c r="H25" s="29">
        <v>-2.8226827800282829E-2</v>
      </c>
      <c r="I25" s="30">
        <v>1.7934506145908441E-5</v>
      </c>
      <c r="J25" s="69"/>
      <c r="K25" s="31">
        <v>-4.0257414387857599E-2</v>
      </c>
      <c r="L25" s="32">
        <v>5.5564642223980131E-4</v>
      </c>
      <c r="M25" s="29">
        <v>-5.6409572609204955E-2</v>
      </c>
      <c r="N25" s="30">
        <v>3.7877816762579074E-3</v>
      </c>
      <c r="O25" s="31">
        <v>-6.7673302279625994E-2</v>
      </c>
      <c r="P25" s="32"/>
      <c r="Q25" s="29"/>
      <c r="R25" s="30"/>
      <c r="S25" s="31"/>
      <c r="T25" s="32"/>
      <c r="U25" s="29"/>
      <c r="V25" s="30"/>
      <c r="W25" s="31"/>
      <c r="X25" s="32"/>
      <c r="Y25" s="29"/>
      <c r="Z25" s="30"/>
      <c r="AA25" s="31"/>
    </row>
    <row r="26" spans="2:32" s="44" customFormat="1">
      <c r="B26" s="11" t="s">
        <v>34</v>
      </c>
      <c r="C26" s="41">
        <v>0.18448590074822138</v>
      </c>
      <c r="D26" s="41">
        <v>99.999999999999986</v>
      </c>
      <c r="E26" s="42">
        <v>0.12463151545196727</v>
      </c>
      <c r="F26" s="37">
        <v>100</v>
      </c>
      <c r="G26" s="43">
        <v>0.26183733927713781</v>
      </c>
      <c r="H26" s="41">
        <v>99.999999999999972</v>
      </c>
      <c r="I26" s="42">
        <v>0.89879802518644258</v>
      </c>
      <c r="J26" s="70"/>
      <c r="K26" s="37">
        <v>100.00000000000001</v>
      </c>
      <c r="L26" s="41">
        <v>0.72218137886297396</v>
      </c>
      <c r="M26" s="41">
        <v>99.999999999999986</v>
      </c>
      <c r="N26" s="42">
        <v>-0.4676583633551944</v>
      </c>
      <c r="O26" s="37">
        <v>100.00000000000001</v>
      </c>
      <c r="P26" s="43">
        <v>0</v>
      </c>
      <c r="Q26" s="41">
        <v>0</v>
      </c>
      <c r="R26" s="42">
        <v>0</v>
      </c>
      <c r="S26" s="37">
        <v>0</v>
      </c>
      <c r="T26" s="41">
        <v>0</v>
      </c>
      <c r="U26" s="41">
        <v>0</v>
      </c>
      <c r="V26" s="42">
        <v>0</v>
      </c>
      <c r="W26" s="37">
        <v>0</v>
      </c>
      <c r="X26" s="43">
        <v>0</v>
      </c>
      <c r="Y26" s="41">
        <v>0</v>
      </c>
      <c r="Z26" s="42">
        <v>0</v>
      </c>
      <c r="AA26" s="37">
        <v>0</v>
      </c>
    </row>
    <row r="27" spans="2:32" s="50" customFormat="1">
      <c r="B27" s="45" t="s">
        <v>40</v>
      </c>
      <c r="C27" s="46"/>
      <c r="D27" s="49">
        <v>19.218225059999991</v>
      </c>
      <c r="E27" s="47"/>
      <c r="F27" s="49">
        <v>13.590990542999997</v>
      </c>
      <c r="G27" s="48"/>
      <c r="H27" s="49">
        <v>33.038025236999999</v>
      </c>
      <c r="I27" s="47"/>
      <c r="J27" s="71"/>
      <c r="K27" s="49">
        <v>97.104131812999981</v>
      </c>
      <c r="L27" s="48"/>
      <c r="M27" s="49">
        <v>101.45861614000003</v>
      </c>
      <c r="N27" s="47"/>
      <c r="O27" s="49">
        <v>-79.042000551000001</v>
      </c>
      <c r="P27" s="48"/>
      <c r="Q27" s="49"/>
      <c r="R27" s="47"/>
      <c r="S27" s="49"/>
      <c r="T27" s="48"/>
      <c r="U27" s="49"/>
      <c r="V27" s="47"/>
      <c r="W27" s="49"/>
      <c r="X27" s="48"/>
      <c r="Y27" s="49"/>
      <c r="Z27" s="47"/>
      <c r="AA27" s="49"/>
    </row>
    <row r="28" spans="2:32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2:32">
      <c r="B29" s="9" t="s">
        <v>35</v>
      </c>
      <c r="C29" s="29">
        <v>0.21314680453392928</v>
      </c>
      <c r="D29" s="29">
        <v>88.430429372660967</v>
      </c>
      <c r="E29" s="30">
        <v>0.21980716736968017</v>
      </c>
      <c r="F29" s="31">
        <v>88.415612975979229</v>
      </c>
      <c r="G29" s="29">
        <v>0.23862419963464376</v>
      </c>
      <c r="H29" s="29">
        <v>88.467206255831286</v>
      </c>
      <c r="I29" s="30">
        <v>0.75065069768718473</v>
      </c>
      <c r="J29" s="69"/>
      <c r="K29" s="31">
        <v>88.572855551908418</v>
      </c>
      <c r="L29" s="32">
        <v>0.69909465715177488</v>
      </c>
      <c r="M29" s="29">
        <v>88.303001838485116</v>
      </c>
      <c r="N29" s="30">
        <v>-0.20395888869923903</v>
      </c>
      <c r="O29" s="31">
        <v>87.958216117843349</v>
      </c>
      <c r="P29" s="32"/>
      <c r="Q29" s="29"/>
      <c r="R29" s="30"/>
      <c r="S29" s="31"/>
      <c r="T29" s="32"/>
      <c r="U29" s="29"/>
      <c r="V29" s="30"/>
      <c r="W29" s="31"/>
      <c r="X29" s="32"/>
      <c r="Y29" s="29"/>
      <c r="Z29" s="30"/>
      <c r="AA29" s="31"/>
    </row>
    <row r="30" spans="2:32">
      <c r="B30" s="10" t="s">
        <v>36</v>
      </c>
      <c r="C30" s="29">
        <v>-2.8660903785707924E-2</v>
      </c>
      <c r="D30" s="29">
        <v>11.569570627339028</v>
      </c>
      <c r="E30" s="30">
        <v>-9.5175651917712906E-2</v>
      </c>
      <c r="F30" s="31">
        <v>11.584387024020765</v>
      </c>
      <c r="G30" s="29">
        <v>2.3213139642494073E-2</v>
      </c>
      <c r="H30" s="29">
        <v>11.532793744168707</v>
      </c>
      <c r="I30" s="31">
        <v>0.14814732749925782</v>
      </c>
      <c r="J30" s="31"/>
      <c r="K30" s="31">
        <v>11.427144448091592</v>
      </c>
      <c r="L30" s="32">
        <v>2.3086721711198965E-2</v>
      </c>
      <c r="M30" s="29">
        <v>11.696998161514875</v>
      </c>
      <c r="N30" s="30">
        <v>-0.2636994746559555</v>
      </c>
      <c r="O30" s="31">
        <v>12.041783882156661</v>
      </c>
      <c r="P30" s="32"/>
      <c r="Q30" s="29"/>
      <c r="R30" s="30"/>
      <c r="S30" s="31"/>
      <c r="T30" s="32"/>
      <c r="U30" s="29"/>
      <c r="V30" s="30"/>
      <c r="W30" s="31"/>
      <c r="X30" s="32"/>
      <c r="Y30" s="29"/>
      <c r="Z30" s="30"/>
      <c r="AA30" s="31"/>
    </row>
    <row r="31" spans="2:32">
      <c r="B31" s="11" t="s">
        <v>34</v>
      </c>
      <c r="C31" s="41">
        <v>0.18448590074822135</v>
      </c>
      <c r="D31" s="41">
        <v>100</v>
      </c>
      <c r="E31" s="37">
        <v>0.12463151545196727</v>
      </c>
      <c r="F31" s="37">
        <v>100</v>
      </c>
      <c r="G31" s="41">
        <v>0.26183733927713781</v>
      </c>
      <c r="H31" s="41">
        <v>100</v>
      </c>
      <c r="I31" s="37">
        <v>0.89879802518644258</v>
      </c>
      <c r="J31" s="37"/>
      <c r="K31" s="37">
        <v>100.00000000000001</v>
      </c>
      <c r="L31" s="41">
        <v>0.72218137886297384</v>
      </c>
      <c r="M31" s="41">
        <v>99.999999999999986</v>
      </c>
      <c r="N31" s="37">
        <v>-0.46765836335519451</v>
      </c>
      <c r="O31" s="37">
        <v>100.00000000000001</v>
      </c>
      <c r="P31" s="41">
        <v>0</v>
      </c>
      <c r="Q31" s="41">
        <v>0</v>
      </c>
      <c r="R31" s="37">
        <v>0</v>
      </c>
      <c r="S31" s="37">
        <v>0</v>
      </c>
      <c r="T31" s="41">
        <v>0</v>
      </c>
      <c r="U31" s="41">
        <v>0</v>
      </c>
      <c r="V31" s="37">
        <v>0</v>
      </c>
      <c r="W31" s="37">
        <v>0</v>
      </c>
      <c r="X31" s="41">
        <v>0</v>
      </c>
      <c r="Y31" s="41">
        <v>0</v>
      </c>
      <c r="Z31" s="37">
        <v>0</v>
      </c>
      <c r="AA31" s="37">
        <v>0</v>
      </c>
    </row>
    <row r="32" spans="2:3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2:27">
      <c r="B33" s="9" t="s">
        <v>37</v>
      </c>
      <c r="C33" s="29">
        <v>6.1216180506961856E-2</v>
      </c>
      <c r="D33" s="29">
        <v>98.701461490039151</v>
      </c>
      <c r="E33" s="30">
        <v>6.1850815627585431E-3</v>
      </c>
      <c r="F33" s="31">
        <v>98.798024209517294</v>
      </c>
      <c r="G33" s="29">
        <v>0.19402749240517075</v>
      </c>
      <c r="H33" s="29">
        <v>98.755819992749011</v>
      </c>
      <c r="I33" s="30">
        <v>0.87175415864347794</v>
      </c>
      <c r="J33" s="69"/>
      <c r="K33" s="31">
        <v>99.027105053665892</v>
      </c>
      <c r="L33" s="32">
        <v>0.68587018193389471</v>
      </c>
      <c r="M33" s="29">
        <v>99.041919942236433</v>
      </c>
      <c r="N33" s="30">
        <v>-0.54005842101710355</v>
      </c>
      <c r="O33" s="31">
        <v>99.347621273927459</v>
      </c>
      <c r="P33" s="32"/>
      <c r="Q33" s="29"/>
      <c r="R33" s="30"/>
      <c r="S33" s="31"/>
      <c r="T33" s="32"/>
      <c r="U33" s="29"/>
      <c r="V33" s="30"/>
      <c r="W33" s="31"/>
      <c r="X33" s="32"/>
      <c r="Y33" s="29"/>
      <c r="Z33" s="30"/>
      <c r="AA33" s="31"/>
    </row>
    <row r="34" spans="2:27">
      <c r="B34" s="10" t="s">
        <v>38</v>
      </c>
      <c r="C34" s="29">
        <v>0.1232697202412595</v>
      </c>
      <c r="D34" s="29">
        <v>1.2985385099608648</v>
      </c>
      <c r="E34" s="30">
        <v>0.11844643388920872</v>
      </c>
      <c r="F34" s="31">
        <v>1.2019757904827117</v>
      </c>
      <c r="G34" s="29">
        <v>6.7809846871967033E-2</v>
      </c>
      <c r="H34" s="29">
        <v>1.2441800072509916</v>
      </c>
      <c r="I34" s="31">
        <v>2.7043866542964423E-2</v>
      </c>
      <c r="J34" s="31"/>
      <c r="K34" s="31">
        <v>0.97289494633409535</v>
      </c>
      <c r="L34" s="32">
        <v>3.6311196929079137E-2</v>
      </c>
      <c r="M34" s="29">
        <v>0.9580800577635662</v>
      </c>
      <c r="N34" s="30">
        <v>7.2400057661909045E-2</v>
      </c>
      <c r="O34" s="31">
        <v>0.6523787260725431</v>
      </c>
      <c r="P34" s="32"/>
      <c r="Q34" s="29"/>
      <c r="R34" s="30"/>
      <c r="S34" s="31"/>
      <c r="T34" s="32"/>
      <c r="U34" s="29"/>
      <c r="V34" s="30"/>
      <c r="W34" s="31"/>
      <c r="X34" s="32"/>
      <c r="Y34" s="29"/>
      <c r="Z34" s="30"/>
      <c r="AA34" s="31"/>
    </row>
    <row r="35" spans="2:27">
      <c r="B35" s="11" t="s">
        <v>34</v>
      </c>
      <c r="C35" s="41">
        <v>0.18448590074822135</v>
      </c>
      <c r="D35" s="41">
        <v>100.00000000000001</v>
      </c>
      <c r="E35" s="37">
        <v>0.12463151545196727</v>
      </c>
      <c r="F35" s="37">
        <v>100</v>
      </c>
      <c r="G35" s="41">
        <v>0.26183733927713781</v>
      </c>
      <c r="H35" s="41">
        <v>100</v>
      </c>
      <c r="I35" s="37">
        <v>0.89879802518644236</v>
      </c>
      <c r="J35" s="37"/>
      <c r="K35" s="37">
        <v>99.999999999999986</v>
      </c>
      <c r="L35" s="41">
        <v>0.72218137886297384</v>
      </c>
      <c r="M35" s="41">
        <v>100</v>
      </c>
      <c r="N35" s="37">
        <v>-0.46765836335519451</v>
      </c>
      <c r="O35" s="37">
        <v>100</v>
      </c>
      <c r="P35" s="41">
        <v>0</v>
      </c>
      <c r="Q35" s="41">
        <v>0</v>
      </c>
      <c r="R35" s="37">
        <v>0</v>
      </c>
      <c r="S35" s="37">
        <v>0</v>
      </c>
      <c r="T35" s="41">
        <v>0</v>
      </c>
      <c r="U35" s="41">
        <v>0</v>
      </c>
      <c r="V35" s="37">
        <v>0</v>
      </c>
      <c r="W35" s="37">
        <v>0</v>
      </c>
      <c r="X35" s="41">
        <v>0</v>
      </c>
      <c r="Y35" s="41">
        <v>0</v>
      </c>
      <c r="Z35" s="37">
        <v>0</v>
      </c>
      <c r="AA35" s="37">
        <v>0</v>
      </c>
    </row>
    <row r="36" spans="2:27">
      <c r="B36" s="12"/>
      <c r="C36" s="13"/>
      <c r="D36" s="13"/>
      <c r="E36" s="13"/>
      <c r="F36" s="13"/>
      <c r="G36" s="13"/>
      <c r="H36" s="13"/>
      <c r="I36" s="64"/>
      <c r="J36" s="64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2:27">
      <c r="C37" s="26"/>
      <c r="D37" s="26"/>
      <c r="E37" s="76"/>
      <c r="F37" s="76"/>
      <c r="G37" s="26"/>
      <c r="H37" s="26"/>
      <c r="I37" s="27"/>
      <c r="J37" s="27"/>
      <c r="K37" s="27"/>
    </row>
    <row r="38" spans="2:27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1"/>
      <c r="K38" s="80"/>
    </row>
    <row r="39" spans="2:27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68"/>
      <c r="K39" s="24" t="s">
        <v>3</v>
      </c>
    </row>
    <row r="40" spans="2:27">
      <c r="B40" s="9" t="s">
        <v>5</v>
      </c>
      <c r="C40" s="32">
        <v>-3.4921454795239941E-2</v>
      </c>
      <c r="D40" s="29">
        <v>3.2566396396683253</v>
      </c>
      <c r="E40" s="69">
        <v>-5.8510349389285177E-2</v>
      </c>
      <c r="F40" s="69">
        <v>3.0323668959488179</v>
      </c>
      <c r="G40" s="32"/>
      <c r="H40" s="29"/>
      <c r="I40" s="30"/>
      <c r="J40" s="69"/>
      <c r="K40" s="31"/>
    </row>
    <row r="41" spans="2:27">
      <c r="B41" s="10" t="s">
        <v>7</v>
      </c>
      <c r="C41" s="32">
        <v>0.18114509428402503</v>
      </c>
      <c r="D41" s="29">
        <v>57.809152897659914</v>
      </c>
      <c r="E41" s="69">
        <v>0.8049074629590337</v>
      </c>
      <c r="F41" s="69">
        <v>58.874706910153996</v>
      </c>
      <c r="G41" s="32"/>
      <c r="H41" s="29"/>
      <c r="I41" s="30"/>
      <c r="J41" s="69"/>
      <c r="K41" s="31"/>
    </row>
    <row r="42" spans="2:27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69"/>
      <c r="K42" s="31"/>
    </row>
    <row r="43" spans="2:27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69"/>
      <c r="K43" s="31"/>
    </row>
    <row r="44" spans="2:27">
      <c r="B44" s="10" t="s">
        <v>13</v>
      </c>
      <c r="C44" s="32">
        <v>1.64594906788306E-2</v>
      </c>
      <c r="D44" s="29">
        <v>23.09419932087031</v>
      </c>
      <c r="E44" s="69">
        <v>0.23555556654129783</v>
      </c>
      <c r="F44" s="69">
        <v>22.894626248469542</v>
      </c>
      <c r="G44" s="32"/>
      <c r="H44" s="29"/>
      <c r="I44" s="30"/>
      <c r="J44" s="69"/>
      <c r="K44" s="31"/>
    </row>
    <row r="45" spans="2:27">
      <c r="B45" s="10" t="s">
        <v>15</v>
      </c>
      <c r="C45" s="32">
        <v>1.2509789598260112E-2</v>
      </c>
      <c r="D45" s="29">
        <v>1.1471537561893879</v>
      </c>
      <c r="E45" s="69">
        <v>1.9698096370861399E-2</v>
      </c>
      <c r="F45" s="69">
        <v>0.59295540634999955</v>
      </c>
      <c r="G45" s="32"/>
      <c r="H45" s="29"/>
      <c r="I45" s="30"/>
      <c r="J45" s="69"/>
      <c r="K45" s="31"/>
    </row>
    <row r="46" spans="2:27">
      <c r="B46" s="10" t="s">
        <v>17</v>
      </c>
      <c r="C46" s="32">
        <v>0.10616404982077859</v>
      </c>
      <c r="D46" s="29">
        <v>6.5343905217041334</v>
      </c>
      <c r="E46" s="69">
        <v>0.25905548309468762</v>
      </c>
      <c r="F46" s="69">
        <v>6.0961820629518577</v>
      </c>
      <c r="G46" s="32"/>
      <c r="H46" s="29"/>
      <c r="I46" s="30"/>
      <c r="J46" s="69"/>
      <c r="K46" s="31"/>
    </row>
    <row r="47" spans="2:27">
      <c r="B47" s="10" t="s">
        <v>19</v>
      </c>
      <c r="C47" s="32">
        <v>7.6833816028032739E-3</v>
      </c>
      <c r="D47" s="29">
        <v>5.3382635466336534</v>
      </c>
      <c r="E47" s="69">
        <v>2.3215359713475051E-2</v>
      </c>
      <c r="F47" s="69">
        <v>5.4759383419811032</v>
      </c>
      <c r="G47" s="32"/>
      <c r="H47" s="29"/>
      <c r="I47" s="30"/>
      <c r="J47" s="69"/>
      <c r="K47" s="31"/>
    </row>
    <row r="48" spans="2:27">
      <c r="B48" s="10" t="s">
        <v>21</v>
      </c>
      <c r="C48" s="32">
        <v>-1.0163362717536501E-2</v>
      </c>
      <c r="D48" s="29">
        <v>2.4443105273436716</v>
      </c>
      <c r="E48" s="69">
        <v>-6.1417627983837063E-2</v>
      </c>
      <c r="F48" s="69">
        <v>2.7794986711018534</v>
      </c>
      <c r="G48" s="32"/>
      <c r="H48" s="29"/>
      <c r="I48" s="30"/>
      <c r="J48" s="69"/>
      <c r="K48" s="31"/>
    </row>
    <row r="49" spans="2:15">
      <c r="B49" s="10" t="s">
        <v>23</v>
      </c>
      <c r="C49" s="32">
        <v>0</v>
      </c>
      <c r="D49" s="66">
        <v>0</v>
      </c>
      <c r="E49" s="69">
        <v>0</v>
      </c>
      <c r="F49" s="69">
        <v>0</v>
      </c>
      <c r="G49" s="32"/>
      <c r="H49" s="29"/>
      <c r="I49" s="30"/>
      <c r="J49" s="69"/>
      <c r="K49" s="31"/>
    </row>
    <row r="50" spans="2:15">
      <c r="B50" s="10" t="s">
        <v>25</v>
      </c>
      <c r="C50" s="32">
        <v>-4.2990869373769024E-3</v>
      </c>
      <c r="D50" s="29">
        <v>4.9460247300911692E-4</v>
      </c>
      <c r="E50" s="69">
        <v>-4.550717552518453E-3</v>
      </c>
      <c r="F50" s="69">
        <v>6.0365939293809134E-4</v>
      </c>
      <c r="G50" s="32"/>
      <c r="H50" s="29"/>
      <c r="I50" s="30"/>
      <c r="J50" s="69"/>
      <c r="K50" s="31"/>
    </row>
    <row r="51" spans="2:15">
      <c r="B51" s="10" t="s">
        <v>26</v>
      </c>
      <c r="C51" s="32">
        <v>0.283005167828347</v>
      </c>
      <c r="D51" s="29">
        <v>0.12515907344612001</v>
      </c>
      <c r="E51" s="69">
        <v>0.48317815085760429</v>
      </c>
      <c r="F51" s="69">
        <v>0.12842866383939963</v>
      </c>
      <c r="G51" s="32"/>
      <c r="H51" s="29"/>
      <c r="I51" s="30"/>
      <c r="J51" s="69"/>
      <c r="K51" s="31"/>
    </row>
    <row r="52" spans="2:15">
      <c r="B52" s="10" t="s">
        <v>27</v>
      </c>
      <c r="C52" s="32">
        <v>8.2292700297143494E-3</v>
      </c>
      <c r="D52" s="29">
        <v>0.24547645804857773</v>
      </c>
      <c r="E52" s="69">
        <v>1.8060920897028633E-2</v>
      </c>
      <c r="F52" s="69">
        <v>0.17502891926860514</v>
      </c>
      <c r="G52" s="32"/>
      <c r="H52" s="29"/>
      <c r="I52" s="30"/>
      <c r="J52" s="69"/>
      <c r="K52" s="31"/>
    </row>
    <row r="53" spans="2:15">
      <c r="B53" s="10" t="s">
        <v>28</v>
      </c>
      <c r="C53" s="32">
        <v>3.4609442160525371E-3</v>
      </c>
      <c r="D53" s="29">
        <v>3.2986483763163509E-2</v>
      </c>
      <c r="E53" s="69">
        <v>1.9442128438462054E-3</v>
      </c>
      <c r="F53" s="69">
        <v>1.7337522821536215E-2</v>
      </c>
      <c r="G53" s="32"/>
      <c r="H53" s="29"/>
      <c r="I53" s="30"/>
      <c r="J53" s="69"/>
      <c r="K53" s="31"/>
    </row>
    <row r="54" spans="2:15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30"/>
      <c r="J54" s="69"/>
      <c r="K54" s="31"/>
    </row>
    <row r="55" spans="2:15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69"/>
      <c r="K55" s="31"/>
    </row>
    <row r="56" spans="2:15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69"/>
      <c r="K56" s="31"/>
    </row>
    <row r="57" spans="2:15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69"/>
      <c r="K57" s="31"/>
    </row>
    <row r="58" spans="2:15">
      <c r="B58" s="10" t="s">
        <v>33</v>
      </c>
      <c r="C58" s="32">
        <v>2.721386296615484E-3</v>
      </c>
      <c r="D58" s="29">
        <v>-2.8226827800282829E-2</v>
      </c>
      <c r="E58" s="69">
        <v>9.6496312453273891E-3</v>
      </c>
      <c r="F58" s="69">
        <v>-6.7673302279625994E-2</v>
      </c>
      <c r="G58" s="32"/>
      <c r="H58" s="29"/>
      <c r="I58" s="30"/>
      <c r="J58" s="69"/>
      <c r="K58" s="31"/>
    </row>
    <row r="59" spans="2:15">
      <c r="B59" s="11" t="s">
        <v>34</v>
      </c>
      <c r="C59" s="34">
        <v>0.57199466990527359</v>
      </c>
      <c r="D59" s="29">
        <v>99.999999999999972</v>
      </c>
      <c r="E59" s="51">
        <v>1.7307861895975218</v>
      </c>
      <c r="F59" s="31">
        <v>99.999999999999986</v>
      </c>
      <c r="G59" s="32"/>
      <c r="H59" s="39"/>
      <c r="I59" s="40"/>
      <c r="J59" s="72"/>
      <c r="K59" s="37"/>
      <c r="N59" s="35"/>
    </row>
    <row r="60" spans="2:15">
      <c r="B60" s="28" t="s">
        <v>40</v>
      </c>
      <c r="C60" s="34"/>
      <c r="D60" s="65">
        <v>65.847240839999984</v>
      </c>
      <c r="E60" s="25"/>
      <c r="F60" s="33">
        <v>185.36798824200002</v>
      </c>
      <c r="G60" s="19"/>
      <c r="H60" s="20"/>
      <c r="I60" s="25"/>
      <c r="J60" s="73"/>
      <c r="K60" s="20"/>
      <c r="O60" s="36"/>
    </row>
    <row r="61" spans="2:15">
      <c r="B61" s="12"/>
      <c r="C61" s="13"/>
      <c r="D61" s="13"/>
      <c r="E61" s="13"/>
      <c r="F61" s="13"/>
      <c r="G61" s="13"/>
      <c r="H61" s="13"/>
      <c r="I61" s="13"/>
      <c r="J61" s="13"/>
      <c r="K61" s="13"/>
    </row>
    <row r="62" spans="2:15">
      <c r="B62" s="9" t="s">
        <v>35</v>
      </c>
      <c r="C62" s="32">
        <v>0.66264484970988391</v>
      </c>
      <c r="D62" s="53">
        <v>88.467206255831286</v>
      </c>
      <c r="E62" s="69">
        <v>2.064642463523739</v>
      </c>
      <c r="F62" s="69">
        <v>87.958216117843349</v>
      </c>
      <c r="G62" s="52"/>
      <c r="H62" s="53"/>
      <c r="I62" s="54"/>
      <c r="J62" s="74"/>
      <c r="K62" s="55"/>
    </row>
    <row r="63" spans="2:15">
      <c r="B63" s="10" t="s">
        <v>36</v>
      </c>
      <c r="C63" s="32">
        <v>-9.065017980461032E-2</v>
      </c>
      <c r="D63" s="29">
        <v>11.532793744168707</v>
      </c>
      <c r="E63" s="69">
        <v>-0.33385627392621758</v>
      </c>
      <c r="F63" s="69">
        <v>12.041783882156661</v>
      </c>
      <c r="G63" s="32"/>
      <c r="H63" s="29"/>
      <c r="I63" s="30"/>
      <c r="J63" s="69"/>
      <c r="K63" s="31"/>
    </row>
    <row r="64" spans="2:15">
      <c r="B64" s="11" t="s">
        <v>34</v>
      </c>
      <c r="C64" s="34">
        <v>0.57199466990527359</v>
      </c>
      <c r="D64" s="34">
        <v>100</v>
      </c>
      <c r="E64" s="51">
        <v>1.7307861895975214</v>
      </c>
      <c r="F64" s="57">
        <v>100.00000000000001</v>
      </c>
      <c r="G64" s="32"/>
      <c r="H64" s="39"/>
      <c r="I64" s="40"/>
      <c r="J64" s="72"/>
      <c r="K64" s="37"/>
    </row>
    <row r="65" spans="2:11">
      <c r="B65" s="12"/>
      <c r="C65" s="13"/>
      <c r="D65" s="13"/>
      <c r="E65" s="13"/>
      <c r="F65" s="13"/>
      <c r="G65" s="56"/>
      <c r="H65" s="56"/>
      <c r="I65" s="56"/>
      <c r="J65" s="56"/>
      <c r="K65" s="56"/>
    </row>
    <row r="66" spans="2:11">
      <c r="B66" s="9" t="s">
        <v>37</v>
      </c>
      <c r="C66" s="32">
        <v>0.27392104734671502</v>
      </c>
      <c r="D66" s="53">
        <v>98.755819992749011</v>
      </c>
      <c r="E66" s="69">
        <v>1.2212298088844464</v>
      </c>
      <c r="F66" s="69">
        <v>99.347621273927459</v>
      </c>
      <c r="G66" s="52"/>
      <c r="H66" s="53"/>
      <c r="I66" s="54"/>
      <c r="J66" s="74"/>
      <c r="K66" s="55"/>
    </row>
    <row r="67" spans="2:11">
      <c r="B67" s="10" t="s">
        <v>38</v>
      </c>
      <c r="C67" s="32">
        <v>0.29807362255855852</v>
      </c>
      <c r="D67" s="29">
        <v>1.2441800072509916</v>
      </c>
      <c r="E67" s="69">
        <v>0.50955638071307463</v>
      </c>
      <c r="F67" s="69">
        <v>0.6523787260725431</v>
      </c>
      <c r="G67" s="32"/>
      <c r="H67" s="29"/>
      <c r="I67" s="30"/>
      <c r="J67" s="69"/>
      <c r="K67" s="31"/>
    </row>
    <row r="68" spans="2:11">
      <c r="B68" s="11" t="s">
        <v>34</v>
      </c>
      <c r="C68" s="34">
        <v>0.57199466990527359</v>
      </c>
      <c r="D68" s="34">
        <v>100</v>
      </c>
      <c r="E68" s="51">
        <v>1.730786189597521</v>
      </c>
      <c r="F68" s="57">
        <v>100</v>
      </c>
      <c r="G68" s="38"/>
      <c r="H68" s="39"/>
      <c r="I68" s="40"/>
      <c r="J68" s="72"/>
      <c r="K68" s="37"/>
    </row>
    <row r="69" spans="2:11">
      <c r="B69" s="12"/>
      <c r="C69" s="13"/>
      <c r="D69" s="13"/>
      <c r="E69" s="13"/>
      <c r="F69" s="13"/>
      <c r="G69" s="56"/>
      <c r="H69" s="56"/>
      <c r="I69" s="56"/>
      <c r="J69" s="56"/>
      <c r="K69" s="56"/>
    </row>
    <row r="70" spans="2:11">
      <c r="B70" s="1" t="s">
        <v>43</v>
      </c>
    </row>
    <row r="71" spans="2:11">
      <c r="B71" s="1" t="s">
        <v>44</v>
      </c>
    </row>
    <row r="74" spans="2:11">
      <c r="B74" s="12"/>
      <c r="C74" s="13" t="b">
        <v>0</v>
      </c>
      <c r="D74" s="13"/>
      <c r="E74" s="13"/>
      <c r="F74" s="13"/>
      <c r="G74" s="13"/>
      <c r="H74" s="13"/>
      <c r="I74" s="13"/>
      <c r="J74" s="13"/>
      <c r="K74" s="13"/>
    </row>
    <row r="75" spans="2:11">
      <c r="B75" s="12"/>
      <c r="C75" s="13" t="b">
        <v>1</v>
      </c>
      <c r="D75" s="56"/>
      <c r="E75" s="56"/>
      <c r="F75" s="56"/>
      <c r="G75" s="56"/>
      <c r="H75" s="56"/>
      <c r="I75" s="56"/>
      <c r="J75" s="56"/>
      <c r="K75" s="56"/>
    </row>
  </sheetData>
  <mergeCells count="5">
    <mergeCell ref="E37:F37"/>
    <mergeCell ref="C38:D38"/>
    <mergeCell ref="E38:F38"/>
    <mergeCell ref="G38:H38"/>
    <mergeCell ref="I38:K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C3" sqref="C3"/>
    </sheetView>
  </sheetViews>
  <sheetFormatPr defaultColWidth="9.125" defaultRowHeight="15"/>
  <cols>
    <col min="1" max="1" width="2.125" style="1" customWidth="1"/>
    <col min="2" max="2" width="38.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62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-7.5817738667188269E-3</v>
      </c>
      <c r="D7" s="29">
        <v>2.6015645417414262</v>
      </c>
      <c r="E7" s="30">
        <v>-2.7006903850022732E-2</v>
      </c>
      <c r="F7" s="31">
        <v>2.4306527719039179</v>
      </c>
      <c r="G7" s="32">
        <v>-1.17115346252282E-2</v>
      </c>
      <c r="H7" s="29">
        <v>3.6731286807602834</v>
      </c>
      <c r="I7" s="30">
        <v>1.8645747927658655E-2</v>
      </c>
      <c r="J7" s="31">
        <v>7.9499999160844856</v>
      </c>
      <c r="K7" s="32">
        <v>-7.3073410075916757E-3</v>
      </c>
      <c r="L7" s="29">
        <v>5.0365576935804848</v>
      </c>
      <c r="M7" s="30">
        <v>-1.7785631566359719E-2</v>
      </c>
      <c r="N7" s="31">
        <v>4.9957439955100522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2.0325945165893904E-2</v>
      </c>
      <c r="D8" s="29">
        <v>35.972194563676766</v>
      </c>
      <c r="E8" s="30">
        <v>-3.6819768744976319E-2</v>
      </c>
      <c r="F8" s="31">
        <v>35.784164723781423</v>
      </c>
      <c r="G8" s="32">
        <v>9.9543086991236554E-2</v>
      </c>
      <c r="H8" s="29">
        <v>35.528889363282282</v>
      </c>
      <c r="I8" s="30">
        <v>0.31011762138442583</v>
      </c>
      <c r="J8" s="31">
        <v>33.803496230533675</v>
      </c>
      <c r="K8" s="32">
        <v>0.19167132236003226</v>
      </c>
      <c r="L8" s="29">
        <v>33.711277933055293</v>
      </c>
      <c r="M8" s="30">
        <v>-5.8166020096715516E-2</v>
      </c>
      <c r="N8" s="31">
        <v>34.059151198156314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9.4984321750703052E-2</v>
      </c>
      <c r="D11" s="29">
        <v>34.503540368436944</v>
      </c>
      <c r="E11" s="30">
        <v>-4.2802937895495524E-2</v>
      </c>
      <c r="F11" s="31">
        <v>34.457560627730885</v>
      </c>
      <c r="G11" s="32">
        <v>2.5638963511510454E-4</v>
      </c>
      <c r="H11" s="29">
        <v>33.41516878253789</v>
      </c>
      <c r="I11" s="30">
        <v>0.4555812855389566</v>
      </c>
      <c r="J11" s="31">
        <v>32.097962302144062</v>
      </c>
      <c r="K11" s="32">
        <v>0.22736680412451937</v>
      </c>
      <c r="L11" s="29">
        <v>33.043591268777149</v>
      </c>
      <c r="M11" s="30">
        <v>-0.23777685609582644</v>
      </c>
      <c r="N11" s="31">
        <v>33.543549318900702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3.0903044359811079E-3</v>
      </c>
      <c r="D12" s="29">
        <v>1.0041243795893426</v>
      </c>
      <c r="E12" s="30">
        <v>-1.5206133166468393E-3</v>
      </c>
      <c r="F12" s="31">
        <v>1.0026547079644761</v>
      </c>
      <c r="G12" s="32">
        <v>8.7606549177299334E-3</v>
      </c>
      <c r="H12" s="29">
        <v>1.0097873722870827</v>
      </c>
      <c r="I12" s="30">
        <v>1.7638134526861842E-2</v>
      </c>
      <c r="J12" s="31">
        <v>0.64097977935748007</v>
      </c>
      <c r="K12" s="32">
        <v>-4.6838128290202924E-3</v>
      </c>
      <c r="L12" s="29">
        <v>0.63219900589575018</v>
      </c>
      <c r="M12" s="30">
        <v>-1.1887913537734999E-3</v>
      </c>
      <c r="N12" s="31">
        <v>0.29156978277505952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-9.1834925135486731E-2</v>
      </c>
      <c r="D13" s="29">
        <v>12.623616976790444</v>
      </c>
      <c r="E13" s="30">
        <v>0.27257653422287703</v>
      </c>
      <c r="F13" s="31">
        <v>12.540433305714718</v>
      </c>
      <c r="G13" s="32">
        <v>-1.1987031479938483E-3</v>
      </c>
      <c r="H13" s="29">
        <v>12.16326596524044</v>
      </c>
      <c r="I13" s="30">
        <v>0.14840404106453248</v>
      </c>
      <c r="J13" s="31">
        <v>11.575614733088903</v>
      </c>
      <c r="K13" s="32">
        <v>0.26023118352418123</v>
      </c>
      <c r="L13" s="29">
        <v>12.980405883303261</v>
      </c>
      <c r="M13" s="30">
        <v>-0.16865263583455559</v>
      </c>
      <c r="N13" s="31">
        <v>12.670712993706154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7.2331853313309521E-4</v>
      </c>
      <c r="D14" s="29">
        <v>8.2535224983553945</v>
      </c>
      <c r="E14" s="30">
        <v>-3.656125178733087E-2</v>
      </c>
      <c r="F14" s="31">
        <v>8.714351256435771</v>
      </c>
      <c r="G14" s="32">
        <v>1.538540482404873E-2</v>
      </c>
      <c r="H14" s="29">
        <v>9.1235032640277129</v>
      </c>
      <c r="I14" s="30">
        <v>7.7893692610870494E-2</v>
      </c>
      <c r="J14" s="31">
        <v>8.8875884608371241</v>
      </c>
      <c r="K14" s="32">
        <v>6.5446762841912851E-2</v>
      </c>
      <c r="L14" s="29">
        <v>9.3159125639579816</v>
      </c>
      <c r="M14" s="30">
        <v>-0.11996430864106504</v>
      </c>
      <c r="N14" s="31">
        <v>9.0989467714885546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5.2872549440975726E-2</v>
      </c>
      <c r="D15" s="29">
        <v>4.4859568310419577</v>
      </c>
      <c r="E15" s="30">
        <v>-7.8099295924231371E-2</v>
      </c>
      <c r="F15" s="31">
        <v>4.4844470992879835</v>
      </c>
      <c r="G15" s="32">
        <v>3.2732794541332016E-2</v>
      </c>
      <c r="H15" s="29">
        <v>4.4435104859786509</v>
      </c>
      <c r="I15" s="30">
        <v>6.5814151620535083E-2</v>
      </c>
      <c r="J15" s="31">
        <v>4.5505966127241342</v>
      </c>
      <c r="K15" s="32">
        <v>4.9736372541215726E-2</v>
      </c>
      <c r="L15" s="29">
        <v>4.8003832112900469</v>
      </c>
      <c r="M15" s="30">
        <v>-0.10805191780444208</v>
      </c>
      <c r="N15" s="31">
        <v>4.8673016990223079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-5.8993464267011024E-4</v>
      </c>
      <c r="D17" s="29">
        <v>4.6086919823260962E-3</v>
      </c>
      <c r="E17" s="30">
        <v>8.3402245483565679E-4</v>
      </c>
      <c r="F17" s="31">
        <v>5.3852718890295623E-3</v>
      </c>
      <c r="G17" s="32">
        <v>-5.8877682123447267E-3</v>
      </c>
      <c r="H17" s="29">
        <v>7.8473261188537278E-4</v>
      </c>
      <c r="I17" s="30">
        <v>2.180065796309148E-4</v>
      </c>
      <c r="J17" s="31">
        <v>9.8398716443973957E-4</v>
      </c>
      <c r="K17" s="32">
        <v>7.0589739210187661E-4</v>
      </c>
      <c r="L17" s="29">
        <v>1.8575391483432492E-3</v>
      </c>
      <c r="M17" s="30">
        <v>-7.2048839819879753E-4</v>
      </c>
      <c r="N17" s="31">
        <v>1.1739509174132304E-3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0.12798779072919833</v>
      </c>
      <c r="D18" s="29">
        <v>0.32892626442689277</v>
      </c>
      <c r="E18" s="30">
        <v>0.20147439858907032</v>
      </c>
      <c r="F18" s="31">
        <v>0.28882290236506403</v>
      </c>
      <c r="G18" s="32">
        <v>4.2760130022548019E-2</v>
      </c>
      <c r="H18" s="29">
        <v>0.29213931375794477</v>
      </c>
      <c r="I18" s="30">
        <v>7.8617545614859154E-3</v>
      </c>
      <c r="J18" s="31">
        <v>0.21724411104374203</v>
      </c>
      <c r="K18" s="32">
        <v>4.2894390989735812E-2</v>
      </c>
      <c r="L18" s="29">
        <v>0.23191203339868474</v>
      </c>
      <c r="M18" s="30">
        <v>7.748029155787399E-2</v>
      </c>
      <c r="N18" s="31">
        <v>0.27513195418394215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-1.8300721300957788E-3</v>
      </c>
      <c r="D19" s="29">
        <v>0.30089799843469817</v>
      </c>
      <c r="E19" s="30">
        <v>2.1419133069698558E-3</v>
      </c>
      <c r="F19" s="31">
        <v>0.42275678995386939</v>
      </c>
      <c r="G19" s="32">
        <v>1.0207631018285307E-2</v>
      </c>
      <c r="H19" s="29">
        <v>0.38947113976739478</v>
      </c>
      <c r="I19" s="30">
        <v>1.4577174544969102E-3</v>
      </c>
      <c r="J19" s="31">
        <v>0.36313237827409239</v>
      </c>
      <c r="K19" s="32">
        <v>1.7423113308964594E-2</v>
      </c>
      <c r="L19" s="29">
        <v>0.36598517163239042</v>
      </c>
      <c r="M19" s="30">
        <v>-5.2961256742374346E-3</v>
      </c>
      <c r="N19" s="31">
        <v>0.34038294062997937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1.6247047625343298E-3</v>
      </c>
      <c r="D20" s="29">
        <v>4.4476087535951156E-2</v>
      </c>
      <c r="E20" s="30">
        <v>3.0027997430776771E-3</v>
      </c>
      <c r="F20" s="31">
        <v>4.7851056077011393E-2</v>
      </c>
      <c r="G20" s="32">
        <v>7.6561796270384135E-4</v>
      </c>
      <c r="H20" s="29">
        <v>4.79062149262236E-2</v>
      </c>
      <c r="I20" s="30">
        <v>-1.3192703965843207E-3</v>
      </c>
      <c r="J20" s="31">
        <v>2.6292648877558184E-2</v>
      </c>
      <c r="K20" s="32">
        <v>-5.8732127804650891E-4</v>
      </c>
      <c r="L20" s="29">
        <v>2.597206020185424E-2</v>
      </c>
      <c r="M20" s="30">
        <v>-2.5570783140532608E-4</v>
      </c>
      <c r="N20" s="31">
        <v>2.4382564625788899E-2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2.8237004440998118E-3</v>
      </c>
      <c r="D25" s="29">
        <v>-0.12342920201215028</v>
      </c>
      <c r="E25" s="30">
        <v>5.5165801275082879E-3</v>
      </c>
      <c r="F25" s="31">
        <v>-0.17908051310416395</v>
      </c>
      <c r="G25" s="32">
        <v>5.0428207723680722E-4</v>
      </c>
      <c r="H25" s="29">
        <v>-8.7555315177780604E-2</v>
      </c>
      <c r="I25" s="30">
        <v>5.1460066106793371E-5</v>
      </c>
      <c r="J25" s="31">
        <v>-0.11389116012967965</v>
      </c>
      <c r="K25" s="32">
        <v>1.4905940704460405E-3</v>
      </c>
      <c r="L25" s="29">
        <v>-0.1460543642412212</v>
      </c>
      <c r="M25" s="30">
        <v>8.6947967800679801E-3</v>
      </c>
      <c r="N25" s="31">
        <v>-0.16804716991626278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0.2025959294875479</v>
      </c>
      <c r="D26" s="41">
        <v>100</v>
      </c>
      <c r="E26" s="42">
        <v>0.26273547692563509</v>
      </c>
      <c r="F26" s="37">
        <v>99.999999999999972</v>
      </c>
      <c r="G26" s="43">
        <v>0.19211798600466953</v>
      </c>
      <c r="H26" s="41">
        <v>100.00000000000001</v>
      </c>
      <c r="I26" s="42">
        <v>1.1023643429389771</v>
      </c>
      <c r="J26" s="37">
        <v>100.00000000000001</v>
      </c>
      <c r="K26" s="41">
        <v>0.84438796603845134</v>
      </c>
      <c r="L26" s="41">
        <v>100.00000000000001</v>
      </c>
      <c r="M26" s="42">
        <v>-0.63168339495863746</v>
      </c>
      <c r="N26" s="37">
        <v>100.00000000000001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50" customFormat="1">
      <c r="B27" s="45" t="s">
        <v>40</v>
      </c>
      <c r="C27" s="46"/>
      <c r="D27" s="49">
        <v>5.3225188919999953</v>
      </c>
      <c r="E27" s="47"/>
      <c r="F27" s="49">
        <v>7.9479982230000008</v>
      </c>
      <c r="G27" s="48"/>
      <c r="H27" s="49">
        <v>7.4780063639999987</v>
      </c>
      <c r="I27" s="47"/>
      <c r="J27" s="49">
        <v>31.665107301000003</v>
      </c>
      <c r="K27" s="48"/>
      <c r="L27" s="49">
        <v>42.90614148200001</v>
      </c>
      <c r="M27" s="47"/>
      <c r="N27" s="49">
        <v>-59.513000335000001</v>
      </c>
      <c r="O27" s="48"/>
      <c r="P27" s="49"/>
      <c r="Q27" s="47"/>
      <c r="R27" s="49"/>
      <c r="S27" s="48"/>
      <c r="T27" s="49"/>
      <c r="U27" s="47"/>
      <c r="V27" s="49"/>
      <c r="W27" s="48"/>
      <c r="X27" s="49"/>
      <c r="Y27" s="47"/>
      <c r="Z27" s="49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0.25314676335841313</v>
      </c>
      <c r="D29" s="29">
        <v>79.274307278926869</v>
      </c>
      <c r="E29" s="30">
        <v>0.40200146489974248</v>
      </c>
      <c r="F29" s="31">
        <v>79.324617261877464</v>
      </c>
      <c r="G29" s="29">
        <v>0.13892252634512134</v>
      </c>
      <c r="H29" s="29">
        <v>79.32813985330381</v>
      </c>
      <c r="I29" s="30">
        <v>0.84755054130839402</v>
      </c>
      <c r="J29" s="31">
        <v>80.064089937981251</v>
      </c>
      <c r="K29" s="32">
        <v>0.77155578190733343</v>
      </c>
      <c r="L29" s="29">
        <v>78.94679274406765</v>
      </c>
      <c r="M29" s="30">
        <v>-0.22094324027591028</v>
      </c>
      <c r="N29" s="31">
        <v>78.855076950375604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-5.0550833870865217E-2</v>
      </c>
      <c r="D30" s="29">
        <v>20.725692721073134</v>
      </c>
      <c r="E30" s="30">
        <v>-0.13926598797410736</v>
      </c>
      <c r="F30" s="31">
        <v>20.675382738122547</v>
      </c>
      <c r="G30" s="29">
        <v>5.3195459659548229E-2</v>
      </c>
      <c r="H30" s="29">
        <v>20.671860146696186</v>
      </c>
      <c r="I30" s="31">
        <v>0.25481380163058337</v>
      </c>
      <c r="J30" s="31">
        <v>19.935910062018753</v>
      </c>
      <c r="K30" s="32">
        <v>7.283218413111793E-2</v>
      </c>
      <c r="L30" s="29">
        <v>21.053207255932353</v>
      </c>
      <c r="M30" s="30">
        <v>-0.41074015468272729</v>
      </c>
      <c r="N30" s="31">
        <v>21.144923049624399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0.2025959294875479</v>
      </c>
      <c r="D31" s="41">
        <v>100</v>
      </c>
      <c r="E31" s="37">
        <v>0.26273547692563515</v>
      </c>
      <c r="F31" s="37">
        <v>100.00000000000001</v>
      </c>
      <c r="G31" s="41">
        <v>0.19211798600466956</v>
      </c>
      <c r="H31" s="41">
        <v>100</v>
      </c>
      <c r="I31" s="37">
        <v>1.1023643429389773</v>
      </c>
      <c r="J31" s="37">
        <v>100</v>
      </c>
      <c r="K31" s="41">
        <v>0.84438796603845134</v>
      </c>
      <c r="L31" s="41">
        <v>100</v>
      </c>
      <c r="M31" s="37">
        <v>-0.63168339495863757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6.8815883874378148E-2</v>
      </c>
      <c r="D33" s="29">
        <v>98.790099971302297</v>
      </c>
      <c r="E33" s="30">
        <v>5.7305047492408973E-2</v>
      </c>
      <c r="F33" s="31">
        <v>98.887367191764213</v>
      </c>
      <c r="G33" s="29">
        <v>0.14019833887656183</v>
      </c>
      <c r="H33" s="29">
        <v>98.785479480822872</v>
      </c>
      <c r="I33" s="30">
        <v>1.0768013074043683</v>
      </c>
      <c r="J33" s="31">
        <v>99.255514960061248</v>
      </c>
      <c r="K33" s="32">
        <v>0.80472733289612075</v>
      </c>
      <c r="L33" s="29">
        <v>99.281812873890615</v>
      </c>
      <c r="M33" s="30">
        <v>-0.71335315141717237</v>
      </c>
      <c r="N33" s="31">
        <v>99.60393588669271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0.13378004561316975</v>
      </c>
      <c r="D34" s="29">
        <v>1.2099000286976958</v>
      </c>
      <c r="E34" s="30">
        <v>0.20543042943322615</v>
      </c>
      <c r="F34" s="31">
        <v>1.1126328082357948</v>
      </c>
      <c r="G34" s="29">
        <v>5.1919647128107732E-2</v>
      </c>
      <c r="H34" s="29">
        <v>1.2145205191771302</v>
      </c>
      <c r="I34" s="31">
        <v>2.5563035534609018E-2</v>
      </c>
      <c r="J34" s="31">
        <v>0.74448503993875159</v>
      </c>
      <c r="K34" s="32">
        <v>3.9660633142330384E-2</v>
      </c>
      <c r="L34" s="29">
        <v>0.71818712610939006</v>
      </c>
      <c r="M34" s="30">
        <v>8.1669756458534928E-2</v>
      </c>
      <c r="N34" s="31">
        <v>0.39606411330729718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0.2025959294875479</v>
      </c>
      <c r="D35" s="41">
        <v>99.999999999999986</v>
      </c>
      <c r="E35" s="37">
        <v>0.26273547692563515</v>
      </c>
      <c r="F35" s="37">
        <v>100.00000000000001</v>
      </c>
      <c r="G35" s="41">
        <v>0.19211798600466956</v>
      </c>
      <c r="H35" s="41">
        <v>100</v>
      </c>
      <c r="I35" s="37">
        <v>1.1023643429389773</v>
      </c>
      <c r="J35" s="37">
        <v>100</v>
      </c>
      <c r="K35" s="41">
        <v>0.84438796603845112</v>
      </c>
      <c r="L35" s="41">
        <v>100</v>
      </c>
      <c r="M35" s="37">
        <v>-0.63168339495863746</v>
      </c>
      <c r="N35" s="37">
        <v>100.00000000000001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-4.6744832401677823E-2</v>
      </c>
      <c r="D40" s="29">
        <v>3.6731286807602834</v>
      </c>
      <c r="E40" s="69">
        <v>-0.16493379123394744</v>
      </c>
      <c r="F40" s="69">
        <v>4.9957439955100522</v>
      </c>
      <c r="G40" s="32"/>
      <c r="H40" s="29"/>
      <c r="I40" s="30"/>
      <c r="J40" s="31"/>
    </row>
    <row r="41" spans="2:26">
      <c r="B41" s="10" t="s">
        <v>7</v>
      </c>
      <c r="C41" s="32">
        <v>0.10462690853851857</v>
      </c>
      <c r="D41" s="29">
        <v>35.528889363282282</v>
      </c>
      <c r="E41" s="69">
        <v>0.91009993829234193</v>
      </c>
      <c r="F41" s="69">
        <v>34.059151198156314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3.8441127312516012E-2</v>
      </c>
      <c r="D44" s="29">
        <v>33.41516878253789</v>
      </c>
      <c r="E44" s="69">
        <v>0.19064652138861043</v>
      </c>
      <c r="F44" s="69">
        <v>33.543549318900702</v>
      </c>
      <c r="G44" s="32"/>
      <c r="H44" s="29"/>
      <c r="I44" s="30"/>
      <c r="J44" s="31"/>
    </row>
    <row r="45" spans="2:26">
      <c r="B45" s="10" t="s">
        <v>15</v>
      </c>
      <c r="C45" s="32">
        <v>1.1945958585688476E-2</v>
      </c>
      <c r="D45" s="29">
        <v>1.0097873722870827</v>
      </c>
      <c r="E45" s="69">
        <v>2.945741144578853E-2</v>
      </c>
      <c r="F45" s="69">
        <v>0.29156978277505952</v>
      </c>
      <c r="G45" s="32"/>
      <c r="H45" s="29"/>
      <c r="I45" s="30"/>
      <c r="J45" s="31"/>
    </row>
    <row r="46" spans="2:26">
      <c r="B46" s="10" t="s">
        <v>17</v>
      </c>
      <c r="C46" s="32">
        <v>0.18374888826339117</v>
      </c>
      <c r="D46" s="29">
        <v>12.16326596524044</v>
      </c>
      <c r="E46" s="69">
        <v>0.40816932892054769</v>
      </c>
      <c r="F46" s="69">
        <v>12.670712993706154</v>
      </c>
      <c r="G46" s="32"/>
      <c r="H46" s="29"/>
      <c r="I46" s="30"/>
      <c r="J46" s="31"/>
    </row>
    <row r="47" spans="2:26">
      <c r="B47" s="10" t="s">
        <v>19</v>
      </c>
      <c r="C47" s="32">
        <v>-1.5501310890694387E-2</v>
      </c>
      <c r="D47" s="29">
        <v>9.1235032640277129</v>
      </c>
      <c r="E47" s="69">
        <v>-0.34427267383125287</v>
      </c>
      <c r="F47" s="69">
        <v>9.0989467714885546</v>
      </c>
      <c r="G47" s="32"/>
      <c r="H47" s="29"/>
      <c r="I47" s="30"/>
      <c r="J47" s="31"/>
    </row>
    <row r="48" spans="2:26">
      <c r="B48" s="10" t="s">
        <v>21</v>
      </c>
      <c r="C48" s="32">
        <v>9.5444096348583501E-3</v>
      </c>
      <c r="D48" s="29">
        <v>4.4435104859786509</v>
      </c>
      <c r="E48" s="69">
        <v>-0.30193968428648521</v>
      </c>
      <c r="F48" s="69">
        <v>4.8673016990223079</v>
      </c>
      <c r="G48" s="32"/>
      <c r="H48" s="29"/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9">
        <v>0</v>
      </c>
      <c r="F49" s="69">
        <v>0</v>
      </c>
      <c r="G49" s="32"/>
      <c r="H49" s="29"/>
      <c r="I49" s="30"/>
      <c r="J49" s="31"/>
    </row>
    <row r="50" spans="2:14">
      <c r="B50" s="10" t="s">
        <v>25</v>
      </c>
      <c r="C50" s="32">
        <v>-6.9685288122270511E-3</v>
      </c>
      <c r="D50" s="29">
        <v>7.8473261188537278E-4</v>
      </c>
      <c r="E50" s="69">
        <v>-1.3555237419844723E-2</v>
      </c>
      <c r="F50" s="69">
        <v>1.1739509174132304E-3</v>
      </c>
      <c r="G50" s="32"/>
      <c r="H50" s="29"/>
      <c r="I50" s="30"/>
      <c r="J50" s="31"/>
    </row>
    <row r="51" spans="2:14">
      <c r="B51" s="10" t="s">
        <v>26</v>
      </c>
      <c r="C51" s="32">
        <v>0.35317137613843841</v>
      </c>
      <c r="D51" s="29">
        <v>0.29213931375794477</v>
      </c>
      <c r="E51" s="69">
        <v>1.1513860361825001</v>
      </c>
      <c r="F51" s="69">
        <v>0.27513195418394215</v>
      </c>
      <c r="G51" s="32"/>
      <c r="H51" s="29"/>
      <c r="I51" s="30"/>
      <c r="J51" s="31"/>
    </row>
    <row r="52" spans="2:14">
      <c r="B52" s="10" t="s">
        <v>27</v>
      </c>
      <c r="C52" s="32">
        <v>1.314792731642719E-2</v>
      </c>
      <c r="D52" s="29">
        <v>0.38947113976739478</v>
      </c>
      <c r="E52" s="69">
        <v>4.6564123560398837E-2</v>
      </c>
      <c r="F52" s="69">
        <v>0.34038294062997937</v>
      </c>
      <c r="G52" s="32"/>
      <c r="H52" s="29"/>
      <c r="I52" s="30"/>
      <c r="J52" s="31"/>
    </row>
    <row r="53" spans="2:14">
      <c r="B53" s="10" t="s">
        <v>28</v>
      </c>
      <c r="C53" s="32">
        <v>5.1863502746016428E-3</v>
      </c>
      <c r="D53" s="29">
        <v>4.79062149262236E-2</v>
      </c>
      <c r="E53" s="69">
        <v>3.9523421711794545E-3</v>
      </c>
      <c r="F53" s="69">
        <v>2.4382564625788899E-2</v>
      </c>
      <c r="G53" s="32"/>
      <c r="H53" s="29"/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9">
        <v>0</v>
      </c>
      <c r="F54" s="69">
        <v>0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8.2784177933114145E-3</v>
      </c>
      <c r="D58" s="29">
        <v>-8.7555315177780604E-2</v>
      </c>
      <c r="E58" s="69">
        <v>6.396801360272357E-2</v>
      </c>
      <c r="F58" s="69">
        <v>-0.16804716991626278</v>
      </c>
      <c r="G58" s="32"/>
      <c r="H58" s="29"/>
      <c r="I58" s="30"/>
      <c r="J58" s="31"/>
    </row>
    <row r="59" spans="2:14">
      <c r="B59" s="11" t="s">
        <v>34</v>
      </c>
      <c r="C59" s="34">
        <v>0.65887669175315189</v>
      </c>
      <c r="D59" s="29">
        <v>100.00000000000001</v>
      </c>
      <c r="E59" s="51">
        <v>1.9795423287925606</v>
      </c>
      <c r="F59" s="31">
        <v>100.00000000000001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20.748523478999996</v>
      </c>
      <c r="E60" s="25"/>
      <c r="F60" s="33">
        <v>35.806771927000014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0.76908041181721309</v>
      </c>
      <c r="D62" s="53">
        <v>79.32813985330381</v>
      </c>
      <c r="E62" s="69">
        <v>3.7014902951241573</v>
      </c>
      <c r="F62" s="69">
        <v>78.855076950375604</v>
      </c>
      <c r="G62" s="52"/>
      <c r="H62" s="53"/>
      <c r="I62" s="54"/>
      <c r="J62" s="55"/>
    </row>
    <row r="63" spans="2:14">
      <c r="B63" s="10" t="s">
        <v>36</v>
      </c>
      <c r="C63" s="32">
        <v>-0.11020372006406112</v>
      </c>
      <c r="D63" s="29">
        <v>20.671860146696186</v>
      </c>
      <c r="E63" s="69">
        <v>-1.7219479663315975</v>
      </c>
      <c r="F63" s="69">
        <v>21.144923049624399</v>
      </c>
      <c r="G63" s="32"/>
      <c r="H63" s="29"/>
      <c r="I63" s="30"/>
      <c r="J63" s="31"/>
    </row>
    <row r="64" spans="2:14">
      <c r="B64" s="11" t="s">
        <v>34</v>
      </c>
      <c r="C64" s="34">
        <v>0.658876691753152</v>
      </c>
      <c r="D64" s="34">
        <v>100</v>
      </c>
      <c r="E64" s="51">
        <v>1.9795423287925598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0.28575117840300579</v>
      </c>
      <c r="D66" s="53">
        <v>98.785479480822872</v>
      </c>
      <c r="E66" s="69">
        <v>0.75257083431225469</v>
      </c>
      <c r="F66" s="69">
        <v>99.60393588669271</v>
      </c>
      <c r="G66" s="52"/>
      <c r="H66" s="53"/>
      <c r="I66" s="54"/>
      <c r="J66" s="55"/>
    </row>
    <row r="67" spans="2:10">
      <c r="B67" s="10" t="s">
        <v>38</v>
      </c>
      <c r="C67" s="32">
        <v>0.37312551335014604</v>
      </c>
      <c r="D67" s="29">
        <v>1.2145205191771302</v>
      </c>
      <c r="E67" s="69">
        <v>1.226971494480305</v>
      </c>
      <c r="F67" s="69">
        <v>0.39606411330729718</v>
      </c>
      <c r="G67" s="32"/>
      <c r="H67" s="29"/>
      <c r="I67" s="30"/>
      <c r="J67" s="31"/>
    </row>
    <row r="68" spans="2:10">
      <c r="B68" s="11" t="s">
        <v>34</v>
      </c>
      <c r="C68" s="34">
        <v>0.65887669175315189</v>
      </c>
      <c r="D68" s="34">
        <v>100</v>
      </c>
      <c r="E68" s="51">
        <v>1.9795423287925598</v>
      </c>
      <c r="F68" s="57">
        <v>100.00000000000001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D2" sqref="D2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56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-9.8687348705523339E-3</v>
      </c>
      <c r="D7" s="29">
        <v>7.7683054743081348</v>
      </c>
      <c r="E7" s="30">
        <v>-5.1487038831073528E-2</v>
      </c>
      <c r="F7" s="31">
        <v>7.4159097945884449</v>
      </c>
      <c r="G7" s="32">
        <v>-6.6766312670542477E-2</v>
      </c>
      <c r="H7" s="29">
        <v>6.1576596319650596</v>
      </c>
      <c r="I7" s="30">
        <v>8.5105415449641657E-3</v>
      </c>
      <c r="J7" s="31">
        <v>9.1561665641561127</v>
      </c>
      <c r="K7" s="32">
        <v>-1.6682329879658894E-2</v>
      </c>
      <c r="L7" s="29">
        <v>7.1651761321758158</v>
      </c>
      <c r="M7" s="30">
        <v>-8.8921280264893029E-3</v>
      </c>
      <c r="N7" s="31">
        <v>8.7215030243531011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2.0054443934848973E-3</v>
      </c>
      <c r="D8" s="29">
        <v>11.547640692623846</v>
      </c>
      <c r="E8" s="30">
        <v>-1.1910099814465511E-2</v>
      </c>
      <c r="F8" s="31">
        <v>11.353896599604974</v>
      </c>
      <c r="G8" s="32">
        <v>3.8730116354323572E-2</v>
      </c>
      <c r="H8" s="29">
        <v>11.101361791976759</v>
      </c>
      <c r="I8" s="30">
        <v>9.1920346024535915E-2</v>
      </c>
      <c r="J8" s="31">
        <v>10.945961839988479</v>
      </c>
      <c r="K8" s="32">
        <v>6.2154497395561288E-2</v>
      </c>
      <c r="L8" s="29">
        <v>10.676424199046897</v>
      </c>
      <c r="M8" s="30">
        <v>-3.4856449081418474E-2</v>
      </c>
      <c r="N8" s="31">
        <v>10.783840718394261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7.9536912828458484E-2</v>
      </c>
      <c r="D11" s="29">
        <v>32.389958160435448</v>
      </c>
      <c r="E11" s="30">
        <v>-6.2337297931545521E-2</v>
      </c>
      <c r="F11" s="31">
        <v>31.998686823256971</v>
      </c>
      <c r="G11" s="32">
        <v>-4.0487343682909518E-4</v>
      </c>
      <c r="H11" s="29">
        <v>32.210630325369024</v>
      </c>
      <c r="I11" s="30">
        <v>0.43868870417012995</v>
      </c>
      <c r="J11" s="31">
        <v>31.459390158926208</v>
      </c>
      <c r="K11" s="32">
        <v>0.2168981006693225</v>
      </c>
      <c r="L11" s="29">
        <v>32.64540905027819</v>
      </c>
      <c r="M11" s="30">
        <v>-0.22761893113681331</v>
      </c>
      <c r="N11" s="31">
        <v>31.300016271384379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5.9198676348418177E-3</v>
      </c>
      <c r="D12" s="29">
        <v>0.84389712283287321</v>
      </c>
      <c r="E12" s="30">
        <v>2.1794980797093333E-6</v>
      </c>
      <c r="F12" s="31">
        <v>0.74856900232954959</v>
      </c>
      <c r="G12" s="32">
        <v>8.6093558257005279E-3</v>
      </c>
      <c r="H12" s="29">
        <v>0.80876021752395377</v>
      </c>
      <c r="I12" s="30">
        <v>9.7130012999457407E-3</v>
      </c>
      <c r="J12" s="31">
        <v>0.57898344901972598</v>
      </c>
      <c r="K12" s="32">
        <v>-2.3182765265297584E-3</v>
      </c>
      <c r="L12" s="29">
        <v>0.56414105726969077</v>
      </c>
      <c r="M12" s="30">
        <v>-8.2363816543240575E-4</v>
      </c>
      <c r="N12" s="31">
        <v>0.51309722724732953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-0.2155261437406949</v>
      </c>
      <c r="D13" s="29">
        <v>27.410352106756992</v>
      </c>
      <c r="E13" s="30">
        <v>0.55751358508862903</v>
      </c>
      <c r="F13" s="31">
        <v>26.638327219718818</v>
      </c>
      <c r="G13" s="32">
        <v>-3.8077055248890726E-2</v>
      </c>
      <c r="H13" s="29">
        <v>26.114855472299293</v>
      </c>
      <c r="I13" s="30">
        <v>0.38315235823089605</v>
      </c>
      <c r="J13" s="31">
        <v>25.080950345079806</v>
      </c>
      <c r="K13" s="32">
        <v>0.50885016333210442</v>
      </c>
      <c r="L13" s="29">
        <v>25.866486473384487</v>
      </c>
      <c r="M13" s="30">
        <v>-0.27111822911967021</v>
      </c>
      <c r="N13" s="31">
        <v>26.510503173337931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-3.6244656058038546E-2</v>
      </c>
      <c r="D14" s="29">
        <v>10.415820870007044</v>
      </c>
      <c r="E14" s="30">
        <v>-1.6028474604065472E-2</v>
      </c>
      <c r="F14" s="31">
        <v>11.490014690921893</v>
      </c>
      <c r="G14" s="32">
        <v>4.2911701051737201E-2</v>
      </c>
      <c r="H14" s="29">
        <v>12.998651648930348</v>
      </c>
      <c r="I14" s="30">
        <v>9.5640540537770352E-2</v>
      </c>
      <c r="J14" s="31">
        <v>12.972658609925631</v>
      </c>
      <c r="K14" s="32">
        <v>8.4655755524243023E-2</v>
      </c>
      <c r="L14" s="29">
        <v>13.293663780970721</v>
      </c>
      <c r="M14" s="30">
        <v>-0.16146456952209104</v>
      </c>
      <c r="N14" s="31">
        <v>12.423667417409542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7.0124252672359277E-2</v>
      </c>
      <c r="D15" s="29">
        <v>6.1590517176182047</v>
      </c>
      <c r="E15" s="30">
        <v>-7.2802565900105004E-2</v>
      </c>
      <c r="F15" s="31">
        <v>6.5660154479856239</v>
      </c>
      <c r="G15" s="32">
        <v>6.6147532610288468E-2</v>
      </c>
      <c r="H15" s="29">
        <v>6.8655482077885441</v>
      </c>
      <c r="I15" s="30">
        <v>0.15639020169685022</v>
      </c>
      <c r="J15" s="31">
        <v>7.038169490033118</v>
      </c>
      <c r="K15" s="32">
        <v>0.10494628654723806</v>
      </c>
      <c r="L15" s="29">
        <v>7.2844453389495731</v>
      </c>
      <c r="M15" s="30">
        <v>-0.11951417290729131</v>
      </c>
      <c r="N15" s="31">
        <v>7.220236083915581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-8.4412798517695641E-3</v>
      </c>
      <c r="D16" s="29">
        <v>0.37487594393377421</v>
      </c>
      <c r="E16" s="30">
        <v>3.0262330836764101E-3</v>
      </c>
      <c r="F16" s="31">
        <v>0.60784159639036284</v>
      </c>
      <c r="G16" s="32">
        <v>-4.5399204444861617E-3</v>
      </c>
      <c r="H16" s="29">
        <v>0.55706891496223299</v>
      </c>
      <c r="I16" s="30">
        <v>-3.4235386306544005E-3</v>
      </c>
      <c r="J16" s="31">
        <v>0.46272210705962041</v>
      </c>
      <c r="K16" s="32">
        <v>-3.0639624631139829E-3</v>
      </c>
      <c r="L16" s="29">
        <v>0.40346588065814476</v>
      </c>
      <c r="M16" s="30">
        <v>-1.4760252957843074E-2</v>
      </c>
      <c r="N16" s="31">
        <v>0.42344305295287643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-1.5190103191544688E-3</v>
      </c>
      <c r="D17" s="29">
        <v>1.1012257974349394E-2</v>
      </c>
      <c r="E17" s="30">
        <v>2.0084592893010035E-3</v>
      </c>
      <c r="F17" s="31">
        <v>1.1803258803686807E-2</v>
      </c>
      <c r="G17" s="32">
        <v>1.3822777610478097E-2</v>
      </c>
      <c r="H17" s="29">
        <v>1.6950869751605595E-3</v>
      </c>
      <c r="I17" s="30">
        <v>5.6225942116671409E-4</v>
      </c>
      <c r="J17" s="31">
        <v>2.1594119163451252E-3</v>
      </c>
      <c r="K17" s="32">
        <v>1.3718307540847427E-3</v>
      </c>
      <c r="L17" s="29">
        <v>3.6616572476554227E-3</v>
      </c>
      <c r="M17" s="30">
        <v>-1.2281520915151214E-3</v>
      </c>
      <c r="N17" s="31">
        <v>2.5382578253658342E-3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0.28960873028812995</v>
      </c>
      <c r="D18" s="29">
        <v>0.674928708836532</v>
      </c>
      <c r="E18" s="30">
        <v>0.48605070192002731</v>
      </c>
      <c r="F18" s="31">
        <v>0.73748932098687714</v>
      </c>
      <c r="G18" s="32">
        <v>0.31202371735080675</v>
      </c>
      <c r="H18" s="29">
        <v>0.81396895851749917</v>
      </c>
      <c r="I18" s="30">
        <v>3.2341727344506535E-2</v>
      </c>
      <c r="J18" s="31">
        <v>0.52177040538389452</v>
      </c>
      <c r="K18" s="32">
        <v>0.18528398923067926</v>
      </c>
      <c r="L18" s="29">
        <v>0.53508479643140339</v>
      </c>
      <c r="M18" s="30">
        <v>0.37245034007812727</v>
      </c>
      <c r="N18" s="31">
        <v>0.64011979946850395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-4.7122145971939334E-3</v>
      </c>
      <c r="D19" s="29">
        <v>0.71898195968476075</v>
      </c>
      <c r="E19" s="30">
        <v>5.1580690515539065E-3</v>
      </c>
      <c r="F19" s="31">
        <v>0.92658419013939941</v>
      </c>
      <c r="G19" s="32">
        <v>-2.396456663694017E-2</v>
      </c>
      <c r="H19" s="29">
        <v>0.84128967126702836</v>
      </c>
      <c r="I19" s="30">
        <v>3.7595895358265479E-3</v>
      </c>
      <c r="J19" s="31">
        <v>0.79691324982518619</v>
      </c>
      <c r="K19" s="32">
        <v>3.3859824493743473E-2</v>
      </c>
      <c r="L19" s="29">
        <v>0.72144495536816811</v>
      </c>
      <c r="M19" s="30">
        <v>-9.0278313212692179E-3</v>
      </c>
      <c r="N19" s="31">
        <v>0.73595893069335594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-2.0881039981196356E-3</v>
      </c>
      <c r="D20" s="29">
        <v>0.19904983493161921</v>
      </c>
      <c r="E20" s="30">
        <v>-1.2568336202946836E-3</v>
      </c>
      <c r="F20" s="31">
        <v>0.17660478655073031</v>
      </c>
      <c r="G20" s="32">
        <v>1.9307893630430471E-5</v>
      </c>
      <c r="H20" s="29">
        <v>0.1613130808500621</v>
      </c>
      <c r="I20" s="30">
        <v>-1.3766127826754188E-3</v>
      </c>
      <c r="J20" s="31">
        <v>0.10477966671162575</v>
      </c>
      <c r="K20" s="32">
        <v>-1.3677532011144725E-3</v>
      </c>
      <c r="L20" s="29">
        <v>9.3855487900723511E-2</v>
      </c>
      <c r="M20" s="30">
        <v>-1.7496570008691524E-3</v>
      </c>
      <c r="N20" s="31">
        <v>8.5249004887606075E-2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-9.7318013328671665E-4</v>
      </c>
      <c r="D21" s="29">
        <v>1.7022368171683764</v>
      </c>
      <c r="E21" s="30">
        <v>-2.8148217699446049E-3</v>
      </c>
      <c r="F21" s="31">
        <v>1.6838630439716142</v>
      </c>
      <c r="G21" s="32">
        <v>3.572040655652114E-3</v>
      </c>
      <c r="H21" s="29">
        <v>1.5525504638409471</v>
      </c>
      <c r="I21" s="30">
        <v>1.1338226139603556E-2</v>
      </c>
      <c r="J21" s="31">
        <v>1.118563012735831</v>
      </c>
      <c r="K21" s="32">
        <v>7.728860303236643E-3</v>
      </c>
      <c r="L21" s="29">
        <v>1.0465499278239123</v>
      </c>
      <c r="M21" s="30">
        <v>2.2005922266168381E-3</v>
      </c>
      <c r="N21" s="31">
        <v>0.96360208474840625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3.6493224710780043E-3</v>
      </c>
      <c r="D25" s="29">
        <v>-0.21611166711196342</v>
      </c>
      <c r="E25" s="30">
        <v>4.4096060674675384E-3</v>
      </c>
      <c r="F25" s="31">
        <v>-0.35560577524892995</v>
      </c>
      <c r="G25" s="32">
        <v>1.0256998458241808E-3</v>
      </c>
      <c r="H25" s="29">
        <v>-0.18535347226590837</v>
      </c>
      <c r="I25" s="30">
        <v>1.3314650645942147E-4</v>
      </c>
      <c r="J25" s="31">
        <v>-0.23918831076158248</v>
      </c>
      <c r="K25" s="32">
        <v>3.085964258633965E-3</v>
      </c>
      <c r="L25" s="29">
        <v>-0.29980873750539244</v>
      </c>
      <c r="M25" s="30">
        <v>1.304866470727434E-2</v>
      </c>
      <c r="N25" s="31">
        <v>-0.32377504661825401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0.17147120671954236</v>
      </c>
      <c r="D26" s="41">
        <v>99.999999999999957</v>
      </c>
      <c r="E26" s="42">
        <v>0.83953170152724055</v>
      </c>
      <c r="F26" s="37">
        <v>99.999999999999986</v>
      </c>
      <c r="G26" s="43">
        <v>0.35310952076075264</v>
      </c>
      <c r="H26" s="41">
        <v>100.00000000000003</v>
      </c>
      <c r="I26" s="42">
        <v>1.2273504910393251</v>
      </c>
      <c r="J26" s="37">
        <v>99.999999999999986</v>
      </c>
      <c r="K26" s="41">
        <v>1.18540295043843</v>
      </c>
      <c r="L26" s="41">
        <v>100.00000000000001</v>
      </c>
      <c r="M26" s="42">
        <v>-0.46335441431868396</v>
      </c>
      <c r="N26" s="37">
        <v>99.999999999999986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61" customFormat="1">
      <c r="B27" s="62" t="s">
        <v>40</v>
      </c>
      <c r="C27" s="63"/>
      <c r="D27" s="58">
        <v>121.57577882000021</v>
      </c>
      <c r="E27" s="59"/>
      <c r="F27" s="58">
        <v>770.38994376100015</v>
      </c>
      <c r="G27" s="60"/>
      <c r="H27" s="58">
        <v>406.78307387999985</v>
      </c>
      <c r="I27" s="59"/>
      <c r="J27" s="58">
        <v>1434.7309012839999</v>
      </c>
      <c r="K27" s="60"/>
      <c r="L27" s="58">
        <v>2174.6839475449988</v>
      </c>
      <c r="M27" s="59"/>
      <c r="N27" s="58">
        <v>-987.310971319999</v>
      </c>
      <c r="O27" s="60"/>
      <c r="P27" s="58"/>
      <c r="Q27" s="59"/>
      <c r="R27" s="58"/>
      <c r="S27" s="60"/>
      <c r="T27" s="58"/>
      <c r="U27" s="59"/>
      <c r="V27" s="58"/>
      <c r="W27" s="60"/>
      <c r="X27" s="58"/>
      <c r="Y27" s="59"/>
      <c r="Z27" s="5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0.2070538820153357</v>
      </c>
      <c r="D29" s="29">
        <v>70.461647876840217</v>
      </c>
      <c r="E29" s="30">
        <v>0.89909263336975798</v>
      </c>
      <c r="F29" s="31">
        <v>68.482425196299928</v>
      </c>
      <c r="G29" s="29">
        <v>0.42963980282005027</v>
      </c>
      <c r="H29" s="29">
        <v>66.935698065700151</v>
      </c>
      <c r="I29" s="30">
        <v>0.75805520581998609</v>
      </c>
      <c r="J29" s="31">
        <v>67.542710009127688</v>
      </c>
      <c r="K29" s="32">
        <v>1.0301604254846144</v>
      </c>
      <c r="L29" s="29">
        <v>66.863529883690163</v>
      </c>
      <c r="M29" s="30">
        <v>0.24300864375065928</v>
      </c>
      <c r="N29" s="31">
        <v>67.355780464047356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-3.5582675295793398E-2</v>
      </c>
      <c r="D30" s="29">
        <v>29.538352123159783</v>
      </c>
      <c r="E30" s="30">
        <v>-5.9560931842517241E-2</v>
      </c>
      <c r="F30" s="31">
        <v>31.517574803700072</v>
      </c>
      <c r="G30" s="29">
        <v>-7.6530282059297572E-2</v>
      </c>
      <c r="H30" s="29">
        <v>33.064301934299849</v>
      </c>
      <c r="I30" s="31">
        <v>0.469295285219339</v>
      </c>
      <c r="J30" s="31">
        <v>32.457289990872304</v>
      </c>
      <c r="K30" s="32">
        <v>0.15524252495381577</v>
      </c>
      <c r="L30" s="29">
        <v>33.136470116309845</v>
      </c>
      <c r="M30" s="30">
        <v>-0.7063630580693433</v>
      </c>
      <c r="N30" s="31">
        <v>32.644219535952637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0.1714712067195423</v>
      </c>
      <c r="D31" s="41">
        <v>100</v>
      </c>
      <c r="E31" s="37">
        <v>0.83953170152724077</v>
      </c>
      <c r="F31" s="37">
        <v>100</v>
      </c>
      <c r="G31" s="41">
        <v>0.35310952076075269</v>
      </c>
      <c r="H31" s="41">
        <v>100</v>
      </c>
      <c r="I31" s="37">
        <v>1.2273504910393251</v>
      </c>
      <c r="J31" s="37">
        <v>100</v>
      </c>
      <c r="K31" s="41">
        <v>1.1854029504384302</v>
      </c>
      <c r="L31" s="41">
        <v>100</v>
      </c>
      <c r="M31" s="37">
        <v>-0.46335441431868402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-0.11431029622629364</v>
      </c>
      <c r="D33" s="29">
        <v>96.462033303919924</v>
      </c>
      <c r="E33" s="30">
        <v>0.35312880345591946</v>
      </c>
      <c r="F33" s="31">
        <v>96.444874882700034</v>
      </c>
      <c r="G33" s="29">
        <v>3.2853422252480002E-2</v>
      </c>
      <c r="H33" s="29">
        <v>96.337359117117288</v>
      </c>
      <c r="I33" s="30">
        <v>1.177340118428595</v>
      </c>
      <c r="J33" s="31">
        <v>97.478149292180987</v>
      </c>
      <c r="K33" s="32">
        <v>0.99554845598157393</v>
      </c>
      <c r="L33" s="29">
        <v>97.682175095382789</v>
      </c>
      <c r="M33" s="30">
        <v>-0.8284256771226246</v>
      </c>
      <c r="N33" s="31">
        <v>97.727889707411023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0.28578150294583593</v>
      </c>
      <c r="D34" s="29">
        <v>3.5379666960800749</v>
      </c>
      <c r="E34" s="30">
        <v>0.48640289807132142</v>
      </c>
      <c r="F34" s="31">
        <v>3.5551251172999629</v>
      </c>
      <c r="G34" s="29">
        <v>0.32025609850827258</v>
      </c>
      <c r="H34" s="29">
        <v>3.6626408828827248</v>
      </c>
      <c r="I34" s="31">
        <v>5.0010372610730006E-2</v>
      </c>
      <c r="J34" s="31">
        <v>2.5218507078190266</v>
      </c>
      <c r="K34" s="32">
        <v>0.18985449445685612</v>
      </c>
      <c r="L34" s="29">
        <v>2.3178249046172072</v>
      </c>
      <c r="M34" s="30">
        <v>0.36507126280394053</v>
      </c>
      <c r="N34" s="31">
        <v>2.2721102925889687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0.1714712067195423</v>
      </c>
      <c r="D35" s="41">
        <v>100</v>
      </c>
      <c r="E35" s="37">
        <v>0.83953170152724088</v>
      </c>
      <c r="F35" s="37">
        <v>100</v>
      </c>
      <c r="G35" s="41">
        <v>0.35310952076075258</v>
      </c>
      <c r="H35" s="41">
        <v>100.00000000000001</v>
      </c>
      <c r="I35" s="37">
        <v>1.2273504910393249</v>
      </c>
      <c r="J35" s="37">
        <v>100.00000000000001</v>
      </c>
      <c r="K35" s="41">
        <v>1.18540295043843</v>
      </c>
      <c r="L35" s="41">
        <v>100</v>
      </c>
      <c r="M35" s="37">
        <v>-0.46335441431868407</v>
      </c>
      <c r="N35" s="37">
        <v>99.999999999999986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-0.13826613851959951</v>
      </c>
      <c r="D40" s="29">
        <v>6.1576596319650596</v>
      </c>
      <c r="E40" s="69">
        <v>-0.1458375602725599</v>
      </c>
      <c r="F40" s="69">
        <v>8.7215030243531011</v>
      </c>
      <c r="G40" s="32"/>
      <c r="H40" s="29"/>
      <c r="I40" s="30"/>
      <c r="J40" s="31"/>
    </row>
    <row r="41" spans="2:26">
      <c r="B41" s="10" t="s">
        <v>7</v>
      </c>
      <c r="C41" s="32">
        <v>3.7012449056586412E-2</v>
      </c>
      <c r="D41" s="29">
        <v>11.101361791976759</v>
      </c>
      <c r="E41" s="69">
        <v>0.15570466984810624</v>
      </c>
      <c r="F41" s="69">
        <v>10.783840718394261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-1.3460381530854505E-3</v>
      </c>
      <c r="D44" s="29">
        <v>32.210630325369024</v>
      </c>
      <c r="E44" s="69">
        <v>0.36248690148823354</v>
      </c>
      <c r="F44" s="69">
        <v>31.300016271384379</v>
      </c>
      <c r="G44" s="32"/>
      <c r="H44" s="29"/>
      <c r="I44" s="30"/>
      <c r="J44" s="31"/>
    </row>
    <row r="45" spans="2:26">
      <c r="B45" s="10" t="s">
        <v>15</v>
      </c>
      <c r="C45" s="32">
        <v>1.4882283851166467E-2</v>
      </c>
      <c r="D45" s="29">
        <v>0.80876021752395377</v>
      </c>
      <c r="E45" s="69">
        <v>1.6622552161194831E-2</v>
      </c>
      <c r="F45" s="69">
        <v>0.51309722724732953</v>
      </c>
      <c r="G45" s="32"/>
      <c r="H45" s="29"/>
      <c r="I45" s="30"/>
      <c r="J45" s="31"/>
    </row>
    <row r="46" spans="2:26">
      <c r="B46" s="10" t="s">
        <v>17</v>
      </c>
      <c r="C46" s="32">
        <v>0.33198723454578438</v>
      </c>
      <c r="D46" s="29">
        <v>26.114855472299293</v>
      </c>
      <c r="E46" s="69">
        <v>0.95535439140771605</v>
      </c>
      <c r="F46" s="69">
        <v>26.510503173337931</v>
      </c>
      <c r="G46" s="32"/>
      <c r="H46" s="29"/>
      <c r="I46" s="30"/>
      <c r="J46" s="31"/>
    </row>
    <row r="47" spans="2:26">
      <c r="B47" s="10" t="s">
        <v>19</v>
      </c>
      <c r="C47" s="32">
        <v>9.5171680812994163E-3</v>
      </c>
      <c r="D47" s="29">
        <v>12.998651648930348</v>
      </c>
      <c r="E47" s="69">
        <v>-5.8000542600020057E-2</v>
      </c>
      <c r="F47" s="69">
        <v>12.423667417409542</v>
      </c>
      <c r="G47" s="32"/>
      <c r="H47" s="29"/>
      <c r="I47" s="30"/>
      <c r="J47" s="31"/>
    </row>
    <row r="48" spans="2:26">
      <c r="B48" s="10" t="s">
        <v>21</v>
      </c>
      <c r="C48" s="32">
        <v>6.2317972978724663E-2</v>
      </c>
      <c r="D48" s="29">
        <v>6.8655482077885441</v>
      </c>
      <c r="E48" s="69">
        <v>0.15355568389174862</v>
      </c>
      <c r="F48" s="69">
        <v>7.220236083915581</v>
      </c>
      <c r="G48" s="32"/>
      <c r="H48" s="29"/>
      <c r="I48" s="30"/>
      <c r="J48" s="31"/>
    </row>
    <row r="49" spans="2:14">
      <c r="B49" s="10" t="s">
        <v>23</v>
      </c>
      <c r="C49" s="32">
        <v>-8.8952488602997825E-3</v>
      </c>
      <c r="D49" s="29">
        <v>0.55706891496223299</v>
      </c>
      <c r="E49" s="69">
        <v>-4.2285203449364046E-2</v>
      </c>
      <c r="F49" s="69">
        <v>0.42344305295287643</v>
      </c>
      <c r="G49" s="32"/>
      <c r="H49" s="29"/>
      <c r="I49" s="30"/>
      <c r="J49" s="31"/>
    </row>
    <row r="50" spans="2:14">
      <c r="B50" s="10" t="s">
        <v>25</v>
      </c>
      <c r="C50" s="32">
        <v>1.7594334859274547E-2</v>
      </c>
      <c r="D50" s="29">
        <v>1.6950869751605595E-3</v>
      </c>
      <c r="E50" s="69">
        <v>1.472957136792922E-2</v>
      </c>
      <c r="F50" s="69">
        <v>2.5382578253658342E-3</v>
      </c>
      <c r="G50" s="32"/>
      <c r="H50" s="29"/>
      <c r="I50" s="30"/>
      <c r="J50" s="31"/>
    </row>
    <row r="51" spans="2:14">
      <c r="B51" s="10" t="s">
        <v>26</v>
      </c>
      <c r="C51" s="32">
        <v>1.0655850614752587</v>
      </c>
      <c r="D51" s="29">
        <v>0.81396895851749917</v>
      </c>
      <c r="E51" s="69">
        <v>1.8636363781976866</v>
      </c>
      <c r="F51" s="69">
        <v>0.64011979946850395</v>
      </c>
      <c r="G51" s="32"/>
      <c r="H51" s="29"/>
      <c r="I51" s="30"/>
      <c r="J51" s="31"/>
    </row>
    <row r="52" spans="2:14">
      <c r="B52" s="10" t="s">
        <v>27</v>
      </c>
      <c r="C52" s="32">
        <v>-2.7635584998682367E-2</v>
      </c>
      <c r="D52" s="29">
        <v>0.84128967126702836</v>
      </c>
      <c r="E52" s="69">
        <v>1.798695270260809E-2</v>
      </c>
      <c r="F52" s="69">
        <v>0.73595893069335594</v>
      </c>
      <c r="G52" s="32"/>
      <c r="H52" s="29"/>
      <c r="I52" s="30"/>
      <c r="J52" s="31"/>
    </row>
    <row r="53" spans="2:14">
      <c r="B53" s="10" t="s">
        <v>28</v>
      </c>
      <c r="C53" s="32">
        <v>-2.7530992313849327E-3</v>
      </c>
      <c r="D53" s="29">
        <v>0.1613130808500621</v>
      </c>
      <c r="E53" s="69">
        <v>-8.9316815921980583E-3</v>
      </c>
      <c r="F53" s="69">
        <v>8.5249004887606075E-2</v>
      </c>
      <c r="G53" s="32"/>
      <c r="H53" s="29"/>
      <c r="I53" s="30"/>
      <c r="J53" s="31"/>
    </row>
    <row r="54" spans="2:14">
      <c r="B54" s="10" t="s">
        <v>29</v>
      </c>
      <c r="C54" s="32">
        <v>8.876273453866328E-4</v>
      </c>
      <c r="D54" s="29">
        <v>1.5525504638409471</v>
      </c>
      <c r="E54" s="69">
        <v>2.8152557895153422E-2</v>
      </c>
      <c r="F54" s="69">
        <v>0.96360208474840625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8.2389924469625491E-3</v>
      </c>
      <c r="D58" s="29">
        <v>-0.18535347226590837</v>
      </c>
      <c r="E58" s="69">
        <v>3.5388364456360621E-2</v>
      </c>
      <c r="F58" s="69">
        <v>-0.32377504661825401</v>
      </c>
      <c r="G58" s="32"/>
      <c r="H58" s="29"/>
      <c r="I58" s="30"/>
      <c r="J58" s="31"/>
    </row>
    <row r="59" spans="2:14">
      <c r="B59" s="11" t="s">
        <v>34</v>
      </c>
      <c r="C59" s="34">
        <v>1.3691270148773915</v>
      </c>
      <c r="D59" s="29">
        <v>100.00000000000003</v>
      </c>
      <c r="E59" s="51">
        <v>3.3485630355025942</v>
      </c>
      <c r="F59" s="31">
        <v>100.00000000000001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1298.7487964610002</v>
      </c>
      <c r="E60" s="25"/>
      <c r="F60" s="33">
        <v>3920.8526739699992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1.5462807742278957</v>
      </c>
      <c r="D62" s="53">
        <v>66.935698065700151</v>
      </c>
      <c r="E62" s="69">
        <v>4.0657580800251809</v>
      </c>
      <c r="F62" s="69">
        <v>67.355780464047356</v>
      </c>
      <c r="G62" s="52"/>
      <c r="H62" s="53"/>
      <c r="I62" s="54"/>
      <c r="J62" s="55"/>
    </row>
    <row r="63" spans="2:14">
      <c r="B63" s="10" t="s">
        <v>36</v>
      </c>
      <c r="C63" s="32">
        <v>-0.1771537593505039</v>
      </c>
      <c r="D63" s="29">
        <v>33.064301934299849</v>
      </c>
      <c r="E63" s="69">
        <v>-0.71719504452258576</v>
      </c>
      <c r="F63" s="69">
        <v>32.644219535952637</v>
      </c>
      <c r="G63" s="32"/>
      <c r="H63" s="29"/>
      <c r="I63" s="30"/>
      <c r="J63" s="31"/>
    </row>
    <row r="64" spans="2:14">
      <c r="B64" s="11" t="s">
        <v>34</v>
      </c>
      <c r="C64" s="34">
        <v>1.3691270148773917</v>
      </c>
      <c r="D64" s="34">
        <v>100</v>
      </c>
      <c r="E64" s="51">
        <v>3.348563035502595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0.29606422004651428</v>
      </c>
      <c r="D66" s="53">
        <v>96.337359117117288</v>
      </c>
      <c r="E66" s="69">
        <v>1.467496597940728</v>
      </c>
      <c r="F66" s="69">
        <v>97.727889707411023</v>
      </c>
      <c r="G66" s="52"/>
      <c r="H66" s="53"/>
      <c r="I66" s="54"/>
      <c r="J66" s="55"/>
    </row>
    <row r="67" spans="2:10">
      <c r="B67" s="10" t="s">
        <v>38</v>
      </c>
      <c r="C67" s="32">
        <v>1.0730627948308775</v>
      </c>
      <c r="D67" s="29">
        <v>3.6626408828827248</v>
      </c>
      <c r="E67" s="69">
        <v>1.8810664375618669</v>
      </c>
      <c r="F67" s="69">
        <v>2.2721102925889687</v>
      </c>
      <c r="G67" s="32"/>
      <c r="H67" s="29"/>
      <c r="I67" s="30"/>
      <c r="J67" s="31"/>
    </row>
    <row r="68" spans="2:10">
      <c r="B68" s="11" t="s">
        <v>34</v>
      </c>
      <c r="C68" s="34">
        <v>1.3691270148773917</v>
      </c>
      <c r="D68" s="34">
        <v>100.00000000000001</v>
      </c>
      <c r="E68" s="51">
        <v>3.348563035502595</v>
      </c>
      <c r="F68" s="57">
        <v>99.999999999999986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C4" sqref="C4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57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-7.6700631794882745E-3</v>
      </c>
      <c r="D7" s="29">
        <v>4.1921352561350256</v>
      </c>
      <c r="E7" s="30">
        <v>-3.0911292845340145E-2</v>
      </c>
      <c r="F7" s="31">
        <v>4.6312931159688082</v>
      </c>
      <c r="G7" s="32">
        <v>-2.8157137633838085E-2</v>
      </c>
      <c r="H7" s="29">
        <v>4.2990847749026022</v>
      </c>
      <c r="I7" s="30">
        <v>-8.0216733266845095E-4</v>
      </c>
      <c r="J7" s="31">
        <v>6.5667027432726632</v>
      </c>
      <c r="K7" s="32">
        <v>-1.1996832561352007E-2</v>
      </c>
      <c r="L7" s="29">
        <v>4.5662011191230363</v>
      </c>
      <c r="M7" s="30">
        <v>-8.6804741741897309E-3</v>
      </c>
      <c r="N7" s="31">
        <v>5.6711550792185248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2.2864489781149397E-3</v>
      </c>
      <c r="D8" s="29">
        <v>23.882821800183386</v>
      </c>
      <c r="E8" s="30">
        <v>-2.6692597220331519E-2</v>
      </c>
      <c r="F8" s="31">
        <v>22.787944172004607</v>
      </c>
      <c r="G8" s="32">
        <v>7.6109741469457634E-2</v>
      </c>
      <c r="H8" s="29">
        <v>23.071755280400232</v>
      </c>
      <c r="I8" s="30">
        <v>0.1900832157548544</v>
      </c>
      <c r="J8" s="31">
        <v>22.634682274447545</v>
      </c>
      <c r="K8" s="32">
        <v>0.12987472726786015</v>
      </c>
      <c r="L8" s="29">
        <v>22.635042861049133</v>
      </c>
      <c r="M8" s="30">
        <v>-7.5267660011503007E-2</v>
      </c>
      <c r="N8" s="31">
        <v>22.756171393486106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0.10891763209904513</v>
      </c>
      <c r="D11" s="29">
        <v>34.677055332484926</v>
      </c>
      <c r="E11" s="30">
        <v>-4.8248400112377403E-2</v>
      </c>
      <c r="F11" s="31">
        <v>34.431419997075587</v>
      </c>
      <c r="G11" s="32">
        <v>2.9522529561201885E-3</v>
      </c>
      <c r="H11" s="29">
        <v>33.944424138452476</v>
      </c>
      <c r="I11" s="30">
        <v>0.46003755320447826</v>
      </c>
      <c r="J11" s="31">
        <v>33.939613357333577</v>
      </c>
      <c r="K11" s="32">
        <v>0.23909337118931379</v>
      </c>
      <c r="L11" s="29">
        <v>34.889523997573967</v>
      </c>
      <c r="M11" s="30">
        <v>-0.23902081855353691</v>
      </c>
      <c r="N11" s="31">
        <v>34.228128497542649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7.9149978779542076E-3</v>
      </c>
      <c r="D12" s="29">
        <v>1.1404860889980679</v>
      </c>
      <c r="E12" s="30">
        <v>1.7529647016961255E-4</v>
      </c>
      <c r="F12" s="31">
        <v>1.0409457671798656</v>
      </c>
      <c r="G12" s="32">
        <v>1.0323628871002554E-2</v>
      </c>
      <c r="H12" s="29">
        <v>1.0705960455148815</v>
      </c>
      <c r="I12" s="30">
        <v>1.3834388676384139E-2</v>
      </c>
      <c r="J12" s="31">
        <v>0.77544630334002174</v>
      </c>
      <c r="K12" s="32">
        <v>-2.7124752200469574E-3</v>
      </c>
      <c r="L12" s="29">
        <v>0.77056521444011705</v>
      </c>
      <c r="M12" s="30">
        <v>-1.2506510807171005E-3</v>
      </c>
      <c r="N12" s="31">
        <v>0.71874128912823965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-0.12960716001624956</v>
      </c>
      <c r="D13" s="29">
        <v>18.18367595165337</v>
      </c>
      <c r="E13" s="30">
        <v>0.40710123072215454</v>
      </c>
      <c r="F13" s="31">
        <v>17.836468701147858</v>
      </c>
      <c r="G13" s="32">
        <v>-1.8102083904655963E-2</v>
      </c>
      <c r="H13" s="29">
        <v>17.448720403762966</v>
      </c>
      <c r="I13" s="30">
        <v>0.2496830185446085</v>
      </c>
      <c r="J13" s="31">
        <v>16.704922425766807</v>
      </c>
      <c r="K13" s="32">
        <v>0.33822127916010869</v>
      </c>
      <c r="L13" s="29">
        <v>17.159720573934585</v>
      </c>
      <c r="M13" s="30">
        <v>-0.17971332041652791</v>
      </c>
      <c r="N13" s="31">
        <v>17.665835081124641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-8.5595225397590447E-3</v>
      </c>
      <c r="D14" s="29">
        <v>9.0243556731634875</v>
      </c>
      <c r="E14" s="30">
        <v>-3.7078658334429339E-2</v>
      </c>
      <c r="F14" s="31">
        <v>9.7398974405660717</v>
      </c>
      <c r="G14" s="32">
        <v>2.8587956511746948E-2</v>
      </c>
      <c r="H14" s="29">
        <v>10.655269122343409</v>
      </c>
      <c r="I14" s="30">
        <v>8.7745739255524507E-2</v>
      </c>
      <c r="J14" s="31">
        <v>10.667548876229379</v>
      </c>
      <c r="K14" s="32">
        <v>7.4398244919034087E-2</v>
      </c>
      <c r="L14" s="29">
        <v>11.165965849353963</v>
      </c>
      <c r="M14" s="30">
        <v>-0.117883154967045</v>
      </c>
      <c r="N14" s="31">
        <v>10.317876449060561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5.190071990494597E-2</v>
      </c>
      <c r="D15" s="29">
        <v>4.8161227992095279</v>
      </c>
      <c r="E15" s="30">
        <v>-8.4627569428314231E-2</v>
      </c>
      <c r="F15" s="31">
        <v>5.1202813752543044</v>
      </c>
      <c r="G15" s="32">
        <v>3.7116477825737584E-2</v>
      </c>
      <c r="H15" s="29">
        <v>5.2800381596790853</v>
      </c>
      <c r="I15" s="30">
        <v>0.10341146262918975</v>
      </c>
      <c r="J15" s="31">
        <v>5.5565335236657045</v>
      </c>
      <c r="K15" s="32">
        <v>7.0631267448234336E-2</v>
      </c>
      <c r="L15" s="29">
        <v>5.8132907155944258</v>
      </c>
      <c r="M15" s="30">
        <v>-9.8091838809093945E-2</v>
      </c>
      <c r="N15" s="31">
        <v>5.6662646553620135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-1.0258972131778761E-2</v>
      </c>
      <c r="D16" s="29">
        <v>0.56075055471136448</v>
      </c>
      <c r="E16" s="30">
        <v>1.6803340769841052E-3</v>
      </c>
      <c r="F16" s="31">
        <v>0.79452685576632964</v>
      </c>
      <c r="G16" s="32">
        <v>-4.2615025780062812E-3</v>
      </c>
      <c r="H16" s="29">
        <v>0.73978656163171685</v>
      </c>
      <c r="I16" s="30">
        <v>-3.9116287624890765E-3</v>
      </c>
      <c r="J16" s="31">
        <v>0.61073816121813707</v>
      </c>
      <c r="K16" s="32">
        <v>-3.2031670237795901E-3</v>
      </c>
      <c r="L16" s="29">
        <v>0.56768850748252497</v>
      </c>
      <c r="M16" s="30">
        <v>-1.8208062806517111E-2</v>
      </c>
      <c r="N16" s="31">
        <v>0.59307281052548277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-8.8770986501143703E-4</v>
      </c>
      <c r="D17" s="29">
        <v>7.2602621018751888E-3</v>
      </c>
      <c r="E17" s="30">
        <v>1.3431766603321208E-3</v>
      </c>
      <c r="F17" s="31">
        <v>7.9393953237526342E-3</v>
      </c>
      <c r="G17" s="32">
        <v>5.4263006782953281E-3</v>
      </c>
      <c r="H17" s="29">
        <v>1.1386270663500434E-3</v>
      </c>
      <c r="I17" s="30">
        <v>3.6898567302176652E-4</v>
      </c>
      <c r="J17" s="31">
        <v>1.4357310764568727E-3</v>
      </c>
      <c r="K17" s="32">
        <v>9.0933711281805565E-4</v>
      </c>
      <c r="L17" s="29">
        <v>2.3897078816381154E-3</v>
      </c>
      <c r="M17" s="30">
        <v>-8.101291895299187E-4</v>
      </c>
      <c r="N17" s="31">
        <v>1.6836836964597864E-3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0.15528028528835991</v>
      </c>
      <c r="D18" s="29">
        <v>0.42792467949623691</v>
      </c>
      <c r="E18" s="30">
        <v>0.31474256194916272</v>
      </c>
      <c r="F18" s="31">
        <v>0.45148142865119278</v>
      </c>
      <c r="G18" s="32">
        <v>0.1421473626759612</v>
      </c>
      <c r="H18" s="29">
        <v>0.4997992982147782</v>
      </c>
      <c r="I18" s="30">
        <v>2.8699048249847172E-2</v>
      </c>
      <c r="J18" s="31">
        <v>0.33999480255003756</v>
      </c>
      <c r="K18" s="32">
        <v>0.11225045347198057</v>
      </c>
      <c r="L18" s="29">
        <v>0.36824121057418829</v>
      </c>
      <c r="M18" s="30">
        <v>0.22042145790365722</v>
      </c>
      <c r="N18" s="31">
        <v>0.41886748533024831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-2.7538189382051515E-3</v>
      </c>
      <c r="D19" s="29">
        <v>0.47401699870250197</v>
      </c>
      <c r="E19" s="30">
        <v>3.4495087878627104E-3</v>
      </c>
      <c r="F19" s="31">
        <v>0.62326161854607198</v>
      </c>
      <c r="G19" s="32">
        <v>-9.4075841967218004E-3</v>
      </c>
      <c r="H19" s="29">
        <v>0.56511270748431597</v>
      </c>
      <c r="I19" s="30">
        <v>2.4672501999497111E-3</v>
      </c>
      <c r="J19" s="31">
        <v>0.52984477362009919</v>
      </c>
      <c r="K19" s="32">
        <v>2.244445604196434E-2</v>
      </c>
      <c r="L19" s="29">
        <v>0.47083672207818256</v>
      </c>
      <c r="M19" s="30">
        <v>-5.9550520817410763E-3</v>
      </c>
      <c r="N19" s="31">
        <v>0.488178167228009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-6.1459834308624055E-3</v>
      </c>
      <c r="D20" s="29">
        <v>0.41356262103498032</v>
      </c>
      <c r="E20" s="30">
        <v>-6.7751550110655093E-3</v>
      </c>
      <c r="F20" s="31">
        <v>0.36957815908835528</v>
      </c>
      <c r="G20" s="32">
        <v>-5.7057269682491817E-4</v>
      </c>
      <c r="H20" s="29">
        <v>0.32968768800727738</v>
      </c>
      <c r="I20" s="30">
        <v>-1.6551973244199616E-3</v>
      </c>
      <c r="J20" s="31">
        <v>0.22285554410457895</v>
      </c>
      <c r="K20" s="32">
        <v>-2.6172672324754837E-3</v>
      </c>
      <c r="L20" s="29">
        <v>0.20795651602065771</v>
      </c>
      <c r="M20" s="30">
        <v>-4.1317383371384476E-3</v>
      </c>
      <c r="N20" s="31">
        <v>0.19249568581106716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-1.0558724367625643E-3</v>
      </c>
      <c r="D21" s="29">
        <v>2.3455252072354749</v>
      </c>
      <c r="E21" s="30">
        <v>-3.913862310609386E-3</v>
      </c>
      <c r="F21" s="31">
        <v>2.4005990285681946</v>
      </c>
      <c r="G21" s="32">
        <v>4.6741620455227183E-3</v>
      </c>
      <c r="H21" s="29">
        <v>2.2168706642364708</v>
      </c>
      <c r="I21" s="30">
        <v>1.6307912100756633E-2</v>
      </c>
      <c r="J21" s="31">
        <v>1.609686819754599</v>
      </c>
      <c r="K21" s="32">
        <v>1.1318432408913183E-2</v>
      </c>
      <c r="L21" s="29">
        <v>1.5901111949782394</v>
      </c>
      <c r="M21" s="30">
        <v>2.5261512845767518E-3</v>
      </c>
      <c r="N21" s="31">
        <v>1.4999065912023122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2.7645964881236225E-3</v>
      </c>
      <c r="D25" s="29">
        <v>-0.1456932251102426</v>
      </c>
      <c r="E25" s="30">
        <v>6.0234839260973469E-3</v>
      </c>
      <c r="F25" s="31">
        <v>-0.23563705514099204</v>
      </c>
      <c r="G25" s="32">
        <v>5.7310657078307075E-4</v>
      </c>
      <c r="H25" s="29">
        <v>-0.12228347169656469</v>
      </c>
      <c r="I25" s="30">
        <v>8.552068179600585E-5</v>
      </c>
      <c r="J25" s="31">
        <v>-0.1600053363796087</v>
      </c>
      <c r="K25" s="32">
        <v>2.1015155041989387E-3</v>
      </c>
      <c r="L25" s="29">
        <v>-0.20753419008466323</v>
      </c>
      <c r="M25" s="30">
        <v>8.7020667684600903E-3</v>
      </c>
      <c r="N25" s="31">
        <v>-0.21837686871631029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0.16212557809842662</v>
      </c>
      <c r="D26" s="41">
        <v>99.999999999999972</v>
      </c>
      <c r="E26" s="42">
        <v>0.49626805733029566</v>
      </c>
      <c r="F26" s="37">
        <v>99.999999999999986</v>
      </c>
      <c r="G26" s="43">
        <v>0.24741210859458018</v>
      </c>
      <c r="H26" s="41">
        <v>100.00000000000001</v>
      </c>
      <c r="I26" s="42">
        <v>1.1463551015508333</v>
      </c>
      <c r="J26" s="37">
        <v>99.999999999999986</v>
      </c>
      <c r="K26" s="41">
        <v>0.98071334248677222</v>
      </c>
      <c r="L26" s="41">
        <v>100</v>
      </c>
      <c r="M26" s="42">
        <v>-0.51736322447084604</v>
      </c>
      <c r="N26" s="37">
        <v>100.00000000000001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61" customFormat="1">
      <c r="B27" s="62" t="s">
        <v>40</v>
      </c>
      <c r="C27" s="63"/>
      <c r="D27" s="58">
        <v>252.58408751499982</v>
      </c>
      <c r="E27" s="59"/>
      <c r="F27" s="58">
        <v>908.75786745100015</v>
      </c>
      <c r="G27" s="60"/>
      <c r="H27" s="58">
        <v>623.53735511500008</v>
      </c>
      <c r="I27" s="59"/>
      <c r="J27" s="58">
        <v>2625.8477819760001</v>
      </c>
      <c r="K27" s="60"/>
      <c r="L27" s="58">
        <v>3407.6710395819987</v>
      </c>
      <c r="M27" s="59"/>
      <c r="N27" s="58">
        <v>-1957.0969495090003</v>
      </c>
      <c r="O27" s="60"/>
      <c r="P27" s="58"/>
      <c r="Q27" s="59"/>
      <c r="R27" s="58"/>
      <c r="S27" s="60"/>
      <c r="T27" s="58"/>
      <c r="U27" s="59"/>
      <c r="V27" s="58"/>
      <c r="W27" s="60"/>
      <c r="X27" s="58"/>
      <c r="Y27" s="59"/>
      <c r="Z27" s="5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0.21856501124861549</v>
      </c>
      <c r="D29" s="29">
        <v>76.462451428408357</v>
      </c>
      <c r="E29" s="30">
        <v>0.620317018567623</v>
      </c>
      <c r="F29" s="31">
        <v>75.026521458448173</v>
      </c>
      <c r="G29" s="29">
        <v>0.2859512718703055</v>
      </c>
      <c r="H29" s="29">
        <v>74.218670908163759</v>
      </c>
      <c r="I29" s="30">
        <v>0.80619519613010049</v>
      </c>
      <c r="J29" s="31">
        <v>74.475092759413243</v>
      </c>
      <c r="K29" s="32">
        <v>0.88107957164695505</v>
      </c>
      <c r="L29" s="29">
        <v>73.62389704806688</v>
      </c>
      <c r="M29" s="30">
        <v>6.9687645270917857E-3</v>
      </c>
      <c r="N29" s="31">
        <v>74.305761851703096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-5.6439433150188949E-2</v>
      </c>
      <c r="D30" s="29">
        <v>23.53754857159165</v>
      </c>
      <c r="E30" s="30">
        <v>-0.12404896123732732</v>
      </c>
      <c r="F30" s="31">
        <v>24.973478541551835</v>
      </c>
      <c r="G30" s="29">
        <v>-3.8539163275725347E-2</v>
      </c>
      <c r="H30" s="29">
        <v>25.781329091836241</v>
      </c>
      <c r="I30" s="31">
        <v>0.34015990542073277</v>
      </c>
      <c r="J30" s="31">
        <v>25.524907240586757</v>
      </c>
      <c r="K30" s="32">
        <v>9.9633770839817018E-2</v>
      </c>
      <c r="L30" s="29">
        <v>26.376102951933117</v>
      </c>
      <c r="M30" s="30">
        <v>-0.52433198899793776</v>
      </c>
      <c r="N30" s="31">
        <v>25.694238148296911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0.16212557809842654</v>
      </c>
      <c r="D31" s="41">
        <v>100</v>
      </c>
      <c r="E31" s="37">
        <v>0.49626805733029566</v>
      </c>
      <c r="F31" s="37">
        <v>100</v>
      </c>
      <c r="G31" s="41">
        <v>0.24741210859458015</v>
      </c>
      <c r="H31" s="41">
        <v>100</v>
      </c>
      <c r="I31" s="37">
        <v>1.1463551015508333</v>
      </c>
      <c r="J31" s="37">
        <v>100</v>
      </c>
      <c r="K31" s="41">
        <v>0.98071334248677211</v>
      </c>
      <c r="L31" s="41">
        <v>100</v>
      </c>
      <c r="M31" s="37">
        <v>-0.51736322447084593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1.5559362586431969E-2</v>
      </c>
      <c r="D33" s="29">
        <v>95.302498997724541</v>
      </c>
      <c r="E33" s="30">
        <v>0.18758696895644886</v>
      </c>
      <c r="F33" s="31">
        <v>95.226694411223022</v>
      </c>
      <c r="G33" s="29">
        <v>9.5337419125545775E-2</v>
      </c>
      <c r="H33" s="29">
        <v>95.314914518321686</v>
      </c>
      <c r="I33" s="30">
        <v>1.0916239306151556</v>
      </c>
      <c r="J33" s="31">
        <v>96.629777742628804</v>
      </c>
      <c r="K33" s="32">
        <v>0.86299026516212363</v>
      </c>
      <c r="L33" s="29">
        <v>96.731179224242638</v>
      </c>
      <c r="M33" s="30">
        <v>-0.722094736680859</v>
      </c>
      <c r="N33" s="31">
        <v>96.826034724212519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0.14656621551199456</v>
      </c>
      <c r="D34" s="29">
        <v>4.6975010022754597</v>
      </c>
      <c r="E34" s="30">
        <v>0.30868108837384689</v>
      </c>
      <c r="F34" s="31">
        <v>4.7733055887769789</v>
      </c>
      <c r="G34" s="29">
        <v>0.15207468946903444</v>
      </c>
      <c r="H34" s="29">
        <v>4.6850854816783105</v>
      </c>
      <c r="I34" s="31">
        <v>5.4731170935677545E-2</v>
      </c>
      <c r="J34" s="31">
        <v>3.3702222573712062</v>
      </c>
      <c r="K34" s="32">
        <v>0.1177230773246484</v>
      </c>
      <c r="L34" s="29">
        <v>3.2688207757573569</v>
      </c>
      <c r="M34" s="30">
        <v>0.20473151221001309</v>
      </c>
      <c r="N34" s="31">
        <v>3.173965275787479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0.16212557809842654</v>
      </c>
      <c r="D35" s="41">
        <v>100</v>
      </c>
      <c r="E35" s="37">
        <v>0.49626805733029578</v>
      </c>
      <c r="F35" s="37">
        <v>100</v>
      </c>
      <c r="G35" s="41">
        <v>0.24741210859458021</v>
      </c>
      <c r="H35" s="41">
        <v>100</v>
      </c>
      <c r="I35" s="37">
        <v>1.1463551015508331</v>
      </c>
      <c r="J35" s="37">
        <v>100.00000000000001</v>
      </c>
      <c r="K35" s="41">
        <v>0.980713342486772</v>
      </c>
      <c r="L35" s="41">
        <v>100</v>
      </c>
      <c r="M35" s="37">
        <v>-0.51736322447084593</v>
      </c>
      <c r="N35" s="37">
        <v>100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-7.0993411414284141E-2</v>
      </c>
      <c r="D40" s="29">
        <v>4.2990847749026022</v>
      </c>
      <c r="E40" s="69">
        <v>-9.3282932338002E-2</v>
      </c>
      <c r="F40" s="69">
        <v>5.6711550792185248</v>
      </c>
      <c r="G40" s="32"/>
      <c r="H40" s="29"/>
      <c r="I40" s="30"/>
      <c r="J40" s="31"/>
    </row>
    <row r="41" spans="2:26">
      <c r="B41" s="10" t="s">
        <v>7</v>
      </c>
      <c r="C41" s="32">
        <v>7.4545844000992165E-2</v>
      </c>
      <c r="D41" s="29">
        <v>23.071755280400232</v>
      </c>
      <c r="E41" s="69">
        <v>0.32341656408150421</v>
      </c>
      <c r="F41" s="69">
        <v>22.756171393486106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4.5174596807040668E-2</v>
      </c>
      <c r="D44" s="29">
        <v>33.944424138452476</v>
      </c>
      <c r="E44" s="69">
        <v>0.46199050688450216</v>
      </c>
      <c r="F44" s="69">
        <v>34.228128497542649</v>
      </c>
      <c r="G44" s="32"/>
      <c r="H44" s="29"/>
      <c r="I44" s="30"/>
      <c r="J44" s="31"/>
    </row>
    <row r="45" spans="2:26">
      <c r="B45" s="10" t="s">
        <v>15</v>
      </c>
      <c r="C45" s="32">
        <v>1.9677447419816484E-2</v>
      </c>
      <c r="D45" s="29">
        <v>1.0705960455148815</v>
      </c>
      <c r="E45" s="69">
        <v>2.4286221215874391E-2</v>
      </c>
      <c r="F45" s="69">
        <v>0.71874128912823965</v>
      </c>
      <c r="G45" s="32"/>
      <c r="H45" s="29"/>
      <c r="I45" s="30"/>
      <c r="J45" s="31"/>
    </row>
    <row r="46" spans="2:26">
      <c r="B46" s="10" t="s">
        <v>17</v>
      </c>
      <c r="C46" s="32">
        <v>0.25337501544218666</v>
      </c>
      <c r="D46" s="29">
        <v>17.448720403762966</v>
      </c>
      <c r="E46" s="69">
        <v>0.6763644102382419</v>
      </c>
      <c r="F46" s="69">
        <v>17.665835081124641</v>
      </c>
      <c r="G46" s="32"/>
      <c r="H46" s="29"/>
      <c r="I46" s="30"/>
      <c r="J46" s="31"/>
    </row>
    <row r="47" spans="2:26">
      <c r="B47" s="10" t="s">
        <v>19</v>
      </c>
      <c r="C47" s="32">
        <v>-4.6736695831901031E-3</v>
      </c>
      <c r="D47" s="29">
        <v>10.655269122343409</v>
      </c>
      <c r="E47" s="69">
        <v>1.8947531938904665E-3</v>
      </c>
      <c r="F47" s="69">
        <v>10.317876449060561</v>
      </c>
      <c r="G47" s="32"/>
      <c r="H47" s="29"/>
      <c r="I47" s="30"/>
      <c r="J47" s="31"/>
    </row>
    <row r="48" spans="2:26">
      <c r="B48" s="10" t="s">
        <v>21</v>
      </c>
      <c r="C48" s="32">
        <v>9.8883603923193928E-3</v>
      </c>
      <c r="D48" s="29">
        <v>5.2800381596790853</v>
      </c>
      <c r="E48" s="69">
        <v>5.6461825355346551E-2</v>
      </c>
      <c r="F48" s="69">
        <v>5.6662646553620135</v>
      </c>
      <c r="G48" s="32"/>
      <c r="H48" s="29"/>
      <c r="I48" s="30"/>
      <c r="J48" s="31"/>
    </row>
    <row r="49" spans="2:14">
      <c r="B49" s="10" t="s">
        <v>23</v>
      </c>
      <c r="C49" s="32">
        <v>-1.2032338913767024E-2</v>
      </c>
      <c r="D49" s="29">
        <v>0.73978656163171685</v>
      </c>
      <c r="E49" s="69">
        <v>-4.8662036806088813E-2</v>
      </c>
      <c r="F49" s="69">
        <v>0.59307281052548277</v>
      </c>
      <c r="G49" s="32"/>
      <c r="H49" s="29"/>
      <c r="I49" s="30"/>
      <c r="J49" s="31"/>
    </row>
    <row r="50" spans="2:14">
      <c r="B50" s="10" t="s">
        <v>25</v>
      </c>
      <c r="C50" s="32">
        <v>7.5066817165286206E-3</v>
      </c>
      <c r="D50" s="29">
        <v>1.1386270663500434E-3</v>
      </c>
      <c r="E50" s="69">
        <v>6.780916886179926E-3</v>
      </c>
      <c r="F50" s="69">
        <v>1.6836836964597864E-3</v>
      </c>
      <c r="G50" s="32"/>
      <c r="H50" s="29"/>
      <c r="I50" s="30"/>
      <c r="J50" s="31"/>
    </row>
    <row r="51" spans="2:14">
      <c r="B51" s="10" t="s">
        <v>26</v>
      </c>
      <c r="C51" s="32">
        <v>0.59867372983664402</v>
      </c>
      <c r="D51" s="29">
        <v>0.4997992982147782</v>
      </c>
      <c r="E51" s="69">
        <v>1.0656378990004758</v>
      </c>
      <c r="F51" s="69">
        <v>0.41886748533024831</v>
      </c>
      <c r="G51" s="32"/>
      <c r="H51" s="29"/>
      <c r="I51" s="30"/>
      <c r="J51" s="31"/>
    </row>
    <row r="52" spans="2:14">
      <c r="B52" s="10" t="s">
        <v>27</v>
      </c>
      <c r="C52" s="32">
        <v>-1.1033454040892407E-2</v>
      </c>
      <c r="D52" s="29">
        <v>0.56511270748431597</v>
      </c>
      <c r="E52" s="69">
        <v>1.7037806842300759E-2</v>
      </c>
      <c r="F52" s="69">
        <v>0.488178167228009</v>
      </c>
      <c r="G52" s="32"/>
      <c r="H52" s="29"/>
      <c r="I52" s="30"/>
      <c r="J52" s="31"/>
    </row>
    <row r="53" spans="2:14">
      <c r="B53" s="10" t="s">
        <v>28</v>
      </c>
      <c r="C53" s="32">
        <v>-1.191717849460166E-2</v>
      </c>
      <c r="D53" s="29">
        <v>0.32968768800727738</v>
      </c>
      <c r="E53" s="69">
        <v>-2.2441790045080751E-2</v>
      </c>
      <c r="F53" s="69">
        <v>0.19249568581106716</v>
      </c>
      <c r="G53" s="32"/>
      <c r="H53" s="29"/>
      <c r="I53" s="30"/>
      <c r="J53" s="31"/>
    </row>
    <row r="54" spans="2:14">
      <c r="B54" s="10" t="s">
        <v>29</v>
      </c>
      <c r="C54" s="32">
        <v>1.5102758139245761E-3</v>
      </c>
      <c r="D54" s="29">
        <v>2.2168706642364708</v>
      </c>
      <c r="E54" s="69">
        <v>3.8547554632290516E-2</v>
      </c>
      <c r="F54" s="69">
        <v>1.4999065912023122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8.53935869575978E-3</v>
      </c>
      <c r="D58" s="29">
        <v>-0.12228347169656469</v>
      </c>
      <c r="E58" s="69">
        <v>2.4716039651093778E-2</v>
      </c>
      <c r="F58" s="69">
        <v>-0.21837686871631029</v>
      </c>
      <c r="G58" s="32"/>
      <c r="H58" s="29"/>
      <c r="I58" s="30"/>
      <c r="J58" s="31"/>
    </row>
    <row r="59" spans="2:14">
      <c r="B59" s="11" t="s">
        <v>34</v>
      </c>
      <c r="C59" s="34">
        <v>0.90824125767847708</v>
      </c>
      <c r="D59" s="29">
        <v>100.00000000000001</v>
      </c>
      <c r="E59" s="51">
        <v>2.532747738792529</v>
      </c>
      <c r="F59" s="31">
        <v>100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1784.8793100810001</v>
      </c>
      <c r="E60" s="25"/>
      <c r="F60" s="33">
        <v>5861.3011821299979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1.1179977405806247</v>
      </c>
      <c r="D62" s="53">
        <v>74.218670908163759</v>
      </c>
      <c r="E62" s="69">
        <v>3.0816635401617969</v>
      </c>
      <c r="F62" s="69">
        <v>74.305761851703096</v>
      </c>
      <c r="G62" s="52"/>
      <c r="H62" s="53"/>
      <c r="I62" s="54"/>
      <c r="J62" s="55"/>
    </row>
    <row r="63" spans="2:14">
      <c r="B63" s="10" t="s">
        <v>36</v>
      </c>
      <c r="C63" s="32">
        <v>-0.20975648290214777</v>
      </c>
      <c r="D63" s="29">
        <v>25.781329091836241</v>
      </c>
      <c r="E63" s="69">
        <v>-0.54891580136926854</v>
      </c>
      <c r="F63" s="69">
        <v>25.694238148296911</v>
      </c>
      <c r="G63" s="32"/>
      <c r="H63" s="29"/>
      <c r="I63" s="30"/>
      <c r="J63" s="31"/>
    </row>
    <row r="64" spans="2:14">
      <c r="B64" s="11" t="s">
        <v>34</v>
      </c>
      <c r="C64" s="34">
        <v>0.90824125767847697</v>
      </c>
      <c r="D64" s="34">
        <v>100</v>
      </c>
      <c r="E64" s="51">
        <v>2.5327477387925281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0.30939276733138593</v>
      </c>
      <c r="D66" s="53">
        <v>95.314914518321686</v>
      </c>
      <c r="E66" s="69">
        <v>1.458624843769101</v>
      </c>
      <c r="F66" s="69">
        <v>96.826034724212519</v>
      </c>
      <c r="G66" s="52"/>
      <c r="H66" s="53"/>
      <c r="I66" s="54"/>
      <c r="J66" s="55"/>
    </row>
    <row r="67" spans="2:10">
      <c r="B67" s="10" t="s">
        <v>38</v>
      </c>
      <c r="C67" s="32">
        <v>0.59884849034709109</v>
      </c>
      <c r="D67" s="29">
        <v>4.6850854816783105</v>
      </c>
      <c r="E67" s="69">
        <v>1.0741228950234281</v>
      </c>
      <c r="F67" s="69">
        <v>3.173965275787479</v>
      </c>
      <c r="G67" s="32"/>
      <c r="H67" s="29"/>
      <c r="I67" s="30"/>
      <c r="J67" s="31"/>
    </row>
    <row r="68" spans="2:10">
      <c r="B68" s="11" t="s">
        <v>34</v>
      </c>
      <c r="C68" s="34">
        <v>0.90824125767847708</v>
      </c>
      <c r="D68" s="34">
        <v>100</v>
      </c>
      <c r="E68" s="51">
        <v>2.532747738792529</v>
      </c>
      <c r="F68" s="57">
        <v>100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D3" sqref="D3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58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82" t="s">
        <v>66</v>
      </c>
      <c r="D5" s="83"/>
      <c r="E5" s="84" t="s">
        <v>67</v>
      </c>
      <c r="F5" s="85"/>
      <c r="G5" s="82" t="s">
        <v>68</v>
      </c>
      <c r="H5" s="83"/>
      <c r="I5" s="84" t="s">
        <v>69</v>
      </c>
      <c r="J5" s="85"/>
      <c r="K5" s="82" t="s">
        <v>70</v>
      </c>
      <c r="L5" s="83"/>
      <c r="M5" s="84" t="s">
        <v>71</v>
      </c>
      <c r="N5" s="85"/>
      <c r="O5" s="82" t="s">
        <v>72</v>
      </c>
      <c r="P5" s="83"/>
      <c r="Q5" s="84" t="s">
        <v>73</v>
      </c>
      <c r="R5" s="85"/>
      <c r="S5" s="82" t="s">
        <v>74</v>
      </c>
      <c r="T5" s="83"/>
      <c r="U5" s="84" t="s">
        <v>75</v>
      </c>
      <c r="V5" s="85"/>
      <c r="W5" s="82" t="s">
        <v>76</v>
      </c>
      <c r="X5" s="83"/>
      <c r="Y5" s="84" t="s">
        <v>77</v>
      </c>
      <c r="Z5" s="85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-6.5064499279585634E-3</v>
      </c>
      <c r="D7" s="29">
        <v>3.45177577693098</v>
      </c>
      <c r="E7" s="30">
        <v>-3.7064619209511693E-2</v>
      </c>
      <c r="F7" s="31">
        <v>3.7674478153925808</v>
      </c>
      <c r="G7" s="32">
        <v>-2.9007732047085722E-2</v>
      </c>
      <c r="H7" s="29">
        <v>4.0827713287008596</v>
      </c>
      <c r="I7" s="30">
        <v>-5.6858233085843321E-3</v>
      </c>
      <c r="J7" s="31">
        <v>5.2591179321898958</v>
      </c>
      <c r="K7" s="32">
        <v>-1.0354155795843685E-2</v>
      </c>
      <c r="L7" s="29">
        <v>4.1309596696478597</v>
      </c>
      <c r="M7" s="30">
        <v>-5.0784701694520087E-3</v>
      </c>
      <c r="N7" s="31">
        <v>4.0313469613033011</v>
      </c>
      <c r="O7" s="32"/>
      <c r="P7" s="29"/>
      <c r="Q7" s="30"/>
      <c r="R7" s="31"/>
      <c r="S7" s="32"/>
      <c r="T7" s="29"/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1.2497204315895346E-2</v>
      </c>
      <c r="D8" s="29">
        <v>36.007111156829609</v>
      </c>
      <c r="E8" s="30">
        <v>-3.9454295814310231E-2</v>
      </c>
      <c r="F8" s="31">
        <v>34.898493434590996</v>
      </c>
      <c r="G8" s="32">
        <v>0.10838007799045743</v>
      </c>
      <c r="H8" s="29">
        <v>34.764451523551337</v>
      </c>
      <c r="I8" s="30">
        <v>0.26994624877082085</v>
      </c>
      <c r="J8" s="31">
        <v>34.217863644478378</v>
      </c>
      <c r="K8" s="32">
        <v>0.19916379402725309</v>
      </c>
      <c r="L8" s="29">
        <v>34.53283813145859</v>
      </c>
      <c r="M8" s="30">
        <v>-0.11835677332309893</v>
      </c>
      <c r="N8" s="31">
        <v>34.705118999599947</v>
      </c>
      <c r="O8" s="32"/>
      <c r="P8" s="29"/>
      <c r="Q8" s="30"/>
      <c r="R8" s="31"/>
      <c r="S8" s="32"/>
      <c r="T8" s="29"/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/>
      <c r="P9" s="29"/>
      <c r="Q9" s="30"/>
      <c r="R9" s="31"/>
      <c r="S9" s="32"/>
      <c r="T9" s="29"/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/>
      <c r="P10" s="29"/>
      <c r="Q10" s="30"/>
      <c r="R10" s="31"/>
      <c r="S10" s="32"/>
      <c r="T10" s="29"/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7.8790654333814408E-2</v>
      </c>
      <c r="D11" s="29">
        <v>32.076192623744944</v>
      </c>
      <c r="E11" s="30">
        <v>-5.7208328076269029E-2</v>
      </c>
      <c r="F11" s="31">
        <v>31.973995955114866</v>
      </c>
      <c r="G11" s="32">
        <v>-2.0154692832496279E-3</v>
      </c>
      <c r="H11" s="29">
        <v>31.38286200021831</v>
      </c>
      <c r="I11" s="30">
        <v>0.42068374739979558</v>
      </c>
      <c r="J11" s="31">
        <v>31.812066207488947</v>
      </c>
      <c r="K11" s="32">
        <v>0.21412116219314864</v>
      </c>
      <c r="L11" s="29">
        <v>32.034527125365607</v>
      </c>
      <c r="M11" s="30">
        <v>-0.23364653254664813</v>
      </c>
      <c r="N11" s="31">
        <v>32.326461627408897</v>
      </c>
      <c r="O11" s="32"/>
      <c r="P11" s="29"/>
      <c r="Q11" s="30"/>
      <c r="R11" s="31"/>
      <c r="S11" s="32"/>
      <c r="T11" s="29"/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7.4437956520920648E-3</v>
      </c>
      <c r="D12" s="29">
        <v>1.1685320442831917</v>
      </c>
      <c r="E12" s="30">
        <v>3.15329042660619E-4</v>
      </c>
      <c r="F12" s="31">
        <v>1.0929773319121057</v>
      </c>
      <c r="G12" s="32">
        <v>1.106065418432306E-2</v>
      </c>
      <c r="H12" s="29">
        <v>1.1741791248385869</v>
      </c>
      <c r="I12" s="30">
        <v>1.4890334878278028E-2</v>
      </c>
      <c r="J12" s="31">
        <v>0.93081183241449439</v>
      </c>
      <c r="K12" s="32">
        <v>-3.1974638793510063E-3</v>
      </c>
      <c r="L12" s="29">
        <v>0.92747030221776472</v>
      </c>
      <c r="M12" s="30">
        <v>-1.5185896878745708E-3</v>
      </c>
      <c r="N12" s="31">
        <v>0.90623839620399183</v>
      </c>
      <c r="O12" s="32"/>
      <c r="P12" s="29"/>
      <c r="Q12" s="30"/>
      <c r="R12" s="31"/>
      <c r="S12" s="32"/>
      <c r="T12" s="29"/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-8.810852295674429E-2</v>
      </c>
      <c r="D13" s="29">
        <v>12.045901003413794</v>
      </c>
      <c r="E13" s="30">
        <v>0.27427486323545064</v>
      </c>
      <c r="F13" s="31">
        <v>11.892009630691419</v>
      </c>
      <c r="G13" s="32">
        <v>-9.2350784612689682E-3</v>
      </c>
      <c r="H13" s="29">
        <v>11.640471879579444</v>
      </c>
      <c r="I13" s="30">
        <v>0.1728158501366838</v>
      </c>
      <c r="J13" s="31">
        <v>11.288777904724352</v>
      </c>
      <c r="K13" s="32">
        <v>0.2332389139347335</v>
      </c>
      <c r="L13" s="29">
        <v>11.602418148042958</v>
      </c>
      <c r="M13" s="30">
        <v>-0.12393537923108078</v>
      </c>
      <c r="N13" s="31">
        <v>11.701198555323291</v>
      </c>
      <c r="O13" s="32"/>
      <c r="P13" s="29"/>
      <c r="Q13" s="30"/>
      <c r="R13" s="31"/>
      <c r="S13" s="32"/>
      <c r="T13" s="29"/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-1.2344542518135603E-3</v>
      </c>
      <c r="D14" s="29">
        <v>7.3504562042254555</v>
      </c>
      <c r="E14" s="30">
        <v>-2.7426769032600905E-2</v>
      </c>
      <c r="F14" s="31">
        <v>7.8662473982293406</v>
      </c>
      <c r="G14" s="32">
        <v>1.7531807767165425E-2</v>
      </c>
      <c r="H14" s="29">
        <v>8.4311263153366589</v>
      </c>
      <c r="I14" s="30">
        <v>7.298317731542224E-2</v>
      </c>
      <c r="J14" s="31">
        <v>8.4492734955951256</v>
      </c>
      <c r="K14" s="32">
        <v>5.9999036490524349E-2</v>
      </c>
      <c r="L14" s="29">
        <v>8.7376210993783658</v>
      </c>
      <c r="M14" s="30">
        <v>-8.515403741852498E-2</v>
      </c>
      <c r="N14" s="31">
        <v>8.2032370007001614</v>
      </c>
      <c r="O14" s="32"/>
      <c r="P14" s="29"/>
      <c r="Q14" s="30"/>
      <c r="R14" s="31"/>
      <c r="S14" s="32"/>
      <c r="T14" s="29"/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3.4764267882486349E-2</v>
      </c>
      <c r="D15" s="29">
        <v>3.988404403946451</v>
      </c>
      <c r="E15" s="30">
        <v>-7.2742715574743308E-2</v>
      </c>
      <c r="F15" s="31">
        <v>4.1916149264356255</v>
      </c>
      <c r="G15" s="32">
        <v>2.5198362770055879E-2</v>
      </c>
      <c r="H15" s="29">
        <v>4.2862501657795438</v>
      </c>
      <c r="I15" s="30">
        <v>7.4554704172365774E-2</v>
      </c>
      <c r="J15" s="31">
        <v>4.610825370939641</v>
      </c>
      <c r="K15" s="32">
        <v>4.5463509215696932E-2</v>
      </c>
      <c r="L15" s="29">
        <v>4.7264478360571527</v>
      </c>
      <c r="M15" s="30">
        <v>-8.5661327225150269E-2</v>
      </c>
      <c r="N15" s="31">
        <v>4.7488042987436012</v>
      </c>
      <c r="O15" s="32"/>
      <c r="P15" s="29"/>
      <c r="Q15" s="30"/>
      <c r="R15" s="31"/>
      <c r="S15" s="32"/>
      <c r="T15" s="29"/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-9.9360942102790905E-3</v>
      </c>
      <c r="D16" s="29">
        <v>0.57628679977560437</v>
      </c>
      <c r="E16" s="30">
        <v>2.4825526397346544E-3</v>
      </c>
      <c r="F16" s="31">
        <v>0.85178315645980418</v>
      </c>
      <c r="G16" s="32">
        <v>-2.6414930981542711E-3</v>
      </c>
      <c r="H16" s="29">
        <v>0.82895396435522328</v>
      </c>
      <c r="I16" s="30">
        <v>-4.4287951498682933E-3</v>
      </c>
      <c r="J16" s="31">
        <v>0.75539758033135074</v>
      </c>
      <c r="K16" s="32">
        <v>-3.7552966048913596E-3</v>
      </c>
      <c r="L16" s="29">
        <v>0.70668885374875257</v>
      </c>
      <c r="M16" s="30">
        <v>-2.2517030439766567E-2</v>
      </c>
      <c r="N16" s="31">
        <v>0.77353897006593897</v>
      </c>
      <c r="O16" s="32"/>
      <c r="P16" s="29"/>
      <c r="Q16" s="30"/>
      <c r="R16" s="31"/>
      <c r="S16" s="32"/>
      <c r="T16" s="29"/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-5.9930633402509976E-4</v>
      </c>
      <c r="D17" s="29">
        <v>4.775461760736636E-3</v>
      </c>
      <c r="E17" s="30">
        <v>8.8196680516617525E-4</v>
      </c>
      <c r="F17" s="31">
        <v>5.2949934101766041E-3</v>
      </c>
      <c r="G17" s="32">
        <v>1.5050437077668726E-3</v>
      </c>
      <c r="H17" s="29">
        <v>7.6112121128939128E-4</v>
      </c>
      <c r="I17" s="30">
        <v>2.5517016207116604E-4</v>
      </c>
      <c r="J17" s="31">
        <v>9.7576874222587864E-4</v>
      </c>
      <c r="K17" s="32">
        <v>6.3051731458921843E-4</v>
      </c>
      <c r="L17" s="29">
        <v>1.6349345620324568E-3</v>
      </c>
      <c r="M17" s="30">
        <v>-5.6433007482698146E-4</v>
      </c>
      <c r="N17" s="31">
        <v>1.1066183984821713E-3</v>
      </c>
      <c r="O17" s="32"/>
      <c r="P17" s="29"/>
      <c r="Q17" s="30"/>
      <c r="R17" s="31"/>
      <c r="S17" s="32"/>
      <c r="T17" s="29"/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0.15202292797315048</v>
      </c>
      <c r="D18" s="29">
        <v>0.33570500176102086</v>
      </c>
      <c r="E18" s="30">
        <v>0.28140522642108062</v>
      </c>
      <c r="F18" s="31">
        <v>0.34338204303231712</v>
      </c>
      <c r="G18" s="32">
        <v>0.13902890417791586</v>
      </c>
      <c r="H18" s="29">
        <v>0.38467136580280731</v>
      </c>
      <c r="I18" s="30">
        <v>1.553190833843524E-2</v>
      </c>
      <c r="J18" s="31">
        <v>0.23897413107299412</v>
      </c>
      <c r="K18" s="32">
        <v>9.7310048902907079E-2</v>
      </c>
      <c r="L18" s="29">
        <v>0.24887877419718629</v>
      </c>
      <c r="M18" s="30">
        <v>0.19894903887363538</v>
      </c>
      <c r="N18" s="31">
        <v>0.29353397891494848</v>
      </c>
      <c r="O18" s="32"/>
      <c r="P18" s="29"/>
      <c r="Q18" s="30"/>
      <c r="R18" s="31"/>
      <c r="S18" s="32"/>
      <c r="T18" s="29"/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-1.8591447481730099E-3</v>
      </c>
      <c r="D19" s="29">
        <v>0.31178627155150362</v>
      </c>
      <c r="E19" s="30">
        <v>2.2650425185364218E-3</v>
      </c>
      <c r="F19" s="31">
        <v>0.41566971139391429</v>
      </c>
      <c r="G19" s="32">
        <v>-2.6092961377701587E-3</v>
      </c>
      <c r="H19" s="29">
        <v>0.3777525419478972</v>
      </c>
      <c r="I19" s="30">
        <v>1.706214304998408E-3</v>
      </c>
      <c r="J19" s="31">
        <v>0.36009944821214157</v>
      </c>
      <c r="K19" s="32">
        <v>1.5562565244592878E-2</v>
      </c>
      <c r="L19" s="29">
        <v>0.32212607909147628</v>
      </c>
      <c r="M19" s="30">
        <v>-4.1482457725574087E-3</v>
      </c>
      <c r="N19" s="31">
        <v>0.32086011326114744</v>
      </c>
      <c r="O19" s="32"/>
      <c r="P19" s="29"/>
      <c r="Q19" s="30"/>
      <c r="R19" s="31"/>
      <c r="S19" s="32"/>
      <c r="T19" s="29"/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-6.8865401922414624E-3</v>
      </c>
      <c r="D20" s="29">
        <v>0.45971299562624635</v>
      </c>
      <c r="E20" s="30">
        <v>-8.3928455617187162E-3</v>
      </c>
      <c r="F20" s="31">
        <v>0.41956143329027562</v>
      </c>
      <c r="G20" s="32">
        <v>-1.287318313949571E-3</v>
      </c>
      <c r="H20" s="29">
        <v>0.38563232481776522</v>
      </c>
      <c r="I20" s="30">
        <v>-1.5648012017312367E-3</v>
      </c>
      <c r="J20" s="31">
        <v>0.28832079115527276</v>
      </c>
      <c r="K20" s="32">
        <v>-3.2595673492280021E-3</v>
      </c>
      <c r="L20" s="29">
        <v>0.26921179551171998</v>
      </c>
      <c r="M20" s="30">
        <v>-5.5952602818811377E-3</v>
      </c>
      <c r="N20" s="31">
        <v>0.26043871347288955</v>
      </c>
      <c r="O20" s="32"/>
      <c r="P20" s="29"/>
      <c r="Q20" s="30"/>
      <c r="R20" s="31"/>
      <c r="S20" s="32"/>
      <c r="T20" s="29"/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-7.1706467336545867E-4</v>
      </c>
      <c r="D21" s="29">
        <v>2.3216373152077563</v>
      </c>
      <c r="E21" s="30">
        <v>-3.8083679327395301E-3</v>
      </c>
      <c r="F21" s="31">
        <v>2.4385158814999133</v>
      </c>
      <c r="G21" s="32">
        <v>4.9133207219744538E-3</v>
      </c>
      <c r="H21" s="29">
        <v>2.3413026003230768</v>
      </c>
      <c r="I21" s="30">
        <v>1.6746005081188477E-2</v>
      </c>
      <c r="J21" s="31">
        <v>1.894088632012066</v>
      </c>
      <c r="K21" s="32">
        <v>1.3268759075211203E-2</v>
      </c>
      <c r="L21" s="29">
        <v>1.895298395724744</v>
      </c>
      <c r="M21" s="30">
        <v>3.8124810615227166E-3</v>
      </c>
      <c r="N21" s="31">
        <v>1.8756733655108966</v>
      </c>
      <c r="O21" s="32"/>
      <c r="P21" s="29"/>
      <c r="Q21" s="30"/>
      <c r="R21" s="31"/>
      <c r="S21" s="32"/>
      <c r="T21" s="29"/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/>
      <c r="P22" s="29"/>
      <c r="Q22" s="30"/>
      <c r="R22" s="31"/>
      <c r="S22" s="32"/>
      <c r="T22" s="29"/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/>
      <c r="P23" s="29"/>
      <c r="Q23" s="30"/>
      <c r="R23" s="31"/>
      <c r="S23" s="32"/>
      <c r="T23" s="29"/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/>
      <c r="P24" s="29"/>
      <c r="Q24" s="30"/>
      <c r="R24" s="31"/>
      <c r="S24" s="32"/>
      <c r="T24" s="29"/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1.9717135429352228E-3</v>
      </c>
      <c r="D25" s="29">
        <v>-9.8277059057275018E-2</v>
      </c>
      <c r="E25" s="30">
        <v>4.5798941193530363E-3</v>
      </c>
      <c r="F25" s="31">
        <v>-0.15699371145331617</v>
      </c>
      <c r="G25" s="32">
        <v>3.8668037477705052E-4</v>
      </c>
      <c r="H25" s="29">
        <v>-8.1186256462797812E-2</v>
      </c>
      <c r="I25" s="30">
        <v>5.9298217900351829E-5</v>
      </c>
      <c r="J25" s="31">
        <v>-0.10659273935686533</v>
      </c>
      <c r="K25" s="32">
        <v>1.3797205256028708E-3</v>
      </c>
      <c r="L25" s="29">
        <v>-0.13612114500422073</v>
      </c>
      <c r="M25" s="30">
        <v>5.9262598385126306E-3</v>
      </c>
      <c r="N25" s="31">
        <v>-0.14755759890751863</v>
      </c>
      <c r="O25" s="32"/>
      <c r="P25" s="29"/>
      <c r="Q25" s="30"/>
      <c r="R25" s="31"/>
      <c r="S25" s="32"/>
      <c r="T25" s="29"/>
      <c r="U25" s="30"/>
      <c r="V25" s="31"/>
      <c r="W25" s="32"/>
      <c r="X25" s="29"/>
      <c r="Y25" s="30"/>
      <c r="Z25" s="31"/>
    </row>
    <row r="26" spans="2:31" s="44" customFormat="1">
      <c r="B26" s="11" t="s">
        <v>34</v>
      </c>
      <c r="C26" s="41">
        <v>0.1716429864057733</v>
      </c>
      <c r="D26" s="41">
        <v>99.999999999999986</v>
      </c>
      <c r="E26" s="42">
        <v>0.32010693358008879</v>
      </c>
      <c r="F26" s="37">
        <v>100.00000000000003</v>
      </c>
      <c r="G26" s="43">
        <v>0.26120846435295775</v>
      </c>
      <c r="H26" s="41">
        <v>99.999999999999986</v>
      </c>
      <c r="I26" s="42">
        <v>1.0484932391177761</v>
      </c>
      <c r="J26" s="37">
        <v>100</v>
      </c>
      <c r="K26" s="41">
        <v>0.85957154329494567</v>
      </c>
      <c r="L26" s="41">
        <v>99.999999999999986</v>
      </c>
      <c r="M26" s="42">
        <v>-0.4774881963971912</v>
      </c>
      <c r="N26" s="37">
        <v>99.999999999999957</v>
      </c>
      <c r="O26" s="43">
        <v>0</v>
      </c>
      <c r="P26" s="41">
        <v>0</v>
      </c>
      <c r="Q26" s="42">
        <v>0</v>
      </c>
      <c r="R26" s="37">
        <v>0</v>
      </c>
      <c r="S26" s="41">
        <v>0</v>
      </c>
      <c r="T26" s="41">
        <v>0</v>
      </c>
      <c r="U26" s="42">
        <v>0</v>
      </c>
      <c r="V26" s="37">
        <v>0</v>
      </c>
      <c r="W26" s="43">
        <v>0</v>
      </c>
      <c r="X26" s="41">
        <v>0</v>
      </c>
      <c r="Y26" s="42">
        <v>0</v>
      </c>
      <c r="Z26" s="37">
        <v>0</v>
      </c>
    </row>
    <row r="27" spans="2:31" s="61" customFormat="1">
      <c r="B27" s="62" t="s">
        <v>40</v>
      </c>
      <c r="C27" s="63"/>
      <c r="D27" s="58">
        <v>591.00182895199976</v>
      </c>
      <c r="E27" s="59"/>
      <c r="F27" s="58">
        <v>1206.0006711860003</v>
      </c>
      <c r="G27" s="60"/>
      <c r="H27" s="58">
        <v>1310.050644526</v>
      </c>
      <c r="I27" s="59"/>
      <c r="J27" s="58">
        <v>4698.4328963939997</v>
      </c>
      <c r="K27" s="60"/>
      <c r="L27" s="58">
        <v>5162.0576172700012</v>
      </c>
      <c r="M27" s="59"/>
      <c r="N27" s="58">
        <v>-3012.8558980809999</v>
      </c>
      <c r="O27" s="60"/>
      <c r="P27" s="58"/>
      <c r="Q27" s="59"/>
      <c r="R27" s="58"/>
      <c r="S27" s="60"/>
      <c r="T27" s="58"/>
      <c r="U27" s="59"/>
      <c r="V27" s="58"/>
      <c r="W27" s="60"/>
      <c r="X27" s="58"/>
      <c r="Y27" s="59"/>
      <c r="Z27" s="5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0.24171788559769228</v>
      </c>
      <c r="D29" s="29">
        <v>80.342308699856133</v>
      </c>
      <c r="E29" s="30">
        <v>0.46736699859327913</v>
      </c>
      <c r="F29" s="31">
        <v>79.389457604393499</v>
      </c>
      <c r="G29" s="29">
        <v>0.2829843523063193</v>
      </c>
      <c r="H29" s="29">
        <v>78.889769057233423</v>
      </c>
      <c r="I29" s="30">
        <v>0.77594938473381647</v>
      </c>
      <c r="J29" s="31">
        <v>78.877540448207526</v>
      </c>
      <c r="K29" s="32">
        <v>0.80100444794825987</v>
      </c>
      <c r="L29" s="29">
        <v>78.491385096757455</v>
      </c>
      <c r="M29" s="30">
        <v>-3.4987585265540246E-3</v>
      </c>
      <c r="N29" s="31">
        <v>78.396755803517308</v>
      </c>
      <c r="O29" s="32"/>
      <c r="P29" s="29"/>
      <c r="Q29" s="30"/>
      <c r="R29" s="31"/>
      <c r="S29" s="32"/>
      <c r="T29" s="29"/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-7.0074899191918921E-2</v>
      </c>
      <c r="D30" s="29">
        <v>19.657691300143867</v>
      </c>
      <c r="E30" s="30">
        <v>-0.14726006501319028</v>
      </c>
      <c r="F30" s="31">
        <v>20.610542395606497</v>
      </c>
      <c r="G30" s="29">
        <v>-2.1775887953361571E-2</v>
      </c>
      <c r="H30" s="29">
        <v>21.110230942766574</v>
      </c>
      <c r="I30" s="31">
        <v>0.27254385438395951</v>
      </c>
      <c r="J30" s="31">
        <v>21.12245955179247</v>
      </c>
      <c r="K30" s="32">
        <v>5.8567095346685881E-2</v>
      </c>
      <c r="L30" s="29">
        <v>21.508614903242535</v>
      </c>
      <c r="M30" s="30">
        <v>-0.47398943787063708</v>
      </c>
      <c r="N30" s="31">
        <v>21.603244196482692</v>
      </c>
      <c r="O30" s="32"/>
      <c r="P30" s="29"/>
      <c r="Q30" s="30"/>
      <c r="R30" s="31"/>
      <c r="S30" s="32"/>
      <c r="T30" s="29"/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1">
        <v>0.17164298640577336</v>
      </c>
      <c r="D31" s="41">
        <v>100</v>
      </c>
      <c r="E31" s="37">
        <v>0.32010693358008885</v>
      </c>
      <c r="F31" s="37">
        <v>100</v>
      </c>
      <c r="G31" s="41">
        <v>0.26120846435295775</v>
      </c>
      <c r="H31" s="41">
        <v>100</v>
      </c>
      <c r="I31" s="37">
        <v>1.0484932391177759</v>
      </c>
      <c r="J31" s="37">
        <v>100</v>
      </c>
      <c r="K31" s="41">
        <v>0.85957154329494578</v>
      </c>
      <c r="L31" s="41">
        <v>99.999999999999986</v>
      </c>
      <c r="M31" s="37">
        <v>-0.47748819639719109</v>
      </c>
      <c r="N31" s="37">
        <v>100</v>
      </c>
      <c r="O31" s="41">
        <v>0</v>
      </c>
      <c r="P31" s="41">
        <v>0</v>
      </c>
      <c r="Q31" s="37">
        <v>0</v>
      </c>
      <c r="R31" s="37">
        <v>0</v>
      </c>
      <c r="S31" s="41">
        <v>0</v>
      </c>
      <c r="T31" s="41">
        <v>0</v>
      </c>
      <c r="U31" s="37">
        <v>0</v>
      </c>
      <c r="V31" s="37">
        <v>0</v>
      </c>
      <c r="W31" s="41">
        <v>0</v>
      </c>
      <c r="X31" s="41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2.9312295488479242E-2</v>
      </c>
      <c r="D33" s="29">
        <v>95.277641094090285</v>
      </c>
      <c r="E33" s="30">
        <v>4.6464000831219779E-2</v>
      </c>
      <c r="F33" s="31">
        <v>95.055115520826178</v>
      </c>
      <c r="G33" s="29">
        <v>0.11016693018396227</v>
      </c>
      <c r="H33" s="29">
        <v>95.011547275645711</v>
      </c>
      <c r="I33" s="30">
        <v>1.0060429947400082</v>
      </c>
      <c r="J33" s="31">
        <v>96.025859322450586</v>
      </c>
      <c r="K33" s="32">
        <v>0.75727225566572953</v>
      </c>
      <c r="L33" s="29">
        <v>96.114584564320324</v>
      </c>
      <c r="M33" s="30">
        <v>-0.65432853115463541</v>
      </c>
      <c r="N33" s="31">
        <v>96.066191489582735</v>
      </c>
      <c r="O33" s="32"/>
      <c r="P33" s="29"/>
      <c r="Q33" s="30"/>
      <c r="R33" s="31"/>
      <c r="S33" s="32"/>
      <c r="T33" s="29"/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0.14233069091729411</v>
      </c>
      <c r="D34" s="29">
        <v>4.7223589059097115</v>
      </c>
      <c r="E34" s="30">
        <v>0.27364293274886903</v>
      </c>
      <c r="F34" s="31">
        <v>4.9448844791738251</v>
      </c>
      <c r="G34" s="29">
        <v>0.15104153416899546</v>
      </c>
      <c r="H34" s="29">
        <v>4.9884527243542829</v>
      </c>
      <c r="I34" s="31">
        <v>4.2450244377767593E-2</v>
      </c>
      <c r="J34" s="31">
        <v>3.9741406775494181</v>
      </c>
      <c r="K34" s="32">
        <v>0.10229928762921618</v>
      </c>
      <c r="L34" s="29">
        <v>3.8854154356796742</v>
      </c>
      <c r="M34" s="30">
        <v>0.17684033475744426</v>
      </c>
      <c r="N34" s="31">
        <v>3.9338085104172555</v>
      </c>
      <c r="O34" s="32"/>
      <c r="P34" s="29"/>
      <c r="Q34" s="30"/>
      <c r="R34" s="31"/>
      <c r="S34" s="32"/>
      <c r="T34" s="29"/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1">
        <v>0.17164298640577336</v>
      </c>
      <c r="D35" s="41">
        <v>100</v>
      </c>
      <c r="E35" s="37">
        <v>0.32010693358008879</v>
      </c>
      <c r="F35" s="37">
        <v>100</v>
      </c>
      <c r="G35" s="41">
        <v>0.26120846435295775</v>
      </c>
      <c r="H35" s="41">
        <v>100</v>
      </c>
      <c r="I35" s="37">
        <v>1.0484932391177759</v>
      </c>
      <c r="J35" s="37">
        <v>100</v>
      </c>
      <c r="K35" s="41">
        <v>0.85957154329494567</v>
      </c>
      <c r="L35" s="41">
        <v>100</v>
      </c>
      <c r="M35" s="37">
        <v>-0.47748819639719114</v>
      </c>
      <c r="N35" s="37">
        <v>99.999999999999986</v>
      </c>
      <c r="O35" s="41">
        <v>0</v>
      </c>
      <c r="P35" s="41">
        <v>0</v>
      </c>
      <c r="Q35" s="37">
        <v>0</v>
      </c>
      <c r="R35" s="37">
        <v>0</v>
      </c>
      <c r="S35" s="41">
        <v>0</v>
      </c>
      <c r="T35" s="41">
        <v>0</v>
      </c>
      <c r="U35" s="37">
        <v>0</v>
      </c>
      <c r="V35" s="37">
        <v>0</v>
      </c>
      <c r="W35" s="41">
        <v>0</v>
      </c>
      <c r="X35" s="41">
        <v>0</v>
      </c>
      <c r="Y35" s="37">
        <v>0</v>
      </c>
      <c r="Z35" s="37">
        <v>0</v>
      </c>
    </row>
    <row r="36" spans="2:26"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2:26">
      <c r="C37" s="26"/>
      <c r="D37" s="26"/>
      <c r="E37" s="76"/>
      <c r="F37" s="76"/>
      <c r="G37" s="26"/>
      <c r="H37" s="26"/>
      <c r="I37" s="27"/>
      <c r="J37" s="27"/>
    </row>
    <row r="38" spans="2:26" ht="15.75">
      <c r="B38" s="17" t="s">
        <v>39</v>
      </c>
      <c r="C38" s="77" t="s">
        <v>47</v>
      </c>
      <c r="D38" s="78"/>
      <c r="E38" s="79" t="s">
        <v>48</v>
      </c>
      <c r="F38" s="80"/>
      <c r="G38" s="77" t="s">
        <v>49</v>
      </c>
      <c r="H38" s="78"/>
      <c r="I38" s="79" t="s">
        <v>50</v>
      </c>
      <c r="J38" s="80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-7.4707397761711467E-2</v>
      </c>
      <c r="D40" s="29">
        <v>4.0827713287008596</v>
      </c>
      <c r="E40" s="69">
        <v>-9.4248150395294772E-2</v>
      </c>
      <c r="F40" s="69">
        <v>4.0313469613033011</v>
      </c>
      <c r="G40" s="32"/>
      <c r="H40" s="29"/>
      <c r="I40" s="30"/>
      <c r="J40" s="31"/>
    </row>
    <row r="41" spans="2:26">
      <c r="B41" s="10" t="s">
        <v>7</v>
      </c>
      <c r="C41" s="32">
        <v>0.10639085433004158</v>
      </c>
      <c r="D41" s="29">
        <v>34.764451523551337</v>
      </c>
      <c r="E41" s="69">
        <v>0.46257220194928933</v>
      </c>
      <c r="F41" s="69">
        <v>34.705118999599947</v>
      </c>
      <c r="G41" s="32"/>
      <c r="H41" s="29"/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9">
        <v>0</v>
      </c>
      <c r="F42" s="69">
        <v>0</v>
      </c>
      <c r="G42" s="32"/>
      <c r="H42" s="29"/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9">
        <v>0</v>
      </c>
      <c r="F43" s="69">
        <v>0</v>
      </c>
      <c r="G43" s="32"/>
      <c r="H43" s="29"/>
      <c r="I43" s="30"/>
      <c r="J43" s="31"/>
    </row>
    <row r="44" spans="2:26">
      <c r="B44" s="10" t="s">
        <v>13</v>
      </c>
      <c r="C44" s="32">
        <v>1.1090211959823086E-2</v>
      </c>
      <c r="D44" s="29">
        <v>31.38286200021831</v>
      </c>
      <c r="E44" s="69">
        <v>0.38437869748392134</v>
      </c>
      <c r="F44" s="69">
        <v>32.326461627408897</v>
      </c>
      <c r="G44" s="32"/>
      <c r="H44" s="29"/>
      <c r="I44" s="30"/>
      <c r="J44" s="31"/>
    </row>
    <row r="45" spans="2:26">
      <c r="B45" s="10" t="s">
        <v>15</v>
      </c>
      <c r="C45" s="32">
        <v>1.9991005262025349E-2</v>
      </c>
      <c r="D45" s="29">
        <v>1.1741791248385869</v>
      </c>
      <c r="E45" s="69">
        <v>2.6523665350712721E-2</v>
      </c>
      <c r="F45" s="69">
        <v>0.90623839620399183</v>
      </c>
      <c r="G45" s="32"/>
      <c r="H45" s="29"/>
      <c r="I45" s="30"/>
      <c r="J45" s="31"/>
    </row>
    <row r="46" spans="2:26">
      <c r="B46" s="10" t="s">
        <v>17</v>
      </c>
      <c r="C46" s="32">
        <v>0.16607508940757118</v>
      </c>
      <c r="D46" s="29">
        <v>11.640471879579444</v>
      </c>
      <c r="E46" s="69">
        <v>0.45813065987439255</v>
      </c>
      <c r="F46" s="69">
        <v>11.701198555323291</v>
      </c>
      <c r="G46" s="32"/>
      <c r="H46" s="29"/>
      <c r="I46" s="30"/>
      <c r="J46" s="31"/>
    </row>
    <row r="47" spans="2:26">
      <c r="B47" s="10" t="s">
        <v>19</v>
      </c>
      <c r="C47" s="32">
        <v>-4.7741824255993128E-3</v>
      </c>
      <c r="D47" s="29">
        <v>8.4311263153366589</v>
      </c>
      <c r="E47" s="69">
        <v>2.8767982029545062E-2</v>
      </c>
      <c r="F47" s="69">
        <v>8.2032370007001614</v>
      </c>
      <c r="G47" s="32"/>
      <c r="H47" s="29"/>
      <c r="I47" s="30"/>
      <c r="J47" s="31"/>
    </row>
    <row r="48" spans="2:26">
      <c r="B48" s="10" t="s">
        <v>21</v>
      </c>
      <c r="C48" s="32">
        <v>-6.7968468747830269E-3</v>
      </c>
      <c r="D48" s="29">
        <v>4.2862501657795438</v>
      </c>
      <c r="E48" s="69">
        <v>8.521937230894663E-3</v>
      </c>
      <c r="F48" s="69">
        <v>4.7488042987436012</v>
      </c>
      <c r="G48" s="32"/>
      <c r="H48" s="29"/>
      <c r="I48" s="30"/>
      <c r="J48" s="31"/>
    </row>
    <row r="49" spans="2:14">
      <c r="B49" s="10" t="s">
        <v>23</v>
      </c>
      <c r="C49" s="32">
        <v>-9.2573007952915579E-3</v>
      </c>
      <c r="D49" s="29">
        <v>0.82895396435522328</v>
      </c>
      <c r="E49" s="69">
        <v>-4.9102296951304907E-2</v>
      </c>
      <c r="F49" s="69">
        <v>0.77353897006593897</v>
      </c>
      <c r="G49" s="32"/>
      <c r="H49" s="29"/>
      <c r="I49" s="30"/>
      <c r="J49" s="31"/>
    </row>
    <row r="50" spans="2:14">
      <c r="B50" s="10" t="s">
        <v>25</v>
      </c>
      <c r="C50" s="32">
        <v>2.1396187605693382E-3</v>
      </c>
      <c r="D50" s="29">
        <v>7.6112121128939128E-4</v>
      </c>
      <c r="E50" s="69">
        <v>2.2450071449313914E-3</v>
      </c>
      <c r="F50" s="69">
        <v>1.1066183984821713E-3</v>
      </c>
      <c r="G50" s="32"/>
      <c r="H50" s="29"/>
      <c r="I50" s="30"/>
      <c r="J50" s="31"/>
    </row>
    <row r="51" spans="2:14">
      <c r="B51" s="10" t="s">
        <v>26</v>
      </c>
      <c r="C51" s="32">
        <v>0.55410100967776854</v>
      </c>
      <c r="D51" s="29">
        <v>0.38467136580280731</v>
      </c>
      <c r="E51" s="69">
        <v>0.92437389272494952</v>
      </c>
      <c r="F51" s="69">
        <v>0.29353397891494848</v>
      </c>
      <c r="G51" s="32"/>
      <c r="H51" s="29"/>
      <c r="I51" s="30"/>
      <c r="J51" s="31"/>
    </row>
    <row r="52" spans="2:14">
      <c r="B52" s="10" t="s">
        <v>27</v>
      </c>
      <c r="C52" s="32">
        <v>-2.661143903776815E-3</v>
      </c>
      <c r="D52" s="29">
        <v>0.3777525419478972</v>
      </c>
      <c r="E52" s="69">
        <v>1.4113232587567297E-2</v>
      </c>
      <c r="F52" s="69">
        <v>0.32086011326114744</v>
      </c>
      <c r="G52" s="32"/>
      <c r="H52" s="29"/>
      <c r="I52" s="30"/>
      <c r="J52" s="31"/>
    </row>
    <row r="53" spans="2:14">
      <c r="B53" s="10" t="s">
        <v>28</v>
      </c>
      <c r="C53" s="32">
        <v>-1.501012936010244E-2</v>
      </c>
      <c r="D53" s="29">
        <v>0.38563232481776522</v>
      </c>
      <c r="E53" s="69">
        <v>-2.7284103180279691E-2</v>
      </c>
      <c r="F53" s="69">
        <v>0.26043871347288955</v>
      </c>
      <c r="G53" s="32"/>
      <c r="H53" s="29"/>
      <c r="I53" s="30"/>
      <c r="J53" s="31"/>
    </row>
    <row r="54" spans="2:14">
      <c r="B54" s="10" t="s">
        <v>29</v>
      </c>
      <c r="C54" s="32">
        <v>1.9009205322685176E-3</v>
      </c>
      <c r="D54" s="29">
        <v>2.3413026003230768</v>
      </c>
      <c r="E54" s="69">
        <v>4.1165692011048471E-2</v>
      </c>
      <c r="F54" s="69">
        <v>1.8756733655108966</v>
      </c>
      <c r="G54" s="32"/>
      <c r="H54" s="29"/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9">
        <v>0</v>
      </c>
      <c r="F55" s="69">
        <v>0</v>
      </c>
      <c r="G55" s="32"/>
      <c r="H55" s="29"/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9">
        <v>0</v>
      </c>
      <c r="F56" s="69">
        <v>0</v>
      </c>
      <c r="G56" s="32"/>
      <c r="H56" s="29"/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9">
        <v>0</v>
      </c>
      <c r="F57" s="69">
        <v>0</v>
      </c>
      <c r="G57" s="32"/>
      <c r="H57" s="29"/>
      <c r="I57" s="30"/>
      <c r="J57" s="31"/>
    </row>
    <row r="58" spans="2:14">
      <c r="B58" s="10" t="s">
        <v>33</v>
      </c>
      <c r="C58" s="32">
        <v>6.3120442316140727E-3</v>
      </c>
      <c r="D58" s="29">
        <v>-8.1186256462797812E-2</v>
      </c>
      <c r="E58" s="69">
        <v>1.5867489154847075E-2</v>
      </c>
      <c r="F58" s="69">
        <v>-0.14755759890751863</v>
      </c>
      <c r="G58" s="32"/>
      <c r="H58" s="29"/>
      <c r="I58" s="30"/>
      <c r="J58" s="31"/>
    </row>
    <row r="59" spans="2:14">
      <c r="B59" s="11" t="s">
        <v>34</v>
      </c>
      <c r="C59" s="34">
        <v>0.75479375304041696</v>
      </c>
      <c r="D59" s="29">
        <v>99.999999999999986</v>
      </c>
      <c r="E59" s="51">
        <v>2.1960259070152199</v>
      </c>
      <c r="F59" s="31">
        <v>99.999999999999986</v>
      </c>
      <c r="G59" s="32"/>
      <c r="H59" s="39"/>
      <c r="I59" s="40"/>
      <c r="J59" s="37"/>
      <c r="M59" s="35"/>
    </row>
    <row r="60" spans="2:14">
      <c r="B60" s="28" t="s">
        <v>40</v>
      </c>
      <c r="C60" s="34"/>
      <c r="D60" s="33">
        <v>3107.0531446639998</v>
      </c>
      <c r="E60" s="25"/>
      <c r="F60" s="33">
        <v>9954.6877602470013</v>
      </c>
      <c r="G60" s="19"/>
      <c r="H60" s="20"/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0.97471679005848111</v>
      </c>
      <c r="D62" s="53">
        <v>78.889769057233423</v>
      </c>
      <c r="E62" s="69">
        <v>2.7084968213835068</v>
      </c>
      <c r="F62" s="69">
        <v>78.396755803517308</v>
      </c>
      <c r="G62" s="52"/>
      <c r="H62" s="53"/>
      <c r="I62" s="54"/>
      <c r="J62" s="55"/>
    </row>
    <row r="63" spans="2:14">
      <c r="B63" s="10" t="s">
        <v>36</v>
      </c>
      <c r="C63" s="32">
        <v>-0.21992303701806404</v>
      </c>
      <c r="D63" s="29">
        <v>21.110230942766574</v>
      </c>
      <c r="E63" s="69">
        <v>-0.51247091436828662</v>
      </c>
      <c r="F63" s="69">
        <v>21.603244196482692</v>
      </c>
      <c r="G63" s="32"/>
      <c r="H63" s="29"/>
      <c r="I63" s="30"/>
      <c r="J63" s="31"/>
    </row>
    <row r="64" spans="2:14">
      <c r="B64" s="11" t="s">
        <v>34</v>
      </c>
      <c r="C64" s="34">
        <v>0.75479375304041707</v>
      </c>
      <c r="D64" s="34">
        <v>100</v>
      </c>
      <c r="E64" s="51">
        <v>2.1960259070152199</v>
      </c>
      <c r="F64" s="57">
        <v>100</v>
      </c>
      <c r="G64" s="32"/>
      <c r="H64" s="39"/>
      <c r="I64" s="40"/>
      <c r="J64" s="37"/>
    </row>
    <row r="65" spans="2:10">
      <c r="B65" s="12"/>
      <c r="C65" s="13"/>
      <c r="D65" s="13"/>
      <c r="E65" s="13"/>
      <c r="F65" s="13"/>
      <c r="G65" s="56"/>
      <c r="H65" s="56"/>
      <c r="I65" s="56"/>
      <c r="J65" s="56"/>
    </row>
    <row r="66" spans="2:10">
      <c r="B66" s="9" t="s">
        <v>37</v>
      </c>
      <c r="C66" s="32">
        <v>0.2012683034012071</v>
      </c>
      <c r="D66" s="53">
        <v>95.011547275645711</v>
      </c>
      <c r="E66" s="69">
        <v>1.2697292398447821</v>
      </c>
      <c r="F66" s="69">
        <v>96.066191489582735</v>
      </c>
      <c r="G66" s="52"/>
      <c r="H66" s="53"/>
      <c r="I66" s="54"/>
      <c r="J66" s="55"/>
    </row>
    <row r="67" spans="2:10">
      <c r="B67" s="10" t="s">
        <v>38</v>
      </c>
      <c r="C67" s="32">
        <v>0.55352544963920991</v>
      </c>
      <c r="D67" s="29">
        <v>4.9884527243542829</v>
      </c>
      <c r="E67" s="69">
        <v>0.92629666717043724</v>
      </c>
      <c r="F67" s="69">
        <v>3.9338085104172555</v>
      </c>
      <c r="G67" s="32"/>
      <c r="H67" s="29"/>
      <c r="I67" s="30"/>
      <c r="J67" s="31"/>
    </row>
    <row r="68" spans="2:10">
      <c r="B68" s="11" t="s">
        <v>34</v>
      </c>
      <c r="C68" s="34">
        <v>0.75479375304041696</v>
      </c>
      <c r="D68" s="34">
        <v>100</v>
      </c>
      <c r="E68" s="51">
        <v>2.1960259070152195</v>
      </c>
      <c r="F68" s="57">
        <v>99.999999999999986</v>
      </c>
      <c r="G68" s="38"/>
      <c r="H68" s="39"/>
      <c r="I68" s="40"/>
      <c r="J68" s="37"/>
    </row>
    <row r="69" spans="2:10">
      <c r="B69" s="12"/>
      <c r="C69" s="13"/>
      <c r="D69" s="13"/>
      <c r="E69" s="13"/>
      <c r="F69" s="13"/>
      <c r="G69" s="56"/>
      <c r="H69" s="56"/>
      <c r="I69" s="56"/>
      <c r="J69" s="56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a46656d4-8850-49b3-aebd-68bd05f7f43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16</vt:i4>
      </vt:variant>
      <vt:variant>
        <vt:lpstr>טווחים בעלי שם</vt:lpstr>
      </vt:variant>
      <vt:variant>
        <vt:i4>7</vt:i4>
      </vt:variant>
    </vt:vector>
  </HeadingPairs>
  <TitlesOfParts>
    <vt:vector size="23" baseType="lpstr">
      <vt:lpstr>קרן ט</vt:lpstr>
      <vt:lpstr>קרן י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'180'!WPrint_Area_W</vt:lpstr>
      <vt:lpstr>'181'!WPrint_Area_W</vt:lpstr>
      <vt:lpstr>'184'!WPrint_Area_W</vt:lpstr>
      <vt:lpstr>'42'!WPrint_Area_W</vt:lpstr>
      <vt:lpstr>'9534'!WPrint_Area_W</vt:lpstr>
      <vt:lpstr>'קרן י'!WPrint_Area_W</vt:lpstr>
      <vt:lpstr>years</vt:lpstr>
    </vt:vector>
  </TitlesOfParts>
  <Company>MOF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יוסי טייב</cp:lastModifiedBy>
  <cp:lastPrinted>2017-06-14T10:10:55Z</cp:lastPrinted>
  <dcterms:created xsi:type="dcterms:W3CDTF">2016-08-07T08:05:35Z</dcterms:created>
  <dcterms:modified xsi:type="dcterms:W3CDTF">2017-07-23T13:34:46Z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